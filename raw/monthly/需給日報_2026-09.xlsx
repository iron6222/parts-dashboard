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3" documentId="13_ncr:1_{529B4BA9-EABF-42C8-8562-D21F7747F34E}" xr6:coauthVersionLast="47" xr6:coauthVersionMax="47" xr10:uidLastSave="{385C176F-2F29-497B-BD7F-FC5B400A3C33}"/>
  <bookViews>
    <workbookView xWindow="-28920" yWindow="-120" windowWidth="29040" windowHeight="15720" tabRatio="908" firstSheet="1" activeTab="1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20" l="1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67" i="20"/>
  <c r="P66" i="20"/>
  <c r="P65" i="20"/>
  <c r="P64" i="20"/>
  <c r="P63" i="20"/>
  <c r="P62" i="20"/>
  <c r="P61" i="20"/>
  <c r="P60" i="20"/>
  <c r="P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P57" i="20"/>
  <c r="P56" i="20"/>
  <c r="P55" i="20"/>
  <c r="P54" i="20"/>
  <c r="P53" i="20"/>
  <c r="P52" i="20"/>
  <c r="P51" i="20"/>
  <c r="O50" i="20"/>
  <c r="P49" i="20"/>
  <c r="P48" i="20"/>
  <c r="P47" i="20"/>
  <c r="P46" i="20"/>
  <c r="O45" i="20"/>
  <c r="P44" i="20"/>
  <c r="P43" i="20"/>
  <c r="P42" i="20"/>
  <c r="P41" i="20"/>
  <c r="P40" i="20"/>
  <c r="P39" i="20"/>
  <c r="O38" i="20"/>
  <c r="N37" i="20"/>
  <c r="M37" i="20"/>
  <c r="L37" i="20"/>
  <c r="K37" i="20"/>
  <c r="J37" i="20"/>
  <c r="I37" i="20"/>
  <c r="H37" i="20"/>
  <c r="G37" i="20"/>
  <c r="F37" i="20"/>
  <c r="E37" i="20"/>
  <c r="D37" i="20"/>
  <c r="P33" i="20"/>
  <c r="P32" i="20"/>
  <c r="P31" i="20"/>
  <c r="P30" i="20"/>
  <c r="P29" i="20"/>
  <c r="P28" i="20"/>
  <c r="P27" i="20"/>
  <c r="P26" i="20"/>
  <c r="P25" i="20"/>
  <c r="O24" i="20"/>
  <c r="P23" i="20"/>
  <c r="P22" i="20"/>
  <c r="P21" i="20"/>
  <c r="P20" i="20"/>
  <c r="P19" i="20"/>
  <c r="P18" i="20"/>
  <c r="P17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P15" i="20"/>
  <c r="P14" i="20"/>
  <c r="P13" i="20"/>
  <c r="P12" i="20"/>
  <c r="O11" i="20"/>
  <c r="O3" i="20" s="1"/>
  <c r="N11" i="20"/>
  <c r="N3" i="20" s="1"/>
  <c r="M11" i="20"/>
  <c r="L11" i="20"/>
  <c r="L3" i="20" s="1"/>
  <c r="K11" i="20"/>
  <c r="K3" i="20" s="1"/>
  <c r="J11" i="20"/>
  <c r="I11" i="20"/>
  <c r="H11" i="20"/>
  <c r="H3" i="20" s="1"/>
  <c r="G11" i="20"/>
  <c r="G3" i="20" s="1"/>
  <c r="F11" i="20"/>
  <c r="F3" i="20" s="1"/>
  <c r="E11" i="20"/>
  <c r="E3" i="20" s="1"/>
  <c r="D11" i="20"/>
  <c r="D3" i="20" s="1"/>
  <c r="P10" i="20"/>
  <c r="P9" i="20"/>
  <c r="P8" i="20"/>
  <c r="P7" i="20"/>
  <c r="P6" i="20"/>
  <c r="P5" i="20"/>
  <c r="M3" i="20"/>
  <c r="P22" i="19"/>
  <c r="P21" i="19"/>
  <c r="P20" i="19"/>
  <c r="P19" i="19"/>
  <c r="P18" i="19"/>
  <c r="P17" i="19"/>
  <c r="P15" i="19"/>
  <c r="P14" i="19"/>
  <c r="P13" i="19"/>
  <c r="P12" i="19"/>
  <c r="P10" i="19"/>
  <c r="P9" i="19"/>
  <c r="P8" i="19"/>
  <c r="P7" i="19"/>
  <c r="P6" i="19"/>
  <c r="P5" i="19"/>
  <c r="O4" i="19"/>
  <c r="O3" i="19" s="1"/>
  <c r="N4" i="19"/>
  <c r="N3" i="19" s="1"/>
  <c r="M4" i="19"/>
  <c r="M3" i="19" s="1"/>
  <c r="L4" i="19"/>
  <c r="L3" i="19" s="1"/>
  <c r="K4" i="19"/>
  <c r="K3" i="19" s="1"/>
  <c r="J4" i="19"/>
  <c r="J3" i="19" s="1"/>
  <c r="I4" i="19"/>
  <c r="I3" i="19" s="1"/>
  <c r="H4" i="19"/>
  <c r="H3" i="19" s="1"/>
  <c r="G4" i="19"/>
  <c r="G3" i="19" s="1"/>
  <c r="F4" i="19"/>
  <c r="F3" i="19" s="1"/>
  <c r="E4" i="19"/>
  <c r="E3" i="19" s="1"/>
  <c r="D4" i="19"/>
  <c r="D3" i="19" s="1"/>
  <c r="N4" i="22"/>
  <c r="F6" i="2"/>
  <c r="N7" i="22"/>
  <c r="N6" i="22"/>
  <c r="N5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AC9" i="19"/>
  <c r="AB9" i="19"/>
  <c r="AA9" i="19"/>
  <c r="Z9" i="19"/>
  <c r="Y9" i="19"/>
  <c r="X9" i="19"/>
  <c r="W9" i="19"/>
  <c r="V9" i="19"/>
  <c r="U9" i="19"/>
  <c r="T9" i="19"/>
  <c r="S9" i="19"/>
  <c r="R9" i="19"/>
  <c r="AC8" i="19"/>
  <c r="AB8" i="19"/>
  <c r="AA8" i="19"/>
  <c r="Z8" i="19"/>
  <c r="Y8" i="19"/>
  <c r="X8" i="19"/>
  <c r="W8" i="19"/>
  <c r="V8" i="19"/>
  <c r="U8" i="19"/>
  <c r="T8" i="19"/>
  <c r="S8" i="19"/>
  <c r="R8" i="19"/>
  <c r="AC7" i="19"/>
  <c r="AB7" i="19"/>
  <c r="AA7" i="19"/>
  <c r="Z7" i="19"/>
  <c r="Y7" i="19"/>
  <c r="X7" i="19"/>
  <c r="W7" i="19"/>
  <c r="V7" i="19"/>
  <c r="U7" i="19"/>
  <c r="T7" i="19"/>
  <c r="S7" i="19"/>
  <c r="R7" i="19"/>
  <c r="AC6" i="19"/>
  <c r="AB6" i="19"/>
  <c r="AA6" i="19"/>
  <c r="Z6" i="19"/>
  <c r="Y6" i="19"/>
  <c r="X6" i="19"/>
  <c r="W6" i="19"/>
  <c r="V6" i="19"/>
  <c r="U6" i="19"/>
  <c r="T6" i="19"/>
  <c r="S6" i="19"/>
  <c r="R6" i="19"/>
  <c r="AC5" i="19"/>
  <c r="AB5" i="19"/>
  <c r="AA5" i="19"/>
  <c r="Z5" i="19"/>
  <c r="Y5" i="19"/>
  <c r="X5" i="19"/>
  <c r="W5" i="19"/>
  <c r="V5" i="19"/>
  <c r="U5" i="19"/>
  <c r="T5" i="19"/>
  <c r="S5" i="19"/>
  <c r="R5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J3" i="20" l="1"/>
  <c r="P50" i="20"/>
  <c r="P11" i="20"/>
  <c r="P58" i="20"/>
  <c r="P38" i="20"/>
  <c r="O37" i="20"/>
  <c r="P45" i="20"/>
  <c r="P37" i="20"/>
  <c r="P16" i="20"/>
  <c r="P4" i="20"/>
  <c r="P11" i="19"/>
  <c r="I3" i="20"/>
  <c r="P16" i="19"/>
  <c r="P4" i="19"/>
  <c r="P24" i="19"/>
  <c r="P3" i="20" l="1"/>
  <c r="P3" i="19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<sst xmlns="http://schemas.openxmlformats.org/spreadsheetml/2006/main" count="7511" uniqueCount="1641">
  <si>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</si>
  <si>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</si>
  <si>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</si>
  <si>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</si>
  <si>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</si>
  <si>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</si>
  <si>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</si>
  <si>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</si>
  <si>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</si>
  <si>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</si>
  <si>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</si>
  <si>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</si>
  <si>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</si>
  <si>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</si>
  <si>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</si>
  <si>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</si>
  <si>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</si>
  <si>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</si>
  <si>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</si>
  <si>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</si>
  <si>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</si>
  <si>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</si>
  <si>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</si>
  <si>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</si>
  <si>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</si>
  <si>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</si>
  <si>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</si>
  <si>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</si>
  <si>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</si>
  <si>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</si>
  <si>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</si>
  <si>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</si>
  <si>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</si>
  <si>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</si>
  <si>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</si>
  <si>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</si>
  <si>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</si>
  <si>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</si>
  <si>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</si>
  <si>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</si>
  <si>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</si>
  <si>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</si>
  <si>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</si>
  <si>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</si>
  <si>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</si>
  <si>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</si>
  <si>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</si>
  <si>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</si>
  <si>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</si>
  <si>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</si>
  <si>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</si>
  <si>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</si>
  <si>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</si>
  <si>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</si>
  <si>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</si>
  <si>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</si>
  <si>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</si>
  <si>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</si>
  <si>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</si>
  <si>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</si>
  <si>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</si>
  <si>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</si>
  <si>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</si>
  <si>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</si>
  <si>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</si>
  <si>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</si>
  <si>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</si>
  <si>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</si>
  <si>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</si>
  <si>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</si>
  <si>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</si>
  <si>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</si>
  <si>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</si>
  <si>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</si>
  <si>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</si>
  <si>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</si>
  <si>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</si>
  <si>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</si>
  <si>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</si>
  <si>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</si>
  <si>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</si>
  <si>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</si>
  <si>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</si>
  <si>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</si>
  <si>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</si>
  <si>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</si>
  <si>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</si>
  <si>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</si>
  <si>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</si>
  <si>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</si>
  <si>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</si>
  <si>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</si>
  <si>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</si>
  <si>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</si>
  <si>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</si>
  <si>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</si>
  <si>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</si>
  <si>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</si>
  <si>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</si>
  <si>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</si>
  <si>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</si>
  <si>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</si>
  <si>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</si>
  <si>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</si>
  <si>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</si>
  <si>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</si>
  <si>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</si>
  <si>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</si>
  <si>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</si>
  <si>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</si>
  <si>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</si>
  <si>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</si>
  <si>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</si>
  <si>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</si>
  <si>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</si>
  <si>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</si>
  <si>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</si>
  <si>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</si>
  <si>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</si>
  <si>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</si>
  <si>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</si>
  <si>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</si>
  <si>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</si>
  <si>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</si>
  <si>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</si>
  <si>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</si>
  <si>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</si>
  <si>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</si>
  <si>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</si>
  <si>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</si>
  <si>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</si>
  <si>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</si>
  <si>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</si>
  <si>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</si>
  <si>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</si>
  <si>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</si>
  <si>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</si>
  <si>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</si>
  <si>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</si>
  <si>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</si>
  <si>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</si>
  <si>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</si>
  <si>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</si>
  <si>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</si>
  <si>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</si>
  <si>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</si>
  <si>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</si>
  <si>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</si>
  <si>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</si>
  <si>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</si>
  <si>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</si>
  <si>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</si>
  <si>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</si>
  <si>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</si>
  <si>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</si>
  <si>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</si>
  <si>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</si>
  <si>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</si>
  <si>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</si>
  <si>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</si>
  <si>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</si>
  <si>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</si>
  <si>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</si>
  <si>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</si>
  <si>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</si>
  <si>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</si>
  <si>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</si>
  <si>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</si>
  <si>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</si>
  <si>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</si>
  <si>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</si>
  <si>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</si>
  <si>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</si>
  <si>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</si>
  <si>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</si>
  <si>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</si>
  <si>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</si>
  <si>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</si>
  <si>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</si>
  <si>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</si>
  <si>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</si>
  <si>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</si>
  <si>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</si>
  <si>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</si>
  <si>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</si>
  <si>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</si>
  <si>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</si>
  <si>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</si>
  <si>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</si>
  <si>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</si>
  <si>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</si>
  <si>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</si>
  <si>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</si>
  <si>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</si>
  <si>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</si>
  <si>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</si>
  <si>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</si>
  <si>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</si>
  <si>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</si>
  <si>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</si>
  <si>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</si>
  <si>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</si>
  <si>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</si>
  <si>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</si>
  <si>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</si>
  <si>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</si>
  <si>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</si>
  <si>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</si>
  <si>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</si>
  <si>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</si>
  <si>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</si>
  <si>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</si>
  <si>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</si>
  <si>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</si>
  <si>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</si>
  <si>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</si>
  <si>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</si>
  <si>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</si>
  <si>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</si>
  <si>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</si>
  <si>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</si>
  <si>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</si>
  <si>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</si>
  <si>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</si>
  <si>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</si>
  <si>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</si>
  <si>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</si>
  <si>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</si>
  <si>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</si>
  <si>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</si>
  <si>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</si>
  <si>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</si>
  <si>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</si>
  <si>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</si>
  <si>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</si>
  <si>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</si>
  <si>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</si>
  <si>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</si>
  <si>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</si>
  <si>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</si>
  <si>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</si>
  <si>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</si>
  <si>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</si>
  <si>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</si>
  <si>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</si>
  <si>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</si>
  <si>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</si>
  <si>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</si>
  <si>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</si>
  <si>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</si>
  <si>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</si>
  <si>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</si>
  <si>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</si>
  <si>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</si>
  <si>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</si>
  <si>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</si>
  <si>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</si>
  <si>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</si>
  <si>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</si>
  <si>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</si>
  <si>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</si>
  <si>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</si>
  <si>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</si>
  <si>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</si>
  <si>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</si>
  <si>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</si>
  <si>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</si>
  <si>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</si>
  <si>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</si>
  <si>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</si>
  <si>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</si>
  <si>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</si>
  <si>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</si>
  <si>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</si>
  <si>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</si>
  <si>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</si>
  <si>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</si>
  <si>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</si>
  <si>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</si>
  <si>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</si>
  <si>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</si>
  <si>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</si>
  <si>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</si>
  <si>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</si>
  <si>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</si>
  <si>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</si>
  <si>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98.2</t>
  </si>
  <si>
    <t>98</t>
  </si>
  <si>
    <t>98.5</t>
  </si>
  <si>
    <t>97.9</t>
  </si>
  <si>
    <t>97.7</t>
  </si>
  <si>
    <t>99.1</t>
  </si>
  <si>
    <t>99.9</t>
  </si>
  <si>
    <t>100</t>
  </si>
  <si>
    <t>87.1</t>
  </si>
  <si>
    <t>91.1</t>
  </si>
  <si>
    <t>93.5</t>
  </si>
  <si>
    <t>89</t>
  </si>
  <si>
    <t>86.5</t>
  </si>
  <si>
    <t>82.2</t>
  </si>
  <si>
    <t>91.4</t>
  </si>
  <si>
    <t>83.4</t>
  </si>
  <si>
    <t>81.7</t>
  </si>
  <si>
    <t>84.4</t>
  </si>
  <si>
    <t>99.7</t>
  </si>
  <si>
    <t>99.2</t>
  </si>
  <si>
    <t>99.5</t>
  </si>
  <si>
    <t>99.3</t>
  </si>
  <si>
    <t>99.4</t>
  </si>
  <si>
    <t>94.7</t>
  </si>
  <si>
    <t>94.4</t>
  </si>
  <si>
    <t>95.9</t>
  </si>
  <si>
    <t>94.5</t>
  </si>
  <si>
    <t>90.8</t>
  </si>
  <si>
    <t>92.6</t>
  </si>
  <si>
    <t>94.1</t>
  </si>
  <si>
    <t>93.2</t>
  </si>
  <si>
    <t>94</t>
  </si>
  <si>
    <t>98.8</t>
  </si>
  <si>
    <t>98.9</t>
  </si>
  <si>
    <t>98.6</t>
  </si>
  <si>
    <t>97.8</t>
  </si>
  <si>
    <t>97.2</t>
  </si>
  <si>
    <t>97.1</t>
  </si>
  <si>
    <t>91.2</t>
  </si>
  <si>
    <t>96.2</t>
  </si>
  <si>
    <t>98.3</t>
  </si>
  <si>
    <t>90.7</t>
  </si>
  <si>
    <t>92.8</t>
  </si>
  <si>
    <t>95.1</t>
  </si>
  <si>
    <t>98.1</t>
  </si>
  <si>
    <t>98.4</t>
  </si>
  <si>
    <t>97.5</t>
  </si>
  <si>
    <t>97.6</t>
  </si>
  <si>
    <t>96</t>
  </si>
  <si>
    <t>99.6</t>
  </si>
  <si>
    <t>99.8</t>
  </si>
  <si>
    <t>95</t>
  </si>
  <si>
    <t>96.5</t>
  </si>
  <si>
    <t>95.8</t>
  </si>
  <si>
    <t>97.3</t>
  </si>
  <si>
    <t>98.7</t>
  </si>
  <si>
    <t>96.9</t>
  </si>
  <si>
    <t>95.4</t>
  </si>
  <si>
    <t>95.5</t>
  </si>
  <si>
    <t>96.6</t>
  </si>
  <si>
    <t>97.4</t>
  </si>
  <si>
    <t>96.8</t>
  </si>
  <si>
    <t>95.6</t>
  </si>
  <si>
    <t>96.1</t>
  </si>
  <si>
    <t>83</t>
  </si>
  <si>
    <t>87.4</t>
  </si>
  <si>
    <t>94.2</t>
  </si>
  <si>
    <t>96.4</t>
  </si>
  <si>
    <t>93.8</t>
  </si>
  <si>
    <t>92</t>
  </si>
  <si>
    <t>0</t>
  </si>
  <si>
    <t>50</t>
  </si>
  <si>
    <t>99</t>
  </si>
  <si>
    <t>84.5</t>
  </si>
  <si>
    <t>93.9</t>
  </si>
  <si>
    <t>85.9</t>
  </si>
  <si>
    <t>92.2</t>
  </si>
  <si>
    <t>87.8</t>
  </si>
  <si>
    <t>91.7</t>
  </si>
  <si>
    <t>82.6</t>
  </si>
  <si>
    <t>83.1</t>
  </si>
  <si>
    <t>76.5</t>
  </si>
  <si>
    <t>93.7</t>
  </si>
  <si>
    <t>95.2</t>
  </si>
  <si>
    <t>97</t>
  </si>
  <si>
    <t>96.7</t>
  </si>
  <si>
    <t>82.9</t>
  </si>
  <si>
    <t>88.2</t>
  </si>
  <si>
    <t>95.7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</si>
  <si>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</si>
  <si>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</si>
  <si>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</si>
  <si>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</si>
  <si>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</si>
  <si>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</si>
  <si>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</si>
  <si>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</si>
  <si>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</si>
  <si>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</si>
  <si>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</si>
  <si>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</si>
  <si>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</si>
  <si>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</si>
  <si>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</si>
  <si>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</si>
  <si>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</si>
  <si>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</si>
  <si>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</si>
  <si>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</si>
  <si>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</si>
  <si>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</si>
  <si>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</si>
  <si>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</si>
  <si>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</si>
  <si>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</si>
  <si>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</si>
  <si>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</si>
  <si>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</si>
  <si>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</si>
  <si>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</si>
  <si>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</si>
  <si>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</si>
  <si>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</si>
  <si>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</si>
  <si>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</si>
  <si>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</si>
  <si>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</si>
  <si>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</si>
  <si>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</si>
  <si>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</si>
  <si>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</si>
  <si>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202608</t>
  </si>
  <si>
    <t>2026/08/01</t>
  </si>
  <si>
    <t>2026/08/02</t>
  </si>
  <si>
    <t>2026/08/03</t>
  </si>
  <si>
    <t>2026/08/04</t>
  </si>
  <si>
    <t>2026/08/05</t>
  </si>
  <si>
    <t>2026/08/06</t>
  </si>
  <si>
    <t>2026/08/07</t>
  </si>
  <si>
    <t>2026/08/08</t>
  </si>
  <si>
    <t>2026/08/09</t>
  </si>
  <si>
    <t>2026/08/10</t>
  </si>
  <si>
    <t>2026/08/11</t>
  </si>
  <si>
    <t>2026/08/12</t>
  </si>
  <si>
    <t>2026/08/13</t>
  </si>
  <si>
    <t>2026/08/14</t>
  </si>
  <si>
    <t>2026/08/15</t>
  </si>
  <si>
    <t>2026/08/16</t>
  </si>
  <si>
    <t>2026/08/17</t>
  </si>
  <si>
    <t>2026/08/18</t>
  </si>
  <si>
    <t>2026/08/19</t>
  </si>
  <si>
    <t>2026/08/20</t>
  </si>
  <si>
    <t>2026/08/21</t>
  </si>
  <si>
    <t>2026/08/22</t>
  </si>
  <si>
    <t>2026/08/23</t>
  </si>
  <si>
    <t>2026/08/24</t>
  </si>
  <si>
    <t>2026/08/25</t>
  </si>
  <si>
    <t>2026/08/26</t>
  </si>
  <si>
    <t>2026/08/27</t>
  </si>
  <si>
    <t>2026/08/28</t>
  </si>
  <si>
    <t>2026/08/29</t>
  </si>
  <si>
    <t>2026/08/30</t>
  </si>
  <si>
    <t>2026/08/31</t>
  </si>
  <si>
    <t>2</t>
  </si>
  <si>
    <t>FRCD</t>
  </si>
  <si>
    <t>DIFFAMT</t>
  </si>
  <si>
    <t>AVGAMT</t>
  </si>
  <si>
    <t>01-A</t>
  </si>
  <si>
    <t>293470662.00</t>
  </si>
  <si>
    <t>293468786.00</t>
  </si>
  <si>
    <t>297016908.00</t>
  </si>
  <si>
    <t>298586539.00</t>
  </si>
  <si>
    <t>304354769.00</t>
  </si>
  <si>
    <t>308922262.00</t>
  </si>
  <si>
    <t>310942563.00</t>
  </si>
  <si>
    <t>308249757.00</t>
  </si>
  <si>
    <t>308229407.00</t>
  </si>
  <si>
    <t>315596629.00</t>
  </si>
  <si>
    <t>319204769.00</t>
  </si>
  <si>
    <t>325106304.00</t>
  </si>
  <si>
    <t>328545481.00</t>
  </si>
  <si>
    <t>329315174.00</t>
  </si>
  <si>
    <t>324127141.00</t>
  </si>
  <si>
    <t>324120962.00</t>
  </si>
  <si>
    <t>329081403.00</t>
  </si>
  <si>
    <t>324753038.00</t>
  </si>
  <si>
    <t>323616936.00</t>
  </si>
  <si>
    <t>319163485.00</t>
  </si>
  <si>
    <t>315295082.00</t>
  </si>
  <si>
    <t>311700845.00</t>
  </si>
  <si>
    <t>311702130.00</t>
  </si>
  <si>
    <t>311559795.00</t>
  </si>
  <si>
    <t>311582152.00</t>
  </si>
  <si>
    <t>314630952.00</t>
  </si>
  <si>
    <t>315645274.00</t>
  </si>
  <si>
    <t>313637144.00</t>
  </si>
  <si>
    <t>311419392.00</t>
  </si>
  <si>
    <t>311751244.00</t>
  </si>
  <si>
    <t>310558267.00</t>
  </si>
  <si>
    <t>-1192977.00</t>
  </si>
  <si>
    <t>313721137.16</t>
  </si>
  <si>
    <t>02-D</t>
  </si>
  <si>
    <t>183804104.00</t>
  </si>
  <si>
    <t>183799652.00</t>
  </si>
  <si>
    <t>187230344.00</t>
  </si>
  <si>
    <t>188638695.00</t>
  </si>
  <si>
    <t>190216630.00</t>
  </si>
  <si>
    <t>189353602.00</t>
  </si>
  <si>
    <t>188143747.00</t>
  </si>
  <si>
    <t>186958515.00</t>
  </si>
  <si>
    <t>185993415.00</t>
  </si>
  <si>
    <t>186318055.00</t>
  </si>
  <si>
    <t>188389580.00</t>
  </si>
  <si>
    <t>190610356.00</t>
  </si>
  <si>
    <t>191841000.00</t>
  </si>
  <si>
    <t>190478068.00</t>
  </si>
  <si>
    <t>193000475.00</t>
  </si>
  <si>
    <t>192538180.00</t>
  </si>
  <si>
    <t>193227846.00</t>
  </si>
  <si>
    <t>193012786.00</t>
  </si>
  <si>
    <t>192411725.00</t>
  </si>
  <si>
    <t>191091513.00</t>
  </si>
  <si>
    <t>192620324.00</t>
  </si>
  <si>
    <t>193142831.00</t>
  </si>
  <si>
    <t>194992197.00</t>
  </si>
  <si>
    <t>196239357.00</t>
  </si>
  <si>
    <t>197055297.00</t>
  </si>
  <si>
    <t>195563468.00</t>
  </si>
  <si>
    <t>195596853.00</t>
  </si>
  <si>
    <t>194451579.00</t>
  </si>
  <si>
    <t>-1145274.00</t>
  </si>
  <si>
    <t>190814460.97</t>
  </si>
  <si>
    <t>03-J</t>
  </si>
  <si>
    <t>4389403.00</t>
  </si>
  <si>
    <t>3689273.00</t>
  </si>
  <si>
    <t>3226777.00</t>
  </si>
  <si>
    <t>3790860.00</t>
  </si>
  <si>
    <t>4112564.00</t>
  </si>
  <si>
    <t>5681515.00</t>
  </si>
  <si>
    <t>3508158.00</t>
  </si>
  <si>
    <t>4003308.00</t>
  </si>
  <si>
    <t>4232252.00</t>
  </si>
  <si>
    <t>4195099.00</t>
  </si>
  <si>
    <t>5840540.00</t>
  </si>
  <si>
    <t>5086617.00</t>
  </si>
  <si>
    <t>3710993.00</t>
  </si>
  <si>
    <t>6960677.00</t>
  </si>
  <si>
    <t>6218204.00</t>
  </si>
  <si>
    <t>6166036.00</t>
  </si>
  <si>
    <t>6152069.00</t>
  </si>
  <si>
    <t>8621647.00</t>
  </si>
  <si>
    <t>6651379.00</t>
  </si>
  <si>
    <t>5369772.00</t>
  </si>
  <si>
    <t>5398180.00</t>
  </si>
  <si>
    <t>6191449.00</t>
  </si>
  <si>
    <t>7201313.00</t>
  </si>
  <si>
    <t>7905580.00</t>
  </si>
  <si>
    <t>5539676.00</t>
  </si>
  <si>
    <t>7369846.00</t>
  </si>
  <si>
    <t>1830170.00</t>
  </si>
  <si>
    <t>5322993.42</t>
  </si>
  <si>
    <t>04-O</t>
  </si>
  <si>
    <t>16598318.00</t>
  </si>
  <si>
    <t>17140537.00</t>
  </si>
  <si>
    <t>17222883.00</t>
  </si>
  <si>
    <t>17322814.00</t>
  </si>
  <si>
    <t>17418512.00</t>
  </si>
  <si>
    <t>17247200.00</t>
  </si>
  <si>
    <t>17230105.00</t>
  </si>
  <si>
    <t>17199844.00</t>
  </si>
  <si>
    <t>17082548.00</t>
  </si>
  <si>
    <t>16881663.00</t>
  </si>
  <si>
    <t>16878387.00</t>
  </si>
  <si>
    <t>16783161.00</t>
  </si>
  <si>
    <t>16773777.00</t>
  </si>
  <si>
    <t>16795273.00</t>
  </si>
  <si>
    <t>16667034.00</t>
  </si>
  <si>
    <t>16604202.00</t>
  </si>
  <si>
    <t>16565500.00</t>
  </si>
  <si>
    <t>16504973.00</t>
  </si>
  <si>
    <t>16486548.00</t>
  </si>
  <si>
    <t>16369709.00</t>
  </si>
  <si>
    <t>16263928.00</t>
  </si>
  <si>
    <t>16606950.00</t>
  </si>
  <si>
    <t>16383155.00</t>
  </si>
  <si>
    <t>16313747.00</t>
  </si>
  <si>
    <t>16288960.00</t>
  </si>
  <si>
    <t>16427933.00</t>
  </si>
  <si>
    <t>138973.00</t>
  </si>
  <si>
    <t>16755979.65</t>
  </si>
  <si>
    <t>05-N</t>
  </si>
  <si>
    <t>27465968.00</t>
  </si>
  <si>
    <t>27464326.00</t>
  </si>
  <si>
    <t>26122374.00</t>
  </si>
  <si>
    <t>30426380.00</t>
  </si>
  <si>
    <t>30014437.00</t>
  </si>
  <si>
    <t>29442315.00</t>
  </si>
  <si>
    <t>33325562.00</t>
  </si>
  <si>
    <t>30840203.00</t>
  </si>
  <si>
    <t>29678981.00</t>
  </si>
  <si>
    <t>32021060.00</t>
  </si>
  <si>
    <t>32569485.00</t>
  </si>
  <si>
    <t>33131329.00</t>
  </si>
  <si>
    <t>32937339.00</t>
  </si>
  <si>
    <t>30093668.00</t>
  </si>
  <si>
    <t>30093658.00</t>
  </si>
  <si>
    <t>29032862.00</t>
  </si>
  <si>
    <t>31971373.00</t>
  </si>
  <si>
    <t>31724674.00</t>
  </si>
  <si>
    <t>32146259.00</t>
  </si>
  <si>
    <t>35215676.00</t>
  </si>
  <si>
    <t>32259834.00</t>
  </si>
  <si>
    <t>31923160.00</t>
  </si>
  <si>
    <t>36098891.00</t>
  </si>
  <si>
    <t>36696191.00</t>
  </si>
  <si>
    <t>36626953.00</t>
  </si>
  <si>
    <t>36967312.00</t>
  </si>
  <si>
    <t>34569616.00</t>
  </si>
  <si>
    <t>34580586.00</t>
  </si>
  <si>
    <t>34687879.00</t>
  </si>
  <si>
    <t>107293.00</t>
  </si>
  <si>
    <t>32039625.42</t>
  </si>
  <si>
    <t>06-C</t>
  </si>
  <si>
    <t>.00</t>
  </si>
  <si>
    <t>07-H</t>
  </si>
  <si>
    <t>19267997.00</t>
  </si>
  <si>
    <t>15619104.00</t>
  </si>
  <si>
    <t>14193593.00</t>
  </si>
  <si>
    <t>13993936.00</t>
  </si>
  <si>
    <t>13545012.00</t>
  </si>
  <si>
    <t>15652239.00</t>
  </si>
  <si>
    <t>12565507.00</t>
  </si>
  <si>
    <t>10197820.00</t>
  </si>
  <si>
    <t>11317368.00</t>
  </si>
  <si>
    <t>12222871.00</t>
  </si>
  <si>
    <t>12986646.00</t>
  </si>
  <si>
    <t>13137566.00</t>
  </si>
  <si>
    <t>9214717.00</t>
  </si>
  <si>
    <t>9500899.00</t>
  </si>
  <si>
    <t>10094907.00</t>
  </si>
  <si>
    <t>11769339.00</t>
  </si>
  <si>
    <t>10901856.00</t>
  </si>
  <si>
    <t>14144489.00</t>
  </si>
  <si>
    <t>10811337.00</t>
  </si>
  <si>
    <t>9361041.00</t>
  </si>
  <si>
    <t>10128334.00</t>
  </si>
  <si>
    <t>9596898.00</t>
  </si>
  <si>
    <t>9979346.00</t>
  </si>
  <si>
    <t>12688258.00</t>
  </si>
  <si>
    <t>9178883.00</t>
  </si>
  <si>
    <t>15740447.00</t>
  </si>
  <si>
    <t>6561564.00</t>
  </si>
  <si>
    <t>12220930.68</t>
  </si>
  <si>
    <t>08-E</t>
  </si>
  <si>
    <t>09-F</t>
  </si>
  <si>
    <t>3805262.00</t>
  </si>
  <si>
    <t>3582402.00</t>
  </si>
  <si>
    <t>3468327.00</t>
  </si>
  <si>
    <t>3273322.00</t>
  </si>
  <si>
    <t>3195562.00</t>
  </si>
  <si>
    <t>3465712.00</t>
  </si>
  <si>
    <t>3323342.00</t>
  </si>
  <si>
    <t>3160377.00</t>
  </si>
  <si>
    <t>3081022.00</t>
  </si>
  <si>
    <t>2963922.00</t>
  </si>
  <si>
    <t>2854757.00</t>
  </si>
  <si>
    <t>2808287.00</t>
  </si>
  <si>
    <t>2677642.00</t>
  </si>
  <si>
    <t>2903057.00</t>
  </si>
  <si>
    <t>2766517.00</t>
  </si>
  <si>
    <t>2651727.00</t>
  </si>
  <si>
    <t>2622387.00</t>
  </si>
  <si>
    <t>2970422.00</t>
  </si>
  <si>
    <t>2921382.00</t>
  </si>
  <si>
    <t>2846442.00</t>
  </si>
  <si>
    <t>2803582.00</t>
  </si>
  <si>
    <t>3468712.00</t>
  </si>
  <si>
    <t>3530817.00</t>
  </si>
  <si>
    <t>3442237.00</t>
  </si>
  <si>
    <t>3364312.00</t>
  </si>
  <si>
    <t>3254017.00</t>
  </si>
  <si>
    <t>-110295.00</t>
  </si>
  <si>
    <t>3138628.61</t>
  </si>
  <si>
    <t>10-P</t>
  </si>
  <si>
    <t>106839.00</t>
  </si>
  <si>
    <t>98014.00</t>
  </si>
  <si>
    <t>103138.19</t>
  </si>
  <si>
    <t>11-G</t>
  </si>
  <si>
    <t>2540.00</t>
  </si>
  <si>
    <t>2357.00</t>
  </si>
  <si>
    <t>2410.13</t>
  </si>
  <si>
    <t>12-M</t>
  </si>
  <si>
    <t>570807.00</t>
  </si>
  <si>
    <t>601153.00</t>
  </si>
  <si>
    <t>558079.00</t>
  </si>
  <si>
    <t>1411797.00</t>
  </si>
  <si>
    <t>2635034.00</t>
  </si>
  <si>
    <t>3600237.00</t>
  </si>
  <si>
    <t>2857741.00</t>
  </si>
  <si>
    <t>2634160.00</t>
  </si>
  <si>
    <t>2118007.00</t>
  </si>
  <si>
    <t>1842119.00</t>
  </si>
  <si>
    <t>1573856.00</t>
  </si>
  <si>
    <t>2862728.00</t>
  </si>
  <si>
    <t>2174829.00</t>
  </si>
  <si>
    <t>2788878.00</t>
  </si>
  <si>
    <t>2454452.00</t>
  </si>
  <si>
    <t>2529689.00</t>
  </si>
  <si>
    <t>2218947.00</t>
  </si>
  <si>
    <t>2702388.00</t>
  </si>
  <si>
    <t>1857394.00</t>
  </si>
  <si>
    <t>2116599.00</t>
  </si>
  <si>
    <t>1766480.00</t>
  </si>
  <si>
    <t>2082859.00</t>
  </si>
  <si>
    <t>1865996.00</t>
  </si>
  <si>
    <t>1876167.00</t>
  </si>
  <si>
    <t>1819812.00</t>
  </si>
  <si>
    <t>3159224.00</t>
  </si>
  <si>
    <t>1339412.00</t>
  </si>
  <si>
    <t>2063226.29</t>
  </si>
  <si>
    <t>13-U</t>
  </si>
  <si>
    <t>285628.00</t>
  </si>
  <si>
    <t>280868.00</t>
  </si>
  <si>
    <t>334328.00</t>
  </si>
  <si>
    <t>333328.00</t>
  </si>
  <si>
    <t>332788.00</t>
  </si>
  <si>
    <t>328028.00</t>
  </si>
  <si>
    <t>323548.00</t>
  </si>
  <si>
    <t>312728.00</t>
  </si>
  <si>
    <t>310568.00</t>
  </si>
  <si>
    <t>301328.00</t>
  </si>
  <si>
    <t>299708.00</t>
  </si>
  <si>
    <t>299168.00</t>
  </si>
  <si>
    <t>296248.00</t>
  </si>
  <si>
    <t>295168.00</t>
  </si>
  <si>
    <t>293548.00</t>
  </si>
  <si>
    <t>290628.00</t>
  </si>
  <si>
    <t>290088.00</t>
  </si>
  <si>
    <t>289548.00</t>
  </si>
  <si>
    <t>287308.00</t>
  </si>
  <si>
    <t>285068.00</t>
  </si>
  <si>
    <t>281868.00</t>
  </si>
  <si>
    <t>280248.00</t>
  </si>
  <si>
    <t>279168.00</t>
  </si>
  <si>
    <t>299651.23</t>
  </si>
  <si>
    <t>14-L</t>
  </si>
  <si>
    <t>2773.00</t>
  </si>
  <si>
    <t>11402.00</t>
  </si>
  <si>
    <t>3051.35</t>
  </si>
  <si>
    <t>18-T</t>
  </si>
  <si>
    <t>9317215.00</t>
  </si>
  <si>
    <t>9402486.00</t>
  </si>
  <si>
    <t>9332091.00</t>
  </si>
  <si>
    <t>8859895.00</t>
  </si>
  <si>
    <t>7952134.00</t>
  </si>
  <si>
    <t>7524162.00</t>
  </si>
  <si>
    <t>6661519.00</t>
  </si>
  <si>
    <t>6100111.00</t>
  </si>
  <si>
    <t>7094780.00</t>
  </si>
  <si>
    <t>6917700.00</t>
  </si>
  <si>
    <t>7151258.00</t>
  </si>
  <si>
    <t>6940196.00</t>
  </si>
  <si>
    <t>6052339.00</t>
  </si>
  <si>
    <t>5797946.00</t>
  </si>
  <si>
    <t>5997745.00</t>
  </si>
  <si>
    <t>6884857.00</t>
  </si>
  <si>
    <t>6531514.00</t>
  </si>
  <si>
    <t>7008526.00</t>
  </si>
  <si>
    <t>6426154.00</t>
  </si>
  <si>
    <t>6601247.00</t>
  </si>
  <si>
    <t>6769967.00</t>
  </si>
  <si>
    <t>6723330.00</t>
  </si>
  <si>
    <t>6812233.00</t>
  </si>
  <si>
    <t>7231124.00</t>
  </si>
  <si>
    <t>6644818.00</t>
  </si>
  <si>
    <t>26470539.00</t>
  </si>
  <si>
    <t>19825721.00</t>
  </si>
  <si>
    <t>7751868.74</t>
  </si>
  <si>
    <t>19-V</t>
  </si>
  <si>
    <t>10649937.00</t>
  </si>
  <si>
    <t>10233308.00</t>
  </si>
  <si>
    <t>10173900.00</t>
  </si>
  <si>
    <t>9762501.00</t>
  </si>
  <si>
    <t>10249890.00</t>
  </si>
  <si>
    <t>9886771.00</t>
  </si>
  <si>
    <t>9144091.00</t>
  </si>
  <si>
    <t>9932562.00</t>
  </si>
  <si>
    <t>9628268.00</t>
  </si>
  <si>
    <t>9537075.00</t>
  </si>
  <si>
    <t>9758514.00</t>
  </si>
  <si>
    <t>9965236.00</t>
  </si>
  <si>
    <t>9127839.00</t>
  </si>
  <si>
    <t>9381770.00</t>
  </si>
  <si>
    <t>9399822.00</t>
  </si>
  <si>
    <t>9342287.00</t>
  </si>
  <si>
    <t>9687445.00</t>
  </si>
  <si>
    <t>9959992.00</t>
  </si>
  <si>
    <t>9093907.00</t>
  </si>
  <si>
    <t>10292366.00</t>
  </si>
  <si>
    <t>9893267.00</t>
  </si>
  <si>
    <t>10125024.00</t>
  </si>
  <si>
    <t>11144734.00</t>
  </si>
  <si>
    <t>11609281.00</t>
  </si>
  <si>
    <t>11083510.00</t>
  </si>
  <si>
    <t>11026682.00</t>
  </si>
  <si>
    <t>-56828.00</t>
  </si>
  <si>
    <t>9973847.19</t>
  </si>
  <si>
    <t>20-S</t>
  </si>
  <si>
    <t>6429488.00</t>
  </si>
  <si>
    <t>6428850.00</t>
  </si>
  <si>
    <t>6425432.00</t>
  </si>
  <si>
    <t>6419146.00</t>
  </si>
  <si>
    <t>6414610.00</t>
  </si>
  <si>
    <t>6401785.00</t>
  </si>
  <si>
    <t>6388758.00</t>
  </si>
  <si>
    <t>6387869.00</t>
  </si>
  <si>
    <t>6388751.00</t>
  </si>
  <si>
    <t>6388082.00</t>
  </si>
  <si>
    <t>6386857.00</t>
  </si>
  <si>
    <t>6360818.00</t>
  </si>
  <si>
    <t>6359306.00</t>
  </si>
  <si>
    <t>6379915.00</t>
  </si>
  <si>
    <t>6341263.00</t>
  </si>
  <si>
    <t>6338711.00</t>
  </si>
  <si>
    <t>6336022.00</t>
  </si>
  <si>
    <t>6331605.00</t>
  </si>
  <si>
    <t>6329955.00</t>
  </si>
  <si>
    <t>6332950.00</t>
  </si>
  <si>
    <t>6365438.00</t>
  </si>
  <si>
    <t>6342455.00</t>
  </si>
  <si>
    <t>6348555.00</t>
  </si>
  <si>
    <t>6332960.00</t>
  </si>
  <si>
    <t>6330428.00</t>
  </si>
  <si>
    <t>6324517.00</t>
  </si>
  <si>
    <t>-5911.00</t>
  </si>
  <si>
    <t>6369434.23</t>
  </si>
  <si>
    <t>21-Q</t>
  </si>
  <si>
    <t>162800.00</t>
  </si>
  <si>
    <t>22-2</t>
  </si>
  <si>
    <t>14160.00</t>
  </si>
  <si>
    <t>23-3</t>
  </si>
  <si>
    <t>186876.00</t>
  </si>
  <si>
    <t>150696.00</t>
  </si>
  <si>
    <t>157698.58</t>
  </si>
  <si>
    <t>24-4</t>
  </si>
  <si>
    <t>25-5</t>
  </si>
  <si>
    <t>26-6</t>
  </si>
  <si>
    <t>6151209.00</t>
  </si>
  <si>
    <t>5358480.00</t>
  </si>
  <si>
    <t>6409066.00</t>
  </si>
  <si>
    <t>6033408.00</t>
  </si>
  <si>
    <t>6388090.00</t>
  </si>
  <si>
    <t>5907075.00</t>
  </si>
  <si>
    <t>5211318.00</t>
  </si>
  <si>
    <t>5003090.00</t>
  </si>
  <si>
    <t>5823154.00</t>
  </si>
  <si>
    <t>6405287.00</t>
  </si>
  <si>
    <t>7016491.00</t>
  </si>
  <si>
    <t>7334064.00</t>
  </si>
  <si>
    <t>6472700.00</t>
  </si>
  <si>
    <t>6250501.00</t>
  </si>
  <si>
    <t>6271638.00</t>
  </si>
  <si>
    <t>8573738.00</t>
  </si>
  <si>
    <t>8305718.00</t>
  </si>
  <si>
    <t>8062109.00</t>
  </si>
  <si>
    <t>7567732.00</t>
  </si>
  <si>
    <t>8797694.00</t>
  </si>
  <si>
    <t>10231835.00</t>
  </si>
  <si>
    <t>10495924.00</t>
  </si>
  <si>
    <t>10786757.00</t>
  </si>
  <si>
    <t>11506705.00</t>
  </si>
  <si>
    <t>11284984.00</t>
  </si>
  <si>
    <t>10064819.00</t>
  </si>
  <si>
    <t>-1220165.00</t>
  </si>
  <si>
    <t>7561339.65</t>
  </si>
  <si>
    <t>27-7</t>
  </si>
  <si>
    <t>9064995.00</t>
  </si>
  <si>
    <t>8985635.00</t>
  </si>
  <si>
    <t>7848456.00</t>
  </si>
  <si>
    <t>7806826.00</t>
  </si>
  <si>
    <t>8575186.00</t>
  </si>
  <si>
    <t>8502566.00</t>
  </si>
  <si>
    <t>8418386.00</t>
  </si>
  <si>
    <t>8322771.00</t>
  </si>
  <si>
    <t>8098747.00</t>
  </si>
  <si>
    <t>9694555.00</t>
  </si>
  <si>
    <t>9651235.00</t>
  </si>
  <si>
    <t>9559955.00</t>
  </si>
  <si>
    <t>9483315.00</t>
  </si>
  <si>
    <t>9402115.00</t>
  </si>
  <si>
    <t>8416223.00</t>
  </si>
  <si>
    <t>8391823.00</t>
  </si>
  <si>
    <t>8423189.00</t>
  </si>
  <si>
    <t>9151569.00</t>
  </si>
  <si>
    <t>9086329.00</t>
  </si>
  <si>
    <t>9029426.00</t>
  </si>
  <si>
    <t>8798122.00</t>
  </si>
  <si>
    <t>10404192.00</t>
  </si>
  <si>
    <t>10356532.00</t>
  </si>
  <si>
    <t>10315492.00</t>
  </si>
  <si>
    <t>10257352.00</t>
  </si>
  <si>
    <t>10384364.00</t>
  </si>
  <si>
    <t>127012.00</t>
  </si>
  <si>
    <t>9120636.55</t>
  </si>
  <si>
    <t>AVGSR</t>
  </si>
  <si>
    <t>70.6</t>
  </si>
  <si>
    <t>33.3</t>
  </si>
  <si>
    <t>75</t>
  </si>
  <si>
    <t>25</t>
  </si>
  <si>
    <t>66.6</t>
  </si>
  <si>
    <t>40</t>
  </si>
  <si>
    <t>20</t>
  </si>
  <si>
    <t>71.4</t>
  </si>
  <si>
    <t>08-Z</t>
  </si>
  <si>
    <t>09-@</t>
  </si>
  <si>
    <t>10-M</t>
  </si>
  <si>
    <t>86.9</t>
  </si>
  <si>
    <t>11-S</t>
  </si>
  <si>
    <t>42.8</t>
  </si>
  <si>
    <t>62.5</t>
  </si>
  <si>
    <t>27.2</t>
  </si>
  <si>
    <t>57.1</t>
  </si>
  <si>
    <t>72.7</t>
  </si>
  <si>
    <t>37.5</t>
  </si>
  <si>
    <t>23</t>
  </si>
  <si>
    <t>60</t>
  </si>
  <si>
    <t>55.2</t>
  </si>
  <si>
    <t>12-V</t>
  </si>
  <si>
    <t>93</t>
  </si>
  <si>
    <t>96.3</t>
  </si>
  <si>
    <t>92.5</t>
  </si>
  <si>
    <t>13-T</t>
  </si>
  <si>
    <t>92.7</t>
  </si>
  <si>
    <t>95.3</t>
  </si>
  <si>
    <t>14-P</t>
  </si>
  <si>
    <t>16-#</t>
  </si>
  <si>
    <t>17-2</t>
  </si>
  <si>
    <t>18-3</t>
  </si>
  <si>
    <t>19-4</t>
  </si>
  <si>
    <t>20-5</t>
  </si>
  <si>
    <t>21-$</t>
  </si>
  <si>
    <t>22-7</t>
  </si>
  <si>
    <t>23-6</t>
  </si>
  <si>
    <t>93.3</t>
  </si>
  <si>
    <t>89.7</t>
  </si>
  <si>
    <t>86</t>
  </si>
  <si>
    <t>83.6</t>
  </si>
  <si>
    <t>90.4</t>
  </si>
  <si>
    <t>88.7</t>
  </si>
  <si>
    <t>84.7</t>
  </si>
  <si>
    <t>88.4</t>
  </si>
  <si>
    <t>88.3</t>
  </si>
  <si>
    <t>89.3</t>
  </si>
  <si>
    <t>88.1</t>
  </si>
  <si>
    <t>92.1</t>
  </si>
  <si>
    <t>93.6</t>
  </si>
  <si>
    <t>93.4</t>
  </si>
  <si>
    <t>IMPCD</t>
  </si>
  <si>
    <t>4</t>
  </si>
  <si>
    <t>ALL</t>
  </si>
  <si>
    <t>54.5</t>
  </si>
  <si>
    <t>70</t>
  </si>
  <si>
    <t>55.5</t>
  </si>
  <si>
    <t>22.2</t>
  </si>
  <si>
    <t>61.5</t>
  </si>
  <si>
    <t>53.4</t>
  </si>
  <si>
    <t>92.9</t>
  </si>
  <si>
    <t>16-2</t>
  </si>
  <si>
    <t>17-3</t>
  </si>
  <si>
    <t>18-4</t>
  </si>
  <si>
    <t>19-5</t>
  </si>
  <si>
    <t>20-7</t>
  </si>
  <si>
    <t>21-6</t>
  </si>
  <si>
    <t>90.6</t>
  </si>
  <si>
    <t>87.7</t>
  </si>
  <si>
    <t>86.4</t>
  </si>
  <si>
    <t>86.2</t>
  </si>
  <si>
    <t>88</t>
  </si>
  <si>
    <t>90.1</t>
  </si>
  <si>
    <t>91</t>
  </si>
  <si>
    <t>89.2</t>
  </si>
  <si>
    <t>SUMITEMS</t>
  </si>
  <si>
    <t>213.00</t>
  </si>
  <si>
    <t>284.00</t>
  </si>
  <si>
    <t>368.00</t>
  </si>
  <si>
    <t>338.00</t>
  </si>
  <si>
    <t>310.00</t>
  </si>
  <si>
    <t>173.00</t>
  </si>
  <si>
    <t>263.00</t>
  </si>
  <si>
    <t>261.00</t>
  </si>
  <si>
    <t>245.00</t>
  </si>
  <si>
    <t>260.00</t>
  </si>
  <si>
    <t>224.00</t>
  </si>
  <si>
    <t>167.00</t>
  </si>
  <si>
    <t>229.00</t>
  </si>
  <si>
    <t>339.00</t>
  </si>
  <si>
    <t>295.00</t>
  </si>
  <si>
    <t>253.00</t>
  </si>
  <si>
    <t>214.00</t>
  </si>
  <si>
    <t>150.00</t>
  </si>
  <si>
    <t>252.00</t>
  </si>
  <si>
    <t>269.00</t>
  </si>
  <si>
    <t>211.00</t>
  </si>
  <si>
    <t>227.00</t>
  </si>
  <si>
    <t>176.00</t>
  </si>
  <si>
    <t>226.00</t>
  </si>
  <si>
    <t>6500</t>
  </si>
  <si>
    <t>24.00</t>
  </si>
  <si>
    <t>55.00</t>
  </si>
  <si>
    <t>40.00</t>
  </si>
  <si>
    <t>52.00</t>
  </si>
  <si>
    <t>35.00</t>
  </si>
  <si>
    <t>39.00</t>
  </si>
  <si>
    <t>30.00</t>
  </si>
  <si>
    <t>47.00</t>
  </si>
  <si>
    <t>32.00</t>
  </si>
  <si>
    <t>25.00</t>
  </si>
  <si>
    <t>33.00</t>
  </si>
  <si>
    <t>22.00</t>
  </si>
  <si>
    <t>50.00</t>
  </si>
  <si>
    <t>34.00</t>
  </si>
  <si>
    <t>26.00</t>
  </si>
  <si>
    <t>43.00</t>
  </si>
  <si>
    <t>17.00</t>
  </si>
  <si>
    <t>36.00</t>
  </si>
  <si>
    <t>896</t>
  </si>
  <si>
    <t>4.00</t>
  </si>
  <si>
    <t>19.00</t>
  </si>
  <si>
    <t>7.00</t>
  </si>
  <si>
    <t>9.00</t>
  </si>
  <si>
    <t>2.00</t>
  </si>
  <si>
    <t>16.00</t>
  </si>
  <si>
    <t>3.00</t>
  </si>
  <si>
    <t>90.00</t>
  </si>
  <si>
    <t>1.00</t>
  </si>
  <si>
    <t>168</t>
  </si>
  <si>
    <t>5.00</t>
  </si>
  <si>
    <t>20.00</t>
  </si>
  <si>
    <t>28.00</t>
  </si>
  <si>
    <t>21.00</t>
  </si>
  <si>
    <t>41.00</t>
  </si>
  <si>
    <t>13.00</t>
  </si>
  <si>
    <t>14.00</t>
  </si>
  <si>
    <t>8.00</t>
  </si>
  <si>
    <t>11.00</t>
  </si>
  <si>
    <t>15.00</t>
  </si>
  <si>
    <t>10.00</t>
  </si>
  <si>
    <t>383</t>
  </si>
  <si>
    <t>6.00</t>
  </si>
  <si>
    <t>45</t>
  </si>
  <si>
    <t>9</t>
  </si>
  <si>
    <t>82</t>
  </si>
  <si>
    <t>12.00</t>
  </si>
  <si>
    <t>27.00</t>
  </si>
  <si>
    <t>287</t>
  </si>
  <si>
    <t>29.00</t>
  </si>
  <si>
    <t>49.00</t>
  </si>
  <si>
    <t>65.00</t>
  </si>
  <si>
    <t>48.00</t>
  </si>
  <si>
    <t>54.00</t>
  </si>
  <si>
    <t>44.00</t>
  </si>
  <si>
    <t>18.00</t>
  </si>
  <si>
    <t>23.00</t>
  </si>
  <si>
    <t>844</t>
  </si>
  <si>
    <t>137175698.00</t>
  </si>
  <si>
    <t>137175556.00</t>
  </si>
  <si>
    <t>140806006.00</t>
  </si>
  <si>
    <t>139878567.00</t>
  </si>
  <si>
    <t>142860585.00</t>
  </si>
  <si>
    <t>142486518.00</t>
  </si>
  <si>
    <t>141480636.00</t>
  </si>
  <si>
    <t>139496551.00</t>
  </si>
  <si>
    <t>139483874.00</t>
  </si>
  <si>
    <t>140899258.00</t>
  </si>
  <si>
    <t>140173533.00</t>
  </si>
  <si>
    <t>143953620.00</t>
  </si>
  <si>
    <t>145193428.00</t>
  </si>
  <si>
    <t>146685867.00</t>
  </si>
  <si>
    <t>144672256.00</t>
  </si>
  <si>
    <t>144666077.00</t>
  </si>
  <si>
    <t>146759237.00</t>
  </si>
  <si>
    <t>146029083.00</t>
  </si>
  <si>
    <t>148574439.00</t>
  </si>
  <si>
    <t>147140310.00</t>
  </si>
  <si>
    <t>146980146.00</t>
  </si>
  <si>
    <t>145789036.00</t>
  </si>
  <si>
    <t>145953141.00</t>
  </si>
  <si>
    <t>144938761.00</t>
  </si>
  <si>
    <t>146692551.00</t>
  </si>
  <si>
    <t>147348751.00</t>
  </si>
  <si>
    <t>146279128.00</t>
  </si>
  <si>
    <t>144668278.00</t>
  </si>
  <si>
    <t>144673938.00</t>
  </si>
  <si>
    <t>145520147.00</t>
  </si>
  <si>
    <t>143878193.94</t>
  </si>
  <si>
    <t>124767737.00</t>
  </si>
  <si>
    <t>124766003.00</t>
  </si>
  <si>
    <t>125268040.00</t>
  </si>
  <si>
    <t>124987878.00</t>
  </si>
  <si>
    <t>127581412.00</t>
  </si>
  <si>
    <t>128376930.00</t>
  </si>
  <si>
    <t>129536048.00</t>
  </si>
  <si>
    <t>129304235.00</t>
  </si>
  <si>
    <t>129296562.00</t>
  </si>
  <si>
    <t>134058240.00</t>
  </si>
  <si>
    <t>134629525.00</t>
  </si>
  <si>
    <t>135194250.00</t>
  </si>
  <si>
    <t>137363437.00</t>
  </si>
  <si>
    <t>137844292.00</t>
  </si>
  <si>
    <t>135690004.00</t>
  </si>
  <si>
    <t>135203579.00</t>
  </si>
  <si>
    <t>132704494.00</t>
  </si>
  <si>
    <t>129902206.00</t>
  </si>
  <si>
    <t>126649510.00</t>
  </si>
  <si>
    <t>123112156.00</t>
  </si>
  <si>
    <t>121232294.00</t>
  </si>
  <si>
    <t>121233579.00</t>
  </si>
  <si>
    <t>120578870.00</t>
  </si>
  <si>
    <t>119563196.00</t>
  </si>
  <si>
    <t>120057090.00</t>
  </si>
  <si>
    <t>120870497.00</t>
  </si>
  <si>
    <t>121040069.00</t>
  </si>
  <si>
    <t>121465878.00</t>
  </si>
  <si>
    <t>121792070.00</t>
  </si>
  <si>
    <t>120606558.00</t>
  </si>
  <si>
    <t>127431182.03</t>
  </si>
  <si>
    <t>31527227.00</t>
  </si>
  <si>
    <t>30942862.00</t>
  </si>
  <si>
    <t>33720094.00</t>
  </si>
  <si>
    <t>33912772.00</t>
  </si>
  <si>
    <t>38058814.00</t>
  </si>
  <si>
    <t>39925879.00</t>
  </si>
  <si>
    <t>39448971.00</t>
  </si>
  <si>
    <t>40639131.00</t>
  </si>
  <si>
    <t>44401711.00</t>
  </si>
  <si>
    <t>45958434.00</t>
  </si>
  <si>
    <t>45988616.00</t>
  </si>
  <si>
    <t>44785015.00</t>
  </si>
  <si>
    <t>43764881.00</t>
  </si>
  <si>
    <t>47118587.00</t>
  </si>
  <si>
    <t>46019461.00</t>
  </si>
  <si>
    <t>45140291.00</t>
  </si>
  <si>
    <t>45373665.00</t>
  </si>
  <si>
    <t>45202780.00</t>
  </si>
  <si>
    <t>44679515.00</t>
  </si>
  <si>
    <t>45027784.00</t>
  </si>
  <si>
    <t>47080195.00</t>
  </si>
  <si>
    <t>47881311.00</t>
  </si>
  <si>
    <t>47426026.00</t>
  </si>
  <si>
    <t>46317947.00</t>
  </si>
  <si>
    <t>45285236.00</t>
  </si>
  <si>
    <t>44431562.00</t>
  </si>
  <si>
    <t>42411761.19</t>
  </si>
  <si>
    <t>7279797.00</t>
  </si>
  <si>
    <t>7440794.00</t>
  </si>
  <si>
    <t>7005679.00</t>
  </si>
  <si>
    <t>6991283.00</t>
  </si>
  <si>
    <t>6888690.00</t>
  </si>
  <si>
    <t>6907461.00</t>
  </si>
  <si>
    <t>6921351.00</t>
  </si>
  <si>
    <t>7048698.00</t>
  </si>
  <si>
    <t>7106545.00</t>
  </si>
  <si>
    <t>7341334.00</t>
  </si>
  <si>
    <t>7425412.00</t>
  </si>
  <si>
    <t>7627271.00</t>
  </si>
  <si>
    <t>7666241.00</t>
  </si>
  <si>
    <t>7784710.00</t>
  </si>
  <si>
    <t>7045268.00</t>
  </si>
  <si>
    <t>7159070.00</t>
  </si>
  <si>
    <t>7075883.00</t>
  </si>
  <si>
    <t>7134600.00</t>
  </si>
  <si>
    <t>7150735.00</t>
  </si>
  <si>
    <t>7165093.00</t>
  </si>
  <si>
    <t>7100066.00</t>
  </si>
  <si>
    <t>6909465.00</t>
  </si>
  <si>
    <t>6701003.00</t>
  </si>
  <si>
    <t>6376977.00</t>
  </si>
  <si>
    <t>6403368.00</t>
  </si>
  <si>
    <t>6403406.00</t>
  </si>
  <si>
    <t>6374746.00</t>
  </si>
  <si>
    <t>7079131.29</t>
  </si>
  <si>
    <t>8322605.00</t>
  </si>
  <si>
    <t>8676180.00</t>
  </si>
  <si>
    <t>8683385.00</t>
  </si>
  <si>
    <t>8703888.00</t>
  </si>
  <si>
    <t>8422060.00</t>
  </si>
  <si>
    <t>8045043.00</t>
  </si>
  <si>
    <t>8134729.00</t>
  </si>
  <si>
    <t>8157516.00</t>
  </si>
  <si>
    <t>7857852.00</t>
  </si>
  <si>
    <t>7880862.00</t>
  </si>
  <si>
    <t>7795248.00</t>
  </si>
  <si>
    <t>7764671.00</t>
  </si>
  <si>
    <t>7764817.00</t>
  </si>
  <si>
    <t>7707920.00</t>
  </si>
  <si>
    <t>7658012.00</t>
  </si>
  <si>
    <t>7419328.00</t>
  </si>
  <si>
    <t>7291143.00</t>
  </si>
  <si>
    <t>7244370.00</t>
  </si>
  <si>
    <t>7253255.00</t>
  </si>
  <si>
    <t>6942269.00</t>
  </si>
  <si>
    <t>6620274.00</t>
  </si>
  <si>
    <t>6569348.00</t>
  </si>
  <si>
    <t>6534200.00</t>
  </si>
  <si>
    <t>6503118.00</t>
  </si>
  <si>
    <t>6548686.00</t>
  </si>
  <si>
    <t>6550179.00</t>
  </si>
  <si>
    <t>6544894.00</t>
  </si>
  <si>
    <t>7582943.81</t>
  </si>
  <si>
    <t>19783.00</t>
  </si>
  <si>
    <t>20136.00</t>
  </si>
  <si>
    <t>21596.00</t>
  </si>
  <si>
    <t>21878.00</t>
  </si>
  <si>
    <t>18192.00</t>
  </si>
  <si>
    <t>9306.00</t>
  </si>
  <si>
    <t>9311.00</t>
  </si>
  <si>
    <t>10198.00</t>
  </si>
  <si>
    <t>10597.00</t>
  </si>
  <si>
    <t>13068.00</t>
  </si>
  <si>
    <t>9727.00</t>
  </si>
  <si>
    <t>5915.00</t>
  </si>
  <si>
    <t>185235.00</t>
  </si>
  <si>
    <t>187640.00</t>
  </si>
  <si>
    <t>195114.00</t>
  </si>
  <si>
    <t>198141.00</t>
  </si>
  <si>
    <t>199974.00</t>
  </si>
  <si>
    <t>200005.00</t>
  </si>
  <si>
    <t>199753.00</t>
  </si>
  <si>
    <t>199758.00</t>
  </si>
  <si>
    <t>20391.00</t>
  </si>
  <si>
    <t>89597.94</t>
  </si>
  <si>
    <t>7587709.00</t>
  </si>
  <si>
    <t>7829382.00</t>
  </si>
  <si>
    <t>7855116.00</t>
  </si>
  <si>
    <t>7880294.00</t>
  </si>
  <si>
    <t>8056055.00</t>
  </si>
  <si>
    <t>8067539.00</t>
  </si>
  <si>
    <t>8075285.00</t>
  </si>
  <si>
    <t>8042309.00</t>
  </si>
  <si>
    <t>8142465.00</t>
  </si>
  <si>
    <t>8055644.00</t>
  </si>
  <si>
    <t>7964073.00</t>
  </si>
  <si>
    <t>7985395.00</t>
  </si>
  <si>
    <t>8106231.00</t>
  </si>
  <si>
    <t>8127393.00</t>
  </si>
  <si>
    <t>8007180.00</t>
  </si>
  <si>
    <t>7976209.00</t>
  </si>
  <si>
    <t>7961024.00</t>
  </si>
  <si>
    <t>7860723.00</t>
  </si>
  <si>
    <t>7864268.00</t>
  </si>
  <si>
    <t>7786203.00</t>
  </si>
  <si>
    <t>7700083.00</t>
  </si>
  <si>
    <t>7811912.00</t>
  </si>
  <si>
    <t>7912500.00</t>
  </si>
  <si>
    <t>7897086.00</t>
  </si>
  <si>
    <t>7900984.00</t>
  </si>
  <si>
    <t>7900985.00</t>
  </si>
  <si>
    <t>7870461.00</t>
  </si>
  <si>
    <t>7930903.26</t>
  </si>
  <si>
    <t>M</t>
  </si>
  <si>
    <t>86899.00</t>
  </si>
  <si>
    <t>89319.00</t>
  </si>
  <si>
    <t>82060.00</t>
  </si>
  <si>
    <t>82059.00</t>
  </si>
  <si>
    <t>83884.00</t>
  </si>
  <si>
    <t>21464.00</t>
  </si>
  <si>
    <t>23024.00</t>
  </si>
  <si>
    <t>14825.00</t>
  </si>
  <si>
    <t>22085.00</t>
  </si>
  <si>
    <t>46337.45</t>
  </si>
  <si>
    <t>900.00</t>
  </si>
  <si>
    <t>29.03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</si>
  <si>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</si>
  <si>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</si>
  <si>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</si>
  <si>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</si>
  <si>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</si>
  <si>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</si>
  <si>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</si>
  <si>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</si>
  <si>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</si>
  <si>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</si>
  <si>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</si>
  <si>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</si>
  <si>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</si>
  <si>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</si>
  <si>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</si>
  <si>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</si>
  <si>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</si>
  <si>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</si>
  <si>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</si>
  <si>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</si>
  <si>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</si>
  <si>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</si>
  <si>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</si>
  <si>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</si>
  <si>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</si>
  <si>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</si>
  <si>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2026</t>
  </si>
  <si>
    <t>299834672.32</t>
  </si>
  <si>
    <t>307225013.71</t>
  </si>
  <si>
    <t>294153684.23</t>
  </si>
  <si>
    <t>303615613.60</t>
  </si>
  <si>
    <t>303089170.68</t>
  </si>
  <si>
    <t>293058162.43</t>
  </si>
  <si>
    <t>280660315.45</t>
  </si>
  <si>
    <t>297376662.00</t>
  </si>
  <si>
    <t>302224799.00</t>
  </si>
  <si>
    <t>305116846.00</t>
  </si>
  <si>
    <t>306852591.00</t>
  </si>
  <si>
    <t>307882720.00</t>
  </si>
  <si>
    <t>293635390.00</t>
  </si>
  <si>
    <t>290574147.00</t>
  </si>
  <si>
    <t>296341017.00</t>
  </si>
  <si>
    <t>300375359.00</t>
  </si>
  <si>
    <t>165227363.52</t>
  </si>
  <si>
    <t>171806418.89</t>
  </si>
  <si>
    <t>185142109.58</t>
  </si>
  <si>
    <t>201494393.80</t>
  </si>
  <si>
    <t>197100209.52</t>
  </si>
  <si>
    <t>194109777.83</t>
  </si>
  <si>
    <t>183427224.00</t>
  </si>
  <si>
    <t>185472500.00</t>
  </si>
  <si>
    <t>158651008.00</t>
  </si>
  <si>
    <t>175318749.00</t>
  </si>
  <si>
    <t>199041123.00</t>
  </si>
  <si>
    <t>210284655.00</t>
  </si>
  <si>
    <t>194361294.00</t>
  </si>
  <si>
    <t>184619899.00</t>
  </si>
  <si>
    <t>185881792.00</t>
  </si>
  <si>
    <t>186879789.00</t>
  </si>
  <si>
    <t>5684437.16</t>
  </si>
  <si>
    <t>7322154.32</t>
  </si>
  <si>
    <t>5630647.58</t>
  </si>
  <si>
    <t>7013262.93</t>
  </si>
  <si>
    <t>5414422.39</t>
  </si>
  <si>
    <t>4738664.43</t>
  </si>
  <si>
    <t>4285839.87</t>
  </si>
  <si>
    <t>5727061.00</t>
  </si>
  <si>
    <t>5317956.00</t>
  </si>
  <si>
    <t>8522669.00</t>
  </si>
  <si>
    <t>7237880.00</t>
  </si>
  <si>
    <t>10936543.00</t>
  </si>
  <si>
    <t>4908536.00</t>
  </si>
  <si>
    <t>5477175.00</t>
  </si>
  <si>
    <t>6087974.00</t>
  </si>
  <si>
    <t>6926962.00</t>
  </si>
  <si>
    <t>4773461.94</t>
  </si>
  <si>
    <t>4462656.46</t>
  </si>
  <si>
    <t>4174818.16</t>
  </si>
  <si>
    <t>5699307.20</t>
  </si>
  <si>
    <t>7986887.97</t>
  </si>
  <si>
    <t>12898206.30</t>
  </si>
  <si>
    <t>15315525.48</t>
  </si>
  <si>
    <t>7901552.00</t>
  </si>
  <si>
    <t>4695532.00</t>
  </si>
  <si>
    <t>4160961.00</t>
  </si>
  <si>
    <t>4257263.00</t>
  </si>
  <si>
    <t>6915946.00</t>
  </si>
  <si>
    <t>12077872.00</t>
  </si>
  <si>
    <t>14155845.00</t>
  </si>
  <si>
    <t>15707947.00</t>
  </si>
  <si>
    <t>8853052.00</t>
  </si>
  <si>
    <t>28706641.23</t>
  </si>
  <si>
    <t>26607421.00</t>
  </si>
  <si>
    <t>27847352.65</t>
  </si>
  <si>
    <t>28707950.10</t>
  </si>
  <si>
    <t>27835093.10</t>
  </si>
  <si>
    <t>28109129.10</t>
  </si>
  <si>
    <t>26860135.65</t>
  </si>
  <si>
    <t>27810532.00</t>
  </si>
  <si>
    <t>26144769.00</t>
  </si>
  <si>
    <t>30327158.00</t>
  </si>
  <si>
    <t>27847957.00</t>
  </si>
  <si>
    <t>30729681.00</t>
  </si>
  <si>
    <t>31184822.00</t>
  </si>
  <si>
    <t>28714327.00</t>
  </si>
  <si>
    <t>30654529.00</t>
  </si>
  <si>
    <t>29371892.00</t>
  </si>
  <si>
    <t>11976640.10</t>
  </si>
  <si>
    <t>12337838.93</t>
  </si>
  <si>
    <t>11441743.00</t>
  </si>
  <si>
    <t>11521378.63</t>
  </si>
  <si>
    <t>11732807.23</t>
  </si>
  <si>
    <t>10866156.07</t>
  </si>
  <si>
    <t>11808715.00</t>
  </si>
  <si>
    <t>11669326.00</t>
  </si>
  <si>
    <t>8358564.00</t>
  </si>
  <si>
    <t>14672261.00</t>
  </si>
  <si>
    <t>11567400.00</t>
  </si>
  <si>
    <t>16566721.00</t>
  </si>
  <si>
    <t>15490019.00</t>
  </si>
  <si>
    <t>11041548.00</t>
  </si>
  <si>
    <t>22702415.00</t>
  </si>
  <si>
    <t>14342704.00</t>
  </si>
  <si>
    <t>1497237.48</t>
  </si>
  <si>
    <t>1489814.86</t>
  </si>
  <si>
    <t>1555533.19</t>
  </si>
  <si>
    <t>2110874.17</t>
  </si>
  <si>
    <t>2594700.48</t>
  </si>
  <si>
    <t>2536582.23</t>
  </si>
  <si>
    <t>3609860.55</t>
  </si>
  <si>
    <t>2199229.00</t>
  </si>
  <si>
    <t>1289077.00</t>
  </si>
  <si>
    <t>1374367.00</t>
  </si>
  <si>
    <t>1808940.00</t>
  </si>
  <si>
    <t>2724770.00</t>
  </si>
  <si>
    <t>2219395.00</t>
  </si>
  <si>
    <t>3550243.00</t>
  </si>
  <si>
    <t>3966257.00</t>
  </si>
  <si>
    <t>2419007.00</t>
  </si>
  <si>
    <t>114968.03</t>
  </si>
  <si>
    <t>108000.00</t>
  </si>
  <si>
    <t>806.45</t>
  </si>
  <si>
    <t>163.87</t>
  </si>
  <si>
    <t>139.00</t>
  </si>
  <si>
    <t>363.00</t>
  </si>
  <si>
    <t>1654288.48</t>
  </si>
  <si>
    <t>2191549.54</t>
  </si>
  <si>
    <t>1575862.94</t>
  </si>
  <si>
    <t>1918721.60</t>
  </si>
  <si>
    <t>1492150.32</t>
  </si>
  <si>
    <t>1677135.10</t>
  </si>
  <si>
    <t>1705742.00</t>
  </si>
  <si>
    <t>1745064.00</t>
  </si>
  <si>
    <t>1395237.00</t>
  </si>
  <si>
    <t>2518152.00</t>
  </si>
  <si>
    <t>1225378.00</t>
  </si>
  <si>
    <t>1804630.00</t>
  </si>
  <si>
    <t>2070317.00</t>
  </si>
  <si>
    <t>1954838.00</t>
  </si>
  <si>
    <t>734679.00</t>
  </si>
  <si>
    <t>1671890.00</t>
  </si>
  <si>
    <t>153232.84</t>
  </si>
  <si>
    <t>421797.29</t>
  </si>
  <si>
    <t>457168.97</t>
  </si>
  <si>
    <t>390693.00</t>
  </si>
  <si>
    <t>359351.23</t>
  </si>
  <si>
    <t>334777.33</t>
  </si>
  <si>
    <t>334870.26</t>
  </si>
  <si>
    <t>350270.00</t>
  </si>
  <si>
    <t>116058.00</t>
  </si>
  <si>
    <t>514198.00</t>
  </si>
  <si>
    <t>404308.00</t>
  </si>
  <si>
    <t>391188.00</t>
  </si>
  <si>
    <t>322858.00</t>
  </si>
  <si>
    <t>387608.00</t>
  </si>
  <si>
    <t>287248.00</t>
  </si>
  <si>
    <t>346209.00</t>
  </si>
  <si>
    <t>92028.65</t>
  </si>
  <si>
    <t>115688.50</t>
  </si>
  <si>
    <t>86948.10</t>
  </si>
  <si>
    <t>110244.03</t>
  </si>
  <si>
    <t>86659.26</t>
  </si>
  <si>
    <t>29406.83</t>
  </si>
  <si>
    <t>3827.77</t>
  </si>
  <si>
    <t>74972.00</t>
  </si>
  <si>
    <t>102712.00</t>
  </si>
  <si>
    <t>102612.00</t>
  </si>
  <si>
    <t>83222.00</t>
  </si>
  <si>
    <t>119184.00</t>
  </si>
  <si>
    <t>56169.00</t>
  </si>
  <si>
    <t>67064.00</t>
  </si>
  <si>
    <t>17-8</t>
  </si>
  <si>
    <t>6144143.10</t>
  </si>
  <si>
    <t>6624502.46</t>
  </si>
  <si>
    <t>5900638.84</t>
  </si>
  <si>
    <t>5102363.83</t>
  </si>
  <si>
    <t>5888874.71</t>
  </si>
  <si>
    <t>7610703.37</t>
  </si>
  <si>
    <t>6994164.65</t>
  </si>
  <si>
    <t>6323627.00</t>
  </si>
  <si>
    <t>6589897.00</t>
  </si>
  <si>
    <t>7851229.00</t>
  </si>
  <si>
    <t>6149577.00</t>
  </si>
  <si>
    <t>7515941.00</t>
  </si>
  <si>
    <t>7306682.00</t>
  </si>
  <si>
    <t>9051165.00</t>
  </si>
  <si>
    <t>10098360.00</t>
  </si>
  <si>
    <t>7794693.00</t>
  </si>
  <si>
    <t>10283834.97</t>
  </si>
  <si>
    <t>10074047.82</t>
  </si>
  <si>
    <t>11570067.81</t>
  </si>
  <si>
    <t>11090298.63</t>
  </si>
  <si>
    <t>10872506.97</t>
  </si>
  <si>
    <t>11056667.40</t>
  </si>
  <si>
    <t>10095650.58</t>
  </si>
  <si>
    <t>10720439.00</t>
  </si>
  <si>
    <t>10038829.00</t>
  </si>
  <si>
    <t>11733146.00</t>
  </si>
  <si>
    <t>10843853.00</t>
  </si>
  <si>
    <t>11814297.00</t>
  </si>
  <si>
    <t>12096175.00</t>
  </si>
  <si>
    <t>11281946.00</t>
  </si>
  <si>
    <t>11631121.00</t>
  </si>
  <si>
    <t>11348481.00</t>
  </si>
  <si>
    <t>7942536.90</t>
  </si>
  <si>
    <t>7788290.93</t>
  </si>
  <si>
    <t>7577748.45</t>
  </si>
  <si>
    <t>7170796.07</t>
  </si>
  <si>
    <t>6985512.10</t>
  </si>
  <si>
    <t>6688836.20</t>
  </si>
  <si>
    <t>6513543.90</t>
  </si>
  <si>
    <t>7238181.00</t>
  </si>
  <si>
    <t>7730794.00</t>
  </si>
  <si>
    <t>7745653.00</t>
  </si>
  <si>
    <t>7350084.00</t>
  </si>
  <si>
    <t>7162266.00</t>
  </si>
  <si>
    <t>6786336.00</t>
  </si>
  <si>
    <t>6614678.00</t>
  </si>
  <si>
    <t>6439211.00</t>
  </si>
  <si>
    <t>7118432.00</t>
  </si>
  <si>
    <t>133791.10</t>
  </si>
  <si>
    <t>178802.57</t>
  </si>
  <si>
    <t>137735.42</t>
  </si>
  <si>
    <t>138738.60</t>
  </si>
  <si>
    <t>109922.55</t>
  </si>
  <si>
    <t>111836.00</t>
  </si>
  <si>
    <t>154046.32</t>
  </si>
  <si>
    <t>137839.00</t>
  </si>
  <si>
    <t>158004.00</t>
  </si>
  <si>
    <t>166314.00</t>
  </si>
  <si>
    <t>222078.00</t>
  </si>
  <si>
    <t>130752.00</t>
  </si>
  <si>
    <t>76104.00</t>
  </si>
  <si>
    <t>105108.00</t>
  </si>
  <si>
    <t>149319.00</t>
  </si>
  <si>
    <t>5295736.90</t>
  </si>
  <si>
    <t>5008243.64</t>
  </si>
  <si>
    <t>5099825.03</t>
  </si>
  <si>
    <t>5251707.63</t>
  </si>
  <si>
    <t>5529716.32</t>
  </si>
  <si>
    <t>6030730.67</t>
  </si>
  <si>
    <t>6861396.26</t>
  </si>
  <si>
    <t>5582480.00</t>
  </si>
  <si>
    <t>5577439.00</t>
  </si>
  <si>
    <t>5423970.00</t>
  </si>
  <si>
    <t>5718016.00</t>
  </si>
  <si>
    <t>5664986.00</t>
  </si>
  <si>
    <t>6199447.00</t>
  </si>
  <si>
    <t>5066832.00</t>
  </si>
  <si>
    <t>6851508.00</t>
  </si>
  <si>
    <t>5786028.00</t>
  </si>
  <si>
    <t>4342640.74</t>
  </si>
  <si>
    <t>5185411.22</t>
  </si>
  <si>
    <t>5478941.26</t>
  </si>
  <si>
    <t>6608525.86</t>
  </si>
  <si>
    <t>7189715.71</t>
  </si>
  <si>
    <t>7863026.93</t>
  </si>
  <si>
    <t>8471797.16</t>
  </si>
  <si>
    <t>6448580.00</t>
  </si>
  <si>
    <t>4840921.00</t>
  </si>
  <si>
    <t>6036373.00</t>
  </si>
  <si>
    <t>8910550.00</t>
  </si>
  <si>
    <t>7512907.00</t>
  </si>
  <si>
    <t>7773177.00</t>
  </si>
  <si>
    <t>8969899.00</t>
  </si>
  <si>
    <t>9147595.00</t>
  </si>
  <si>
    <t>7598775.00</t>
  </si>
  <si>
    <t>89.1</t>
  </si>
  <si>
    <t>80.9</t>
  </si>
  <si>
    <t>89.8</t>
  </si>
  <si>
    <t>82.5</t>
  </si>
  <si>
    <t>67.1</t>
  </si>
  <si>
    <t>84.2</t>
  </si>
  <si>
    <t>91.6</t>
  </si>
  <si>
    <t>93.1</t>
  </si>
  <si>
    <t>94.6</t>
  </si>
  <si>
    <t>83.3</t>
  </si>
  <si>
    <t>57.3</t>
  </si>
  <si>
    <t>53.8</t>
  </si>
  <si>
    <t>81.8</t>
  </si>
  <si>
    <t>94.3</t>
  </si>
  <si>
    <t>77.4</t>
  </si>
  <si>
    <t>89.5</t>
  </si>
  <si>
    <t>89.9</t>
  </si>
  <si>
    <t>91.8</t>
  </si>
  <si>
    <t>70.7</t>
  </si>
  <si>
    <t>70.4</t>
  </si>
  <si>
    <t>94.9</t>
  </si>
  <si>
    <t>83.5</t>
  </si>
  <si>
    <t>56.8</t>
  </si>
  <si>
    <t>52.1</t>
  </si>
  <si>
    <t>AVGITEMS</t>
  </si>
  <si>
    <t>6169</t>
  </si>
  <si>
    <t>3267</t>
  </si>
  <si>
    <t>6159</t>
  </si>
  <si>
    <t>5502</t>
  </si>
  <si>
    <t>6213</t>
  </si>
  <si>
    <t>6980</t>
  </si>
  <si>
    <t>7713</t>
  </si>
  <si>
    <t>6000</t>
  </si>
  <si>
    <t>1595</t>
  </si>
  <si>
    <t>819</t>
  </si>
  <si>
    <t>1284</t>
  </si>
  <si>
    <t>823</t>
  </si>
  <si>
    <t>839</t>
  </si>
  <si>
    <t>1117</t>
  </si>
  <si>
    <t>1164</t>
  </si>
  <si>
    <t>1092</t>
  </si>
  <si>
    <t>6</t>
  </si>
  <si>
    <t>5</t>
  </si>
  <si>
    <t>15</t>
  </si>
  <si>
    <t>10</t>
  </si>
  <si>
    <t>8</t>
  </si>
  <si>
    <t>22</t>
  </si>
  <si>
    <t>34</t>
  </si>
  <si>
    <t>31</t>
  </si>
  <si>
    <t>33</t>
  </si>
  <si>
    <t>46</t>
  </si>
  <si>
    <t>28</t>
  </si>
  <si>
    <t>462</t>
  </si>
  <si>
    <t>258</t>
  </si>
  <si>
    <t>309</t>
  </si>
  <si>
    <t>285</t>
  </si>
  <si>
    <t>189</t>
  </si>
  <si>
    <t>525</t>
  </si>
  <si>
    <t>275</t>
  </si>
  <si>
    <t>329</t>
  </si>
  <si>
    <t>253</t>
  </si>
  <si>
    <t>110</t>
  </si>
  <si>
    <t>119</t>
  </si>
  <si>
    <t>66</t>
  </si>
  <si>
    <t>81</t>
  </si>
  <si>
    <t>132</t>
  </si>
  <si>
    <t>117</t>
  </si>
  <si>
    <t>7</t>
  </si>
  <si>
    <t>19</t>
  </si>
  <si>
    <t>12</t>
  </si>
  <si>
    <t>37</t>
  </si>
  <si>
    <t>13</t>
  </si>
  <si>
    <t>26</t>
  </si>
  <si>
    <t>116</t>
  </si>
  <si>
    <t>53</t>
  </si>
  <si>
    <t>290</t>
  </si>
  <si>
    <t>226</t>
  </si>
  <si>
    <t>394</t>
  </si>
  <si>
    <t>196</t>
  </si>
  <si>
    <t>260</t>
  </si>
  <si>
    <t>273</t>
  </si>
  <si>
    <t>278</t>
  </si>
  <si>
    <t>274</t>
  </si>
  <si>
    <t>74</t>
  </si>
  <si>
    <t>85</t>
  </si>
  <si>
    <t>56</t>
  </si>
  <si>
    <t>112</t>
  </si>
  <si>
    <t>87</t>
  </si>
  <si>
    <t>707</t>
  </si>
  <si>
    <t>411</t>
  </si>
  <si>
    <t>806</t>
  </si>
  <si>
    <t>658</t>
  </si>
  <si>
    <t>762</t>
  </si>
  <si>
    <t>1032</t>
  </si>
  <si>
    <t>971</t>
  </si>
  <si>
    <t>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</si>
</sst>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58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0" fontId="38" fillId="0" borderId="0" xfId="4" applyFont="1" applyAlignment="1">
      <alignment vertical="center"/>
    </xf>
    <xf numFmtId="0" fontId="38" fillId="5" borderId="25" xfId="4" applyFont="1" applyFill="1" applyBorder="1" applyAlignment="1">
      <alignment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0" fillId="0" borderId="6" xfId="3" applyNumberFormat="1" applyFont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45" fillId="8" borderId="6" xfId="4" applyFont="1" applyFill="1" applyBorder="1" applyAlignment="1">
      <alignment horizontal="center"/>
    </xf>
    <xf numFmtId="0" fontId="56" fillId="8" borderId="6" xfId="4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 vertical="center"/>
    </xf>
    <xf numFmtId="0" fontId="56" fillId="8" borderId="6" xfId="3" applyFont="1" applyFill="1" applyBorder="1" applyAlignment="1">
      <alignment horizontal="center" vertical="center"/>
    </xf>
    <xf numFmtId="0" fontId="43" fillId="8" borderId="6" xfId="3" applyFont="1" applyFill="1" applyBorder="1" applyAlignment="1">
      <alignment horizontal="center" vertical="center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5" fillId="3" borderId="37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39" fillId="5" borderId="16" xfId="4" applyFont="1" applyFill="1" applyBorder="1" applyAlignment="1">
      <alignment horizontal="center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alexkuo\Desktop\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zoomScale="55" zoomScaleNormal="55" workbookViewId="0">
      <pane xSplit="5" ySplit="4" topLeftCell="J39" activePane="bottomRight" state="frozen"/>
      <selection pane="bottomRight" activeCell="K55" sqref="K55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474"/>
      <c r="E2" s="475"/>
      <c r="F2" s="474"/>
      <c r="G2" s="476"/>
      <c r="H2" s="47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622" t="s">
        <v>1</v>
      </c>
      <c r="B3" s="623"/>
      <c r="C3" s="624"/>
      <c r="D3" s="472" t="str">
        <f>YEAR(日期!C2)-1&amp;"/"&amp;MONTH(日期!C2)</f>
        <v>2025/8</v>
      </c>
      <c r="E3" s="472" t="str">
        <f>YEAR(日期!C2)&amp;"/"&amp;MONTH(日期!C2)</f>
        <v>2026/8</v>
      </c>
      <c r="F3" s="473">
        <f>YEAR(日期!C2)</f>
        <v>2026</v>
      </c>
      <c r="G3" s="473">
        <f>YEAR(日期!C2)</f>
        <v>2026</v>
      </c>
      <c r="H3" s="473">
        <f>YEAR(日期!C2)</f>
        <v>2026</v>
      </c>
      <c r="I3" s="490" t="str">
        <f>日期!C2</f>
        <v>2026/08/01</v>
      </c>
      <c r="J3" s="490" t="str">
        <f>日期!D2</f>
        <v>2026/08/02</v>
      </c>
      <c r="K3" s="490" t="str">
        <f>日期!E2</f>
        <v>2026/08/03</v>
      </c>
      <c r="L3" s="490" t="str">
        <f>日期!F2</f>
        <v>2026/08/04</v>
      </c>
      <c r="M3" s="490" t="str">
        <f>日期!G2</f>
        <v>2026/08/05</v>
      </c>
      <c r="N3" s="490" t="str">
        <f>日期!H2</f>
        <v>2026/08/06</v>
      </c>
      <c r="O3" s="490" t="str">
        <f>日期!I2</f>
        <v>2026/08/07</v>
      </c>
      <c r="P3" s="490" t="str">
        <f>日期!J2</f>
        <v>2026/08/08</v>
      </c>
      <c r="Q3" s="490" t="str">
        <f>日期!K2</f>
        <v>2026/08/09</v>
      </c>
      <c r="R3" s="490" t="str">
        <f>日期!L2</f>
        <v>2026/08/10</v>
      </c>
      <c r="S3" s="490" t="str">
        <f>日期!M2</f>
        <v>2026/08/11</v>
      </c>
      <c r="T3" s="490" t="str">
        <f>日期!N2</f>
        <v>2026/08/12</v>
      </c>
      <c r="U3" s="490" t="str">
        <f>日期!O2</f>
        <v>2026/08/13</v>
      </c>
      <c r="V3" s="490" t="str">
        <f>日期!P2</f>
        <v>2026/08/14</v>
      </c>
      <c r="W3" s="490" t="str">
        <f>日期!Q2</f>
        <v>2026/08/15</v>
      </c>
      <c r="X3" s="490" t="str">
        <f>日期!R2</f>
        <v>2026/08/16</v>
      </c>
      <c r="Y3" s="490" t="str">
        <f>日期!S2</f>
        <v>2026/08/17</v>
      </c>
      <c r="Z3" s="490" t="str">
        <f>日期!T2</f>
        <v>2026/08/18</v>
      </c>
      <c r="AA3" s="490" t="str">
        <f>日期!U2</f>
        <v>2026/08/19</v>
      </c>
      <c r="AB3" s="490" t="str">
        <f>日期!V2</f>
        <v>2026/08/20</v>
      </c>
      <c r="AC3" s="490" t="str">
        <f>日期!W2</f>
        <v>2026/08/21</v>
      </c>
      <c r="AD3" s="490" t="str">
        <f>日期!X2</f>
        <v>2026/08/22</v>
      </c>
      <c r="AE3" s="490" t="str">
        <f>日期!Y2</f>
        <v>2026/08/23</v>
      </c>
      <c r="AF3" s="490" t="str">
        <f>日期!Z2</f>
        <v>2026/08/24</v>
      </c>
      <c r="AG3" s="490" t="str">
        <f>日期!AA2</f>
        <v>2026/08/25</v>
      </c>
      <c r="AH3" s="490" t="str">
        <f>日期!AB2</f>
        <v>2026/08/26</v>
      </c>
      <c r="AI3" s="490" t="str">
        <f>日期!AC2</f>
        <v>2026/08/27</v>
      </c>
      <c r="AJ3" s="490" t="str">
        <f>日期!AD2</f>
        <v>2026/08/28</v>
      </c>
      <c r="AK3" s="490" t="str">
        <f>日期!AE2</f>
        <v>2026/08/29</v>
      </c>
      <c r="AL3" s="490" t="str">
        <f>日期!AF2</f>
        <v>2026/08/30</v>
      </c>
      <c r="AM3" s="490" t="str">
        <f>日期!AG2</f>
        <v>2026/08/31</v>
      </c>
      <c r="AN3" s="578" t="s">
        <v>2</v>
      </c>
      <c r="AO3" s="620" t="s">
        <v>3</v>
      </c>
    </row>
    <row r="4" spans="1:44" s="14" customFormat="1" ht="21.4" customHeight="1" thickBot="1">
      <c r="A4" s="625"/>
      <c r="B4" s="626"/>
      <c r="C4" s="627"/>
      <c r="D4" s="468" t="s">
        <v>4</v>
      </c>
      <c r="E4" s="468" t="s">
        <v>5</v>
      </c>
      <c r="F4" s="478" t="s">
        <v>6</v>
      </c>
      <c r="G4" s="478" t="s">
        <v>7</v>
      </c>
      <c r="H4" s="478" t="s">
        <v>8</v>
      </c>
      <c r="I4" s="12" t="str">
        <f>日期!C3</f>
        <v>Sat</v>
      </c>
      <c r="J4" s="12" t="str">
        <f>日期!D3</f>
        <v>Sun</v>
      </c>
      <c r="K4" s="12" t="str">
        <f>日期!E3</f>
        <v>Mon</v>
      </c>
      <c r="L4" s="12" t="str">
        <f>日期!F3</f>
        <v>Tue</v>
      </c>
      <c r="M4" s="12" t="str">
        <f>日期!G3</f>
        <v>Wed</v>
      </c>
      <c r="N4" s="12" t="str">
        <f>日期!H3</f>
        <v>Thu</v>
      </c>
      <c r="O4" s="12" t="str">
        <f>日期!I3</f>
        <v>Fri</v>
      </c>
      <c r="P4" s="12" t="str">
        <f>日期!J3</f>
        <v>Sat</v>
      </c>
      <c r="Q4" s="12" t="str">
        <f>日期!K3</f>
        <v>Sun</v>
      </c>
      <c r="R4" s="12" t="str">
        <f>日期!L3</f>
        <v>Mon</v>
      </c>
      <c r="S4" s="12" t="str">
        <f>日期!M3</f>
        <v>Tue</v>
      </c>
      <c r="T4" s="12" t="str">
        <f>日期!N3</f>
        <v>Wed</v>
      </c>
      <c r="U4" s="12" t="str">
        <f>日期!O3</f>
        <v>Thu</v>
      </c>
      <c r="V4" s="12" t="str">
        <f>日期!P3</f>
        <v>Fri</v>
      </c>
      <c r="W4" s="12" t="str">
        <f>日期!Q3</f>
        <v>Sat</v>
      </c>
      <c r="X4" s="12" t="str">
        <f>日期!R3</f>
        <v>Sun</v>
      </c>
      <c r="Y4" s="12" t="str">
        <f>日期!S3</f>
        <v>Mon</v>
      </c>
      <c r="Z4" s="12" t="str">
        <f>日期!T3</f>
        <v>Tue</v>
      </c>
      <c r="AA4" s="12" t="str">
        <f>日期!U3</f>
        <v>Wed</v>
      </c>
      <c r="AB4" s="12" t="str">
        <f>日期!V3</f>
        <v>Thu</v>
      </c>
      <c r="AC4" s="12" t="str">
        <f>日期!W3</f>
        <v>Fri</v>
      </c>
      <c r="AD4" s="12" t="str">
        <f>日期!X3</f>
        <v>Sat</v>
      </c>
      <c r="AE4" s="12" t="str">
        <f>日期!Y3</f>
        <v>Sun</v>
      </c>
      <c r="AF4" s="12" t="str">
        <f>日期!Z3</f>
        <v>Mon</v>
      </c>
      <c r="AG4" s="12" t="str">
        <f>日期!AA3</f>
        <v>Tue</v>
      </c>
      <c r="AH4" s="12" t="str">
        <f>日期!AB3</f>
        <v>Wed</v>
      </c>
      <c r="AI4" s="12" t="str">
        <f>日期!AC3</f>
        <v>Thu</v>
      </c>
      <c r="AJ4" s="12" t="str">
        <f>日期!AD3</f>
        <v>Fri</v>
      </c>
      <c r="AK4" s="12" t="str">
        <f>日期!AE3</f>
        <v>Sat</v>
      </c>
      <c r="AL4" s="12" t="str">
        <f>日期!AF3</f>
        <v>Sun</v>
      </c>
      <c r="AM4" s="12" t="str">
        <f>日期!AG3</f>
        <v>Mon</v>
      </c>
      <c r="AN4" s="613"/>
      <c r="AO4" s="621"/>
      <c r="AP4" s="13"/>
      <c r="AQ4" s="13"/>
    </row>
    <row r="5" spans="1:44" s="18" customFormat="1" ht="21.95" customHeight="1">
      <c r="A5" s="628" t="s">
        <v>9</v>
      </c>
      <c r="B5" s="629"/>
      <c r="C5" s="630"/>
      <c r="D5" s="301">
        <f>D6+D13+D18+D26</f>
        <v>578445939.87709498</v>
      </c>
      <c r="E5" s="301">
        <f>E6+E13+E18+E26</f>
        <v>657264319.62145424</v>
      </c>
      <c r="F5" s="301">
        <f>F6+F13+F18+F26</f>
        <v>630871359.55202281</v>
      </c>
      <c r="G5" s="15">
        <f>G6+G13+G18+G26</f>
        <v>559944236</v>
      </c>
      <c r="H5" s="15">
        <f>H6+H13+H18+H26</f>
        <v>572123217</v>
      </c>
      <c r="I5" s="15">
        <f t="shared" ref="I5:AM5" si="0">I6+I13+I18+I26</f>
        <v>591741668</v>
      </c>
      <c r="J5" s="15">
        <f t="shared" si="0"/>
        <v>591733698</v>
      </c>
      <c r="K5" s="15">
        <f t="shared" si="0"/>
        <v>592162397</v>
      </c>
      <c r="L5" s="15">
        <f t="shared" si="0"/>
        <v>597315221</v>
      </c>
      <c r="M5" s="15">
        <f t="shared" si="0"/>
        <v>604064344</v>
      </c>
      <c r="N5" s="15">
        <f t="shared" si="0"/>
        <v>609008236</v>
      </c>
      <c r="O5" s="15">
        <f t="shared" si="0"/>
        <v>617043657</v>
      </c>
      <c r="P5" s="15">
        <f t="shared" si="0"/>
        <v>602119923</v>
      </c>
      <c r="Q5" s="15">
        <f t="shared" si="0"/>
        <v>602099573</v>
      </c>
      <c r="R5" s="15">
        <f t="shared" si="0"/>
        <v>604968980</v>
      </c>
      <c r="S5" s="15">
        <f t="shared" si="0"/>
        <v>613156004</v>
      </c>
      <c r="T5" s="15">
        <f t="shared" si="0"/>
        <v>623858805</v>
      </c>
      <c r="U5" s="15">
        <f t="shared" si="0"/>
        <v>633121530</v>
      </c>
      <c r="V5" s="15">
        <f t="shared" si="0"/>
        <v>635666344</v>
      </c>
      <c r="W5" s="15">
        <f t="shared" si="0"/>
        <v>617479997</v>
      </c>
      <c r="X5" s="15">
        <f t="shared" si="0"/>
        <v>617473808</v>
      </c>
      <c r="Y5" s="15">
        <f t="shared" si="0"/>
        <v>628006514</v>
      </c>
      <c r="Z5" s="15">
        <f t="shared" si="0"/>
        <v>624620059</v>
      </c>
      <c r="AA5" s="15">
        <f t="shared" si="0"/>
        <v>628541083</v>
      </c>
      <c r="AB5" s="15">
        <f t="shared" si="0"/>
        <v>622783475</v>
      </c>
      <c r="AC5" s="15">
        <f t="shared" si="0"/>
        <v>629095961</v>
      </c>
      <c r="AD5" s="15">
        <f t="shared" si="0"/>
        <v>612999527</v>
      </c>
      <c r="AE5" s="15">
        <f t="shared" si="0"/>
        <v>613000812</v>
      </c>
      <c r="AF5" s="15">
        <f t="shared" si="0"/>
        <v>613935743</v>
      </c>
      <c r="AG5" s="15">
        <f t="shared" si="0"/>
        <v>619955985</v>
      </c>
      <c r="AH5" s="15">
        <f t="shared" si="0"/>
        <v>629067871</v>
      </c>
      <c r="AI5" s="15">
        <f t="shared" si="0"/>
        <v>633628560</v>
      </c>
      <c r="AJ5" s="15">
        <f t="shared" si="0"/>
        <v>637587222</v>
      </c>
      <c r="AK5" s="15">
        <f t="shared" si="0"/>
        <v>624050049</v>
      </c>
      <c r="AL5" s="15">
        <f t="shared" si="0"/>
        <v>624426256</v>
      </c>
      <c r="AM5" s="15">
        <f t="shared" si="0"/>
        <v>650624951</v>
      </c>
      <c r="AN5" s="487">
        <f>AN6+AN13+AN18+AN26</f>
        <v>26198695</v>
      </c>
      <c r="AO5" s="238">
        <f>AO6+AO13+AO18+AO26</f>
        <v>617591556.56000006</v>
      </c>
      <c r="AP5" s="16">
        <f t="shared" ref="AP5:AP13" si="1">AJ5/10000</f>
        <v>63758.722199999997</v>
      </c>
      <c r="AQ5" s="17">
        <f t="shared" ref="AQ5:AQ13" si="2">AO5/10000</f>
        <v>61759.155656000003</v>
      </c>
    </row>
    <row r="6" spans="1:44" s="14" customFormat="1" ht="21.95" customHeight="1">
      <c r="A6" s="19"/>
      <c r="B6" s="631" t="s">
        <v>10</v>
      </c>
      <c r="C6" s="632"/>
      <c r="D6" s="287">
        <f t="shared" ref="D6:I6" si="3">SUM(D7:D12)</f>
        <v>333056308.75</v>
      </c>
      <c r="E6" s="287">
        <f t="shared" si="3"/>
        <v>358365875.91485548</v>
      </c>
      <c r="F6" s="287">
        <f t="shared" si="3"/>
        <v>342568616.69469589</v>
      </c>
      <c r="G6" s="20">
        <f>SUM(G7:G12)</f>
        <v>350485133</v>
      </c>
      <c r="H6" s="20">
        <f t="shared" si="3"/>
        <v>359869969</v>
      </c>
      <c r="I6" s="20">
        <f t="shared" si="3"/>
        <v>361192348</v>
      </c>
      <c r="J6" s="20">
        <f>SUM(J7:J12)</f>
        <v>361188830</v>
      </c>
      <c r="K6" s="20">
        <f>SUM(K7:K12)</f>
        <v>359588196</v>
      </c>
      <c r="L6" s="20">
        <f t="shared" ref="L6:AO6" si="4">SUM(L7:L12)</f>
        <v>363656172</v>
      </c>
      <c r="M6" s="20">
        <f t="shared" si="4"/>
        <v>369476816</v>
      </c>
      <c r="N6" s="20">
        <f t="shared" si="4"/>
        <v>373440665</v>
      </c>
      <c r="O6" s="20">
        <f t="shared" si="4"/>
        <v>382849079</v>
      </c>
      <c r="P6" s="20">
        <f t="shared" si="4"/>
        <v>372393730</v>
      </c>
      <c r="Q6" s="20">
        <f t="shared" si="4"/>
        <v>372373380</v>
      </c>
      <c r="R6" s="20">
        <f t="shared" si="4"/>
        <v>376676582</v>
      </c>
      <c r="S6" s="20">
        <f t="shared" si="4"/>
        <v>383857997</v>
      </c>
      <c r="T6" s="20">
        <f t="shared" si="4"/>
        <v>390975422</v>
      </c>
      <c r="U6" s="20">
        <f t="shared" si="4"/>
        <v>397382383</v>
      </c>
      <c r="V6" s="20">
        <f t="shared" si="4"/>
        <v>397259857</v>
      </c>
      <c r="W6" s="20">
        <f t="shared" si="4"/>
        <v>383920296</v>
      </c>
      <c r="X6" s="20">
        <f t="shared" si="4"/>
        <v>383914107</v>
      </c>
      <c r="Y6" s="20">
        <f t="shared" si="4"/>
        <v>391371114</v>
      </c>
      <c r="Z6" s="20">
        <f t="shared" si="4"/>
        <v>389704556</v>
      </c>
      <c r="AA6" s="20">
        <f t="shared" si="4"/>
        <v>389881187</v>
      </c>
      <c r="AB6" s="20">
        <f t="shared" si="4"/>
        <v>384929169</v>
      </c>
      <c r="AC6" s="20">
        <f t="shared" si="4"/>
        <v>389781867</v>
      </c>
      <c r="AD6" s="20">
        <f t="shared" si="4"/>
        <v>377909943</v>
      </c>
      <c r="AE6" s="20">
        <f t="shared" si="4"/>
        <v>377911228</v>
      </c>
      <c r="AF6" s="20">
        <f t="shared" si="4"/>
        <v>374583477</v>
      </c>
      <c r="AG6" s="20">
        <f t="shared" si="4"/>
        <v>379471485</v>
      </c>
      <c r="AH6" s="20">
        <f t="shared" si="4"/>
        <v>383722440</v>
      </c>
      <c r="AI6" s="20">
        <f t="shared" si="4"/>
        <v>385836041</v>
      </c>
      <c r="AJ6" s="20">
        <f t="shared" si="4"/>
        <v>387512041</v>
      </c>
      <c r="AK6" s="20">
        <f t="shared" si="4"/>
        <v>376996527</v>
      </c>
      <c r="AL6" s="20">
        <f t="shared" si="4"/>
        <v>377339349</v>
      </c>
      <c r="AM6" s="20">
        <f t="shared" si="4"/>
        <v>384784372</v>
      </c>
      <c r="AN6" s="488">
        <f t="shared" si="4"/>
        <v>7445023</v>
      </c>
      <c r="AO6" s="21">
        <f t="shared" si="4"/>
        <v>380060666.33000004</v>
      </c>
      <c r="AP6" s="16">
        <f t="shared" si="1"/>
        <v>38751.204100000003</v>
      </c>
      <c r="AQ6" s="17">
        <f t="shared" si="2"/>
        <v>38006.066633000002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289555312.23000002</v>
      </c>
      <c r="E7" s="309">
        <f>HLOOKUP(MONTH(日期!$C$2),當年目標設定!$D$1:$O$33,5,TRUE)</f>
        <v>311071324.98995745</v>
      </c>
      <c r="F7" s="308">
        <f>HLOOKUP(MONTH(日期!$C$2),當年目標設定!$R$1:$AC$33,5,TRUE)</f>
        <v>293319602.81461096</v>
      </c>
      <c r="G7" s="308">
        <f>當年月推移!P5</f>
        <v>297376662</v>
      </c>
      <c r="H7" s="308">
        <f>當年月推移!P39</f>
        <v>300375359</v>
      </c>
      <c r="I7" s="27">
        <f>VALUE(庫存金額!C2)</f>
        <v>293470662</v>
      </c>
      <c r="J7" s="27">
        <f>VALUE(庫存金額!D2)</f>
        <v>293468786</v>
      </c>
      <c r="K7" s="27">
        <f>VALUE(庫存金額!E2)</f>
        <v>297016908</v>
      </c>
      <c r="L7" s="27">
        <f>VALUE(庫存金額!F2)</f>
        <v>298586539</v>
      </c>
      <c r="M7" s="27">
        <f>VALUE(庫存金額!G2)</f>
        <v>304354769</v>
      </c>
      <c r="N7" s="27">
        <f>VALUE(庫存金額!H2)</f>
        <v>308922262</v>
      </c>
      <c r="O7" s="27">
        <f>VALUE(庫存金額!I2)</f>
        <v>310942563</v>
      </c>
      <c r="P7" s="27">
        <f>VALUE(庫存金額!J2)</f>
        <v>308249757</v>
      </c>
      <c r="Q7" s="27">
        <f>VALUE(庫存金額!K2)</f>
        <v>308229407</v>
      </c>
      <c r="R7" s="27">
        <f>VALUE(庫存金額!L2)</f>
        <v>315596629</v>
      </c>
      <c r="S7" s="27">
        <f>VALUE(庫存金額!M2)</f>
        <v>319204769</v>
      </c>
      <c r="T7" s="27">
        <f>VALUE(庫存金額!N2)</f>
        <v>325106304</v>
      </c>
      <c r="U7" s="27">
        <f>VALUE(庫存金額!O2)</f>
        <v>328545481</v>
      </c>
      <c r="V7" s="27">
        <f>VALUE(庫存金額!P2)</f>
        <v>329315174</v>
      </c>
      <c r="W7" s="27">
        <f>VALUE(庫存金額!Q2)</f>
        <v>324127141</v>
      </c>
      <c r="X7" s="27">
        <f>VALUE(庫存金額!R2)</f>
        <v>324120962</v>
      </c>
      <c r="Y7" s="27">
        <f>VALUE(庫存金額!S2)</f>
        <v>329081403</v>
      </c>
      <c r="Z7" s="27">
        <f>VALUE(庫存金額!T2)</f>
        <v>324753038</v>
      </c>
      <c r="AA7" s="27">
        <f>VALUE(庫存金額!U2)</f>
        <v>323616936</v>
      </c>
      <c r="AB7" s="27">
        <f>VALUE(庫存金額!V2)</f>
        <v>319163485</v>
      </c>
      <c r="AC7" s="27">
        <f>VALUE(庫存金額!W2)</f>
        <v>315295082</v>
      </c>
      <c r="AD7" s="27">
        <f>VALUE(庫存金額!X2)</f>
        <v>311700845</v>
      </c>
      <c r="AE7" s="27">
        <f>VALUE(庫存金額!Y2)</f>
        <v>311702130</v>
      </c>
      <c r="AF7" s="27">
        <f>VALUE(庫存金額!Z2)</f>
        <v>311559795</v>
      </c>
      <c r="AG7" s="27">
        <f>VALUE(庫存金額!AA2)</f>
        <v>311582152</v>
      </c>
      <c r="AH7" s="27">
        <f>VALUE(庫存金額!AB2)</f>
        <v>314630952</v>
      </c>
      <c r="AI7" s="27">
        <f>VALUE(庫存金額!AC2)</f>
        <v>315645274</v>
      </c>
      <c r="AJ7" s="27">
        <f>VALUE(庫存金額!AD2)</f>
        <v>313637144</v>
      </c>
      <c r="AK7" s="27">
        <f>VALUE(庫存金額!AE2)</f>
        <v>311419392</v>
      </c>
      <c r="AL7" s="27">
        <f>VALUE(庫存金額!AF2)</f>
        <v>311751244</v>
      </c>
      <c r="AM7" s="27">
        <f>VALUE(庫存金額!AG2)</f>
        <v>310558267</v>
      </c>
      <c r="AN7" s="27">
        <f>VALUE(庫存金額!AH2)</f>
        <v>-1192977</v>
      </c>
      <c r="AO7" s="27">
        <f>VALUE(庫存金額!AI2)</f>
        <v>313721137.16000003</v>
      </c>
      <c r="AP7" s="16">
        <f t="shared" si="1"/>
        <v>31363.714400000001</v>
      </c>
      <c r="AQ7" s="17">
        <f t="shared" si="2"/>
        <v>31372.113716000003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5320740.8099999996</v>
      </c>
      <c r="E8" s="309">
        <f>HLOOKUP(MONTH(日期!$C$2),當年目標設定!$D$1:$O$33,6,TRUE)</f>
        <v>5282005.3224999998</v>
      </c>
      <c r="F8" s="308">
        <f>HLOOKUP(MONTH(日期!$C$2),當年目標設定!$R$1:$AC$33,6,TRUE)</f>
        <v>6075037.0492857145</v>
      </c>
      <c r="G8" s="308">
        <f>當年月推移!$P6</f>
        <v>5727061</v>
      </c>
      <c r="H8" s="308">
        <f>當年月推移!P40</f>
        <v>6926962</v>
      </c>
      <c r="I8" s="27">
        <f>VALUE(庫存金額!C4)</f>
        <v>4389403</v>
      </c>
      <c r="J8" s="27">
        <f>VALUE(庫存金額!D4)</f>
        <v>4389403</v>
      </c>
      <c r="K8" s="27">
        <f>VALUE(庫存金額!E4)</f>
        <v>3689273</v>
      </c>
      <c r="L8" s="27">
        <f>VALUE(庫存金額!F4)</f>
        <v>3226777</v>
      </c>
      <c r="M8" s="27">
        <f>VALUE(庫存金額!G4)</f>
        <v>3790860</v>
      </c>
      <c r="N8" s="27">
        <f>VALUE(庫存金額!H4)</f>
        <v>4112564</v>
      </c>
      <c r="O8" s="27">
        <f>VALUE(庫存金額!I4)</f>
        <v>5681515</v>
      </c>
      <c r="P8" s="27">
        <f>VALUE(庫存金額!J4)</f>
        <v>3508158</v>
      </c>
      <c r="Q8" s="27">
        <f>VALUE(庫存金額!K4)</f>
        <v>3508158</v>
      </c>
      <c r="R8" s="27">
        <f>VALUE(庫存金額!L4)</f>
        <v>4003308</v>
      </c>
      <c r="S8" s="27">
        <f>VALUE(庫存金額!M4)</f>
        <v>4232252</v>
      </c>
      <c r="T8" s="27">
        <f>VALUE(庫存金額!N4)</f>
        <v>4195099</v>
      </c>
      <c r="U8" s="27">
        <f>VALUE(庫存金額!O4)</f>
        <v>5840540</v>
      </c>
      <c r="V8" s="27">
        <f>VALUE(庫存金額!P4)</f>
        <v>5086617</v>
      </c>
      <c r="W8" s="27">
        <f>VALUE(庫存金額!Q4)</f>
        <v>3710993</v>
      </c>
      <c r="X8" s="27">
        <f>VALUE(庫存金額!R4)</f>
        <v>3710993</v>
      </c>
      <c r="Y8" s="27">
        <f>VALUE(庫存金額!S4)</f>
        <v>6960677</v>
      </c>
      <c r="Z8" s="27">
        <f>VALUE(庫存金額!T4)</f>
        <v>6218204</v>
      </c>
      <c r="AA8" s="27">
        <f>VALUE(庫存金額!U4)</f>
        <v>6166036</v>
      </c>
      <c r="AB8" s="27">
        <f>VALUE(庫存金額!V4)</f>
        <v>6152069</v>
      </c>
      <c r="AC8" s="27">
        <f>VALUE(庫存金額!W4)</f>
        <v>8621647</v>
      </c>
      <c r="AD8" s="27">
        <f>VALUE(庫存金額!X4)</f>
        <v>6651379</v>
      </c>
      <c r="AE8" s="27">
        <f>VALUE(庫存金額!Y4)</f>
        <v>6651379</v>
      </c>
      <c r="AF8" s="27">
        <f>VALUE(庫存金額!Z4)</f>
        <v>5369772</v>
      </c>
      <c r="AG8" s="27">
        <f>VALUE(庫存金額!AA4)</f>
        <v>5398180</v>
      </c>
      <c r="AH8" s="27">
        <f>VALUE(庫存金額!AB4)</f>
        <v>6191449</v>
      </c>
      <c r="AI8" s="27">
        <f>VALUE(庫存金額!AC4)</f>
        <v>7201313</v>
      </c>
      <c r="AJ8" s="27">
        <f>VALUE(庫存金額!AD4)</f>
        <v>7905580</v>
      </c>
      <c r="AK8" s="27">
        <f>VALUE(庫存金額!AE4)</f>
        <v>5539676</v>
      </c>
      <c r="AL8" s="27">
        <f>VALUE(庫存金額!AF4)</f>
        <v>5539676</v>
      </c>
      <c r="AM8" s="27">
        <f>VALUE(庫存金額!AG4)</f>
        <v>7369846</v>
      </c>
      <c r="AN8" s="27">
        <f>VALUE(庫存金額!AH4)</f>
        <v>1830170</v>
      </c>
      <c r="AO8" s="27">
        <f>VALUE(庫存金額!AI4)</f>
        <v>5322993.42</v>
      </c>
      <c r="AP8" s="16">
        <f t="shared" si="1"/>
        <v>790.55799999999999</v>
      </c>
      <c r="AQ8" s="17">
        <f t="shared" si="2"/>
        <v>532.29934200000002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5825544.7699999996</v>
      </c>
      <c r="E9" s="309">
        <f>HLOOKUP(MONTH(日期!$C$2),當年目標設定!$D$1:$O$33,7,TRUE)</f>
        <v>5574209.6649999991</v>
      </c>
      <c r="F9" s="308">
        <f>HLOOKUP(MONTH(日期!$C$2),當年目標設定!$R$1:$AC$33,7,TRUE)</f>
        <v>7341824.4303571433</v>
      </c>
      <c r="G9" s="308">
        <f>當年月推移!$P7</f>
        <v>7901552</v>
      </c>
      <c r="H9" s="308">
        <f>當年月推移!P41</f>
        <v>8853052</v>
      </c>
      <c r="I9" s="27">
        <f>VALUE(庫存金額!C5)</f>
        <v>16598318</v>
      </c>
      <c r="J9" s="27">
        <f>VALUE(庫存金額!D5)</f>
        <v>16598318</v>
      </c>
      <c r="K9" s="27">
        <f>VALUE(庫存金額!E5)</f>
        <v>17140537</v>
      </c>
      <c r="L9" s="27">
        <f>VALUE(庫存金額!F5)</f>
        <v>17222883</v>
      </c>
      <c r="M9" s="27">
        <f>VALUE(庫存金額!G5)</f>
        <v>17322814</v>
      </c>
      <c r="N9" s="27">
        <f>VALUE(庫存金額!H5)</f>
        <v>17418512</v>
      </c>
      <c r="O9" s="27">
        <f>VALUE(庫存金額!I5)</f>
        <v>17247200</v>
      </c>
      <c r="P9" s="27">
        <f>VALUE(庫存金額!J5)</f>
        <v>17230105</v>
      </c>
      <c r="Q9" s="27">
        <f>VALUE(庫存金額!K5)</f>
        <v>17230105</v>
      </c>
      <c r="R9" s="27">
        <f>VALUE(庫存金額!L5)</f>
        <v>17199844</v>
      </c>
      <c r="S9" s="27">
        <f>VALUE(庫存金額!M5)</f>
        <v>17082548</v>
      </c>
      <c r="T9" s="27">
        <f>VALUE(庫存金額!N5)</f>
        <v>16881663</v>
      </c>
      <c r="U9" s="27">
        <f>VALUE(庫存金額!O5)</f>
        <v>16878387</v>
      </c>
      <c r="V9" s="27">
        <f>VALUE(庫存金額!P5)</f>
        <v>16783161</v>
      </c>
      <c r="W9" s="27">
        <f>VALUE(庫存金額!Q5)</f>
        <v>16773777</v>
      </c>
      <c r="X9" s="27">
        <f>VALUE(庫存金額!R5)</f>
        <v>16773777</v>
      </c>
      <c r="Y9" s="27">
        <f>VALUE(庫存金額!S5)</f>
        <v>16795273</v>
      </c>
      <c r="Z9" s="27">
        <f>VALUE(庫存金額!T5)</f>
        <v>16667034</v>
      </c>
      <c r="AA9" s="27">
        <f>VALUE(庫存金額!U5)</f>
        <v>16604202</v>
      </c>
      <c r="AB9" s="27">
        <f>VALUE(庫存金額!V5)</f>
        <v>16565500</v>
      </c>
      <c r="AC9" s="27">
        <f>VALUE(庫存金額!W5)</f>
        <v>16504973</v>
      </c>
      <c r="AD9" s="27">
        <f>VALUE(庫存金額!X5)</f>
        <v>16486548</v>
      </c>
      <c r="AE9" s="27">
        <f>VALUE(庫存金額!Y5)</f>
        <v>16486548</v>
      </c>
      <c r="AF9" s="27">
        <f>VALUE(庫存金額!Z5)</f>
        <v>16369709</v>
      </c>
      <c r="AG9" s="27">
        <f>VALUE(庫存金額!AA5)</f>
        <v>16263928</v>
      </c>
      <c r="AH9" s="27">
        <f>VALUE(庫存金額!AB5)</f>
        <v>16606950</v>
      </c>
      <c r="AI9" s="27">
        <f>VALUE(庫存金額!AC5)</f>
        <v>16383155</v>
      </c>
      <c r="AJ9" s="27">
        <f>VALUE(庫存金額!AD5)</f>
        <v>16313747</v>
      </c>
      <c r="AK9" s="27">
        <f>VALUE(庫存金額!AE5)</f>
        <v>16288960</v>
      </c>
      <c r="AL9" s="27">
        <f>VALUE(庫存金額!AF5)</f>
        <v>16288960</v>
      </c>
      <c r="AM9" s="27">
        <f>VALUE(庫存金額!AG5)</f>
        <v>16427933</v>
      </c>
      <c r="AN9" s="27">
        <f>VALUE(庫存金額!AH5)</f>
        <v>138973</v>
      </c>
      <c r="AO9" s="27">
        <f>VALUE(庫存金額!AI5)</f>
        <v>16755979.65</v>
      </c>
      <c r="AP9" s="16">
        <f t="shared" si="1"/>
        <v>1631.3747000000001</v>
      </c>
      <c r="AQ9" s="17">
        <f t="shared" si="2"/>
        <v>1675.5979649999999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20028052.940000001</v>
      </c>
      <c r="E10" s="309">
        <f>HLOOKUP(MONTH(日期!$C$2),當年目標設定!$D$1:$O$33,8,TRUE)</f>
        <v>24499426.142834</v>
      </c>
      <c r="F10" s="308">
        <f>HLOOKUP(MONTH(日期!$C$2),當年目標設定!$R$1:$AC$33,8,TRUE)</f>
        <v>24035162.012655072</v>
      </c>
      <c r="G10" s="308">
        <f>當年月推移!$P8</f>
        <v>27810532</v>
      </c>
      <c r="H10" s="308">
        <f>當年月推移!P42</f>
        <v>29371892</v>
      </c>
      <c r="I10" s="27">
        <f>VALUE(庫存金額!C6)</f>
        <v>27465968</v>
      </c>
      <c r="J10" s="27">
        <f>VALUE(庫存金額!D6)</f>
        <v>27464326</v>
      </c>
      <c r="K10" s="27">
        <f>VALUE(庫存金額!E6)</f>
        <v>26122374</v>
      </c>
      <c r="L10" s="27">
        <f>VALUE(庫存金額!F6)</f>
        <v>30426380</v>
      </c>
      <c r="M10" s="27">
        <f>VALUE(庫存金額!G6)</f>
        <v>30014437</v>
      </c>
      <c r="N10" s="27">
        <f>VALUE(庫存金額!H6)</f>
        <v>29442315</v>
      </c>
      <c r="O10" s="27">
        <f>VALUE(庫存金額!I6)</f>
        <v>33325562</v>
      </c>
      <c r="P10" s="27">
        <f>VALUE(庫存金額!J6)</f>
        <v>30840203</v>
      </c>
      <c r="Q10" s="27">
        <f>VALUE(庫存金額!K6)</f>
        <v>30840203</v>
      </c>
      <c r="R10" s="27">
        <f>VALUE(庫存金額!L6)</f>
        <v>29678981</v>
      </c>
      <c r="S10" s="27">
        <f>VALUE(庫存金額!M6)</f>
        <v>32021060</v>
      </c>
      <c r="T10" s="27">
        <f>VALUE(庫存金額!N6)</f>
        <v>32569485</v>
      </c>
      <c r="U10" s="27">
        <f>VALUE(庫存金額!O6)</f>
        <v>33131329</v>
      </c>
      <c r="V10" s="27">
        <f>VALUE(庫存金額!P6)</f>
        <v>32937339</v>
      </c>
      <c r="W10" s="27">
        <f>VALUE(庫存金額!Q6)</f>
        <v>30093668</v>
      </c>
      <c r="X10" s="27">
        <f>VALUE(庫存金額!R6)</f>
        <v>30093658</v>
      </c>
      <c r="Y10" s="27">
        <f>VALUE(庫存金額!S6)</f>
        <v>29032862</v>
      </c>
      <c r="Z10" s="27">
        <f>VALUE(庫存金額!T6)</f>
        <v>31971373</v>
      </c>
      <c r="AA10" s="27">
        <f>VALUE(庫存金額!U6)</f>
        <v>31724674</v>
      </c>
      <c r="AB10" s="27">
        <f>VALUE(庫存金額!V6)</f>
        <v>32146259</v>
      </c>
      <c r="AC10" s="27">
        <f>VALUE(庫存金額!W6)</f>
        <v>35215676</v>
      </c>
      <c r="AD10" s="27">
        <f>VALUE(庫存金額!X6)</f>
        <v>32259834</v>
      </c>
      <c r="AE10" s="27">
        <f>VALUE(庫存金額!Y6)</f>
        <v>32259834</v>
      </c>
      <c r="AF10" s="27">
        <f>VALUE(庫存金額!Z6)</f>
        <v>31923160</v>
      </c>
      <c r="AG10" s="27">
        <f>VALUE(庫存金額!AA6)</f>
        <v>36098891</v>
      </c>
      <c r="AH10" s="27">
        <f>VALUE(庫存金額!AB6)</f>
        <v>36696191</v>
      </c>
      <c r="AI10" s="27">
        <f>VALUE(庫存金額!AC6)</f>
        <v>36626953</v>
      </c>
      <c r="AJ10" s="27">
        <f>VALUE(庫存金額!AD6)</f>
        <v>36967312</v>
      </c>
      <c r="AK10" s="27">
        <f>VALUE(庫存金額!AE6)</f>
        <v>34569616</v>
      </c>
      <c r="AL10" s="27">
        <f>VALUE(庫存金額!AF6)</f>
        <v>34580586</v>
      </c>
      <c r="AM10" s="27">
        <f>VALUE(庫存金額!AG6)</f>
        <v>34687879</v>
      </c>
      <c r="AN10" s="27">
        <f>VALUE(庫存金額!AH6)</f>
        <v>107293</v>
      </c>
      <c r="AO10" s="27">
        <f>VALUE(庫存金額!AI6)</f>
        <v>32039625.420000002</v>
      </c>
      <c r="AP10" s="16">
        <f t="shared" si="1"/>
        <v>3696.7312000000002</v>
      </c>
      <c r="AQ10" s="17">
        <f t="shared" si="2"/>
        <v>3203.9625420000002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12326658</v>
      </c>
      <c r="E12" s="309">
        <f>HLOOKUP(MONTH(日期!$C$2),當年目標設定!$D$1:$O$33,10,TRUE)</f>
        <v>11938909.794564027</v>
      </c>
      <c r="F12" s="308">
        <f>HLOOKUP(MONTH(日期!$C$2),當年目標設定!$R$1:$AC$33,10,TRUE)</f>
        <v>11796990.387786984</v>
      </c>
      <c r="G12" s="308">
        <f>當年月推移!$P10</f>
        <v>11669326</v>
      </c>
      <c r="H12" s="308">
        <f>當年月推移!P44</f>
        <v>14342704</v>
      </c>
      <c r="I12" s="27">
        <f>VALUE(庫存金額!C8)</f>
        <v>19267997</v>
      </c>
      <c r="J12" s="27">
        <f>VALUE(庫存金額!D8)</f>
        <v>19267997</v>
      </c>
      <c r="K12" s="27">
        <f>VALUE(庫存金額!E8)</f>
        <v>15619104</v>
      </c>
      <c r="L12" s="27">
        <f>VALUE(庫存金額!F8)</f>
        <v>14193593</v>
      </c>
      <c r="M12" s="27">
        <f>VALUE(庫存金額!G8)</f>
        <v>13993936</v>
      </c>
      <c r="N12" s="27">
        <f>VALUE(庫存金額!H8)</f>
        <v>13545012</v>
      </c>
      <c r="O12" s="27">
        <f>VALUE(庫存金額!I8)</f>
        <v>15652239</v>
      </c>
      <c r="P12" s="27">
        <f>VALUE(庫存金額!J8)</f>
        <v>12565507</v>
      </c>
      <c r="Q12" s="27">
        <f>VALUE(庫存金額!K8)</f>
        <v>12565507</v>
      </c>
      <c r="R12" s="27">
        <f>VALUE(庫存金額!L8)</f>
        <v>10197820</v>
      </c>
      <c r="S12" s="27">
        <f>VALUE(庫存金額!M8)</f>
        <v>11317368</v>
      </c>
      <c r="T12" s="27">
        <f>VALUE(庫存金額!N8)</f>
        <v>12222871</v>
      </c>
      <c r="U12" s="27">
        <f>VALUE(庫存金額!O8)</f>
        <v>12986646</v>
      </c>
      <c r="V12" s="27">
        <f>VALUE(庫存金額!P8)</f>
        <v>13137566</v>
      </c>
      <c r="W12" s="27">
        <f>VALUE(庫存金額!Q8)</f>
        <v>9214717</v>
      </c>
      <c r="X12" s="27">
        <f>VALUE(庫存金額!R8)</f>
        <v>9214717</v>
      </c>
      <c r="Y12" s="27">
        <f>VALUE(庫存金額!S8)</f>
        <v>9500899</v>
      </c>
      <c r="Z12" s="27">
        <f>VALUE(庫存金額!T8)</f>
        <v>10094907</v>
      </c>
      <c r="AA12" s="27">
        <f>VALUE(庫存金額!U8)</f>
        <v>11769339</v>
      </c>
      <c r="AB12" s="27">
        <f>VALUE(庫存金額!V8)</f>
        <v>10901856</v>
      </c>
      <c r="AC12" s="27">
        <f>VALUE(庫存金額!W8)</f>
        <v>14144489</v>
      </c>
      <c r="AD12" s="27">
        <f>VALUE(庫存金額!X8)</f>
        <v>10811337</v>
      </c>
      <c r="AE12" s="27">
        <f>VALUE(庫存金額!Y8)</f>
        <v>10811337</v>
      </c>
      <c r="AF12" s="27">
        <f>VALUE(庫存金額!Z8)</f>
        <v>9361041</v>
      </c>
      <c r="AG12" s="27">
        <f>VALUE(庫存金額!AA8)</f>
        <v>10128334</v>
      </c>
      <c r="AH12" s="27">
        <f>VALUE(庫存金額!AB8)</f>
        <v>9596898</v>
      </c>
      <c r="AI12" s="27">
        <f>VALUE(庫存金額!AC8)</f>
        <v>9979346</v>
      </c>
      <c r="AJ12" s="27">
        <f>VALUE(庫存金額!AD8)</f>
        <v>12688258</v>
      </c>
      <c r="AK12" s="27">
        <f>VALUE(庫存金額!AE8)</f>
        <v>9178883</v>
      </c>
      <c r="AL12" s="27">
        <f>VALUE(庫存金額!AF8)</f>
        <v>9178883</v>
      </c>
      <c r="AM12" s="27">
        <f>VALUE(庫存金額!AG8)</f>
        <v>15740447</v>
      </c>
      <c r="AN12" s="27">
        <f>VALUE(庫存金額!AH8)</f>
        <v>6561564</v>
      </c>
      <c r="AO12" s="27">
        <f>VALUE(庫存金額!AI8)</f>
        <v>12220930.68</v>
      </c>
      <c r="AP12" s="16">
        <f t="shared" si="1"/>
        <v>1268.8258000000001</v>
      </c>
      <c r="AQ12" s="17">
        <f t="shared" si="2"/>
        <v>1222.0930679999999</v>
      </c>
      <c r="AR12" s="22"/>
    </row>
    <row r="13" spans="1:44" s="14" customFormat="1" ht="21.95" customHeight="1">
      <c r="A13" s="23"/>
      <c r="B13" s="633" t="s">
        <v>17</v>
      </c>
      <c r="C13" s="634"/>
      <c r="D13" s="323">
        <f t="shared" ref="D13:I13" si="5">SUM(D14:D17)</f>
        <v>14528281.850000001</v>
      </c>
      <c r="E13" s="323">
        <f t="shared" si="5"/>
        <v>8867897.4396660011</v>
      </c>
      <c r="F13" s="323">
        <f t="shared" si="5"/>
        <v>7595783.0877020713</v>
      </c>
      <c r="G13" s="323">
        <f t="shared" si="5"/>
        <v>2549499</v>
      </c>
      <c r="H13" s="323">
        <f t="shared" si="5"/>
        <v>2765216</v>
      </c>
      <c r="I13" s="20">
        <f t="shared" si="5"/>
        <v>10242099</v>
      </c>
      <c r="J13" s="20">
        <f t="shared" ref="J13:AO13" si="6">SUM(J14:J17)</f>
        <v>10242099</v>
      </c>
      <c r="K13" s="20">
        <f t="shared" si="6"/>
        <v>9221750</v>
      </c>
      <c r="L13" s="20">
        <f t="shared" si="6"/>
        <v>10211721</v>
      </c>
      <c r="M13" s="20">
        <f t="shared" si="6"/>
        <v>9640058</v>
      </c>
      <c r="N13" s="20">
        <f t="shared" si="6"/>
        <v>9916440</v>
      </c>
      <c r="O13" s="20">
        <f t="shared" si="6"/>
        <v>9700815</v>
      </c>
      <c r="P13" s="20">
        <f t="shared" si="6"/>
        <v>8862688</v>
      </c>
      <c r="Q13" s="20">
        <f t="shared" si="6"/>
        <v>8862688</v>
      </c>
      <c r="R13" s="20">
        <f t="shared" si="6"/>
        <v>8487015</v>
      </c>
      <c r="S13" s="20">
        <f t="shared" si="6"/>
        <v>9216904</v>
      </c>
      <c r="T13" s="20">
        <f t="shared" si="6"/>
        <v>9679777</v>
      </c>
      <c r="U13" s="20">
        <f t="shared" si="6"/>
        <v>10172576</v>
      </c>
      <c r="V13" s="20">
        <f t="shared" si="6"/>
        <v>10442059</v>
      </c>
      <c r="W13" s="20">
        <f t="shared" si="6"/>
        <v>9449510</v>
      </c>
      <c r="X13" s="20">
        <f t="shared" si="6"/>
        <v>9449510</v>
      </c>
      <c r="Y13" s="20">
        <f t="shared" si="6"/>
        <v>9449806</v>
      </c>
      <c r="Z13" s="20">
        <f t="shared" si="6"/>
        <v>9333323</v>
      </c>
      <c r="AA13" s="20">
        <f t="shared" si="6"/>
        <v>11519013</v>
      </c>
      <c r="AB13" s="20">
        <f t="shared" si="6"/>
        <v>11218733</v>
      </c>
      <c r="AC13" s="20">
        <f t="shared" si="6"/>
        <v>11322619</v>
      </c>
      <c r="AD13" s="20">
        <f t="shared" si="6"/>
        <v>10778662</v>
      </c>
      <c r="AE13" s="20">
        <f t="shared" si="6"/>
        <v>10778662</v>
      </c>
      <c r="AF13" s="20">
        <f t="shared" si="6"/>
        <v>11933684</v>
      </c>
      <c r="AG13" s="20">
        <f t="shared" si="6"/>
        <v>13322725</v>
      </c>
      <c r="AH13" s="20">
        <f t="shared" si="6"/>
        <v>14249704</v>
      </c>
      <c r="AI13" s="20">
        <f t="shared" si="6"/>
        <v>14599442</v>
      </c>
      <c r="AJ13" s="20">
        <f t="shared" si="6"/>
        <v>15229190</v>
      </c>
      <c r="AK13" s="20">
        <f t="shared" si="6"/>
        <v>14928464</v>
      </c>
      <c r="AL13" s="20">
        <f t="shared" si="6"/>
        <v>14928464</v>
      </c>
      <c r="AM13" s="20">
        <f t="shared" si="6"/>
        <v>13598004</v>
      </c>
      <c r="AN13" s="20">
        <f t="shared" si="6"/>
        <v>-1330460</v>
      </c>
      <c r="AO13" s="20">
        <f t="shared" si="6"/>
        <v>10999619.49</v>
      </c>
      <c r="AP13" s="16">
        <f t="shared" si="1"/>
        <v>1522.9190000000001</v>
      </c>
      <c r="AQ13" s="17">
        <f t="shared" si="2"/>
        <v>1099.961949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3668339.65</v>
      </c>
      <c r="E15" s="309">
        <f>HLOOKUP(MONTH(日期!$C$2),當年目標設定!$D$1:$O$33,13,TRUE)</f>
        <v>3667920.7675000001</v>
      </c>
      <c r="F15" s="308">
        <f>HLOOKUP(MONTH(日期!$C$2),當年目標設定!$R$1:$AC$33,13,TRUE)</f>
        <v>2396348.1321428572</v>
      </c>
      <c r="G15" s="308">
        <f>當年月推移!P13</f>
        <v>2199229</v>
      </c>
      <c r="H15" s="308">
        <f>當年月推移!P47</f>
        <v>2419007</v>
      </c>
      <c r="I15" s="27">
        <f>VALUE(庫存金額!C10)</f>
        <v>3805262</v>
      </c>
      <c r="J15" s="27">
        <f>VALUE(庫存金額!D10)</f>
        <v>3805262</v>
      </c>
      <c r="K15" s="27">
        <f>VALUE(庫存金額!E10)</f>
        <v>3582402</v>
      </c>
      <c r="L15" s="27">
        <f>VALUE(庫存金額!F10)</f>
        <v>3468327</v>
      </c>
      <c r="M15" s="27">
        <f>VALUE(庫存金額!G10)</f>
        <v>3273322</v>
      </c>
      <c r="N15" s="27">
        <f>VALUE(庫存金額!H10)</f>
        <v>3195562</v>
      </c>
      <c r="O15" s="27">
        <f>VALUE(庫存金額!I10)</f>
        <v>3465712</v>
      </c>
      <c r="P15" s="27">
        <f>VALUE(庫存金額!J10)</f>
        <v>3323342</v>
      </c>
      <c r="Q15" s="27">
        <f>VALUE(庫存金額!K10)</f>
        <v>3323342</v>
      </c>
      <c r="R15" s="27">
        <f>VALUE(庫存金額!L10)</f>
        <v>3160377</v>
      </c>
      <c r="S15" s="27">
        <f>VALUE(庫存金額!M10)</f>
        <v>3081022</v>
      </c>
      <c r="T15" s="27">
        <f>VALUE(庫存金額!N10)</f>
        <v>2963922</v>
      </c>
      <c r="U15" s="27">
        <f>VALUE(庫存金額!O10)</f>
        <v>2854757</v>
      </c>
      <c r="V15" s="27">
        <f>VALUE(庫存金額!P10)</f>
        <v>2808287</v>
      </c>
      <c r="W15" s="27">
        <f>VALUE(庫存金額!Q10)</f>
        <v>2677642</v>
      </c>
      <c r="X15" s="27">
        <f>VALUE(庫存金額!R10)</f>
        <v>2677642</v>
      </c>
      <c r="Y15" s="27">
        <f>VALUE(庫存金額!S10)</f>
        <v>2903057</v>
      </c>
      <c r="Z15" s="27">
        <f>VALUE(庫存金額!T10)</f>
        <v>2766517</v>
      </c>
      <c r="AA15" s="27">
        <f>VALUE(庫存金額!U10)</f>
        <v>2651727</v>
      </c>
      <c r="AB15" s="27">
        <f>VALUE(庫存金額!V10)</f>
        <v>2622387</v>
      </c>
      <c r="AC15" s="27">
        <f>VALUE(庫存金額!W10)</f>
        <v>2970422</v>
      </c>
      <c r="AD15" s="27">
        <f>VALUE(庫存金額!X10)</f>
        <v>2921382</v>
      </c>
      <c r="AE15" s="27">
        <f>VALUE(庫存金額!Y10)</f>
        <v>2921382</v>
      </c>
      <c r="AF15" s="27">
        <f>VALUE(庫存金額!Z10)</f>
        <v>2846442</v>
      </c>
      <c r="AG15" s="27">
        <f>VALUE(庫存金額!AA10)</f>
        <v>2803582</v>
      </c>
      <c r="AH15" s="27">
        <f>VALUE(庫存金額!AB10)</f>
        <v>3468712</v>
      </c>
      <c r="AI15" s="27">
        <f>VALUE(庫存金額!AC10)</f>
        <v>3530817</v>
      </c>
      <c r="AJ15" s="27">
        <f>VALUE(庫存金額!AD10)</f>
        <v>3442237</v>
      </c>
      <c r="AK15" s="27">
        <f>VALUE(庫存金額!AE10)</f>
        <v>3364312</v>
      </c>
      <c r="AL15" s="27">
        <f>VALUE(庫存金額!AF10)</f>
        <v>3364312</v>
      </c>
      <c r="AM15" s="27">
        <f>VALUE(庫存金額!AG10)</f>
        <v>3254017</v>
      </c>
      <c r="AN15" s="27">
        <f>VALUE(庫存金額!AH10)</f>
        <v>-110295</v>
      </c>
      <c r="AO15" s="27">
        <f>VALUE(庫存金額!AI10)</f>
        <v>3138628.61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255456.39</v>
      </c>
      <c r="E16" s="309">
        <f>HLOOKUP(MONTH(日期!$C$2),當年目標設定!$D$1:$O$33,14,TRUE)</f>
        <v>256371.5325</v>
      </c>
      <c r="F16" s="308">
        <f>HLOOKUP(MONTH(日期!$C$2),當年目標設定!$R$1:$AC$33,14,TRUE)</f>
        <v>268789.07321428572</v>
      </c>
      <c r="G16" s="308">
        <f>當年月推移!P15</f>
        <v>350270</v>
      </c>
      <c r="H16" s="308">
        <f>當年月推移!P49</f>
        <v>346209</v>
      </c>
      <c r="I16" s="232">
        <f>VALUE(庫存金額!C14)</f>
        <v>285628</v>
      </c>
      <c r="J16" s="232">
        <f>VALUE(庫存金額!D14)</f>
        <v>285628</v>
      </c>
      <c r="K16" s="232">
        <f>VALUE(庫存金額!E14)</f>
        <v>280868</v>
      </c>
      <c r="L16" s="232">
        <f>VALUE(庫存金額!F14)</f>
        <v>334328</v>
      </c>
      <c r="M16" s="232">
        <f>VALUE(庫存金額!G14)</f>
        <v>333328</v>
      </c>
      <c r="N16" s="232">
        <f>VALUE(庫存金額!H14)</f>
        <v>332788</v>
      </c>
      <c r="O16" s="232">
        <f>VALUE(庫存金額!I14)</f>
        <v>328028</v>
      </c>
      <c r="P16" s="232">
        <f>VALUE(庫存金額!J14)</f>
        <v>328028</v>
      </c>
      <c r="Q16" s="232">
        <f>VALUE(庫存金額!K14)</f>
        <v>328028</v>
      </c>
      <c r="R16" s="232">
        <f>VALUE(庫存金額!L14)</f>
        <v>323548</v>
      </c>
      <c r="S16" s="232">
        <f>VALUE(庫存金額!M14)</f>
        <v>312728</v>
      </c>
      <c r="T16" s="232">
        <f>VALUE(庫存金額!N14)</f>
        <v>310568</v>
      </c>
      <c r="U16" s="232">
        <f>VALUE(庫存金額!O14)</f>
        <v>301328</v>
      </c>
      <c r="V16" s="232">
        <f>VALUE(庫存金額!P14)</f>
        <v>299708</v>
      </c>
      <c r="W16" s="232">
        <f>VALUE(庫存金額!Q14)</f>
        <v>299168</v>
      </c>
      <c r="X16" s="232">
        <f>VALUE(庫存金額!R14)</f>
        <v>299168</v>
      </c>
      <c r="Y16" s="232">
        <f>VALUE(庫存金額!S14)</f>
        <v>296248</v>
      </c>
      <c r="Z16" s="232">
        <f>VALUE(庫存金額!T14)</f>
        <v>295168</v>
      </c>
      <c r="AA16" s="232">
        <f>VALUE(庫存金額!U14)</f>
        <v>293548</v>
      </c>
      <c r="AB16" s="232">
        <f>VALUE(庫存金額!V14)</f>
        <v>290628</v>
      </c>
      <c r="AC16" s="232">
        <f>VALUE(庫存金額!W14)</f>
        <v>290088</v>
      </c>
      <c r="AD16" s="232">
        <f>VALUE(庫存金額!X14)</f>
        <v>289548</v>
      </c>
      <c r="AE16" s="232">
        <f>VALUE(庫存金額!Y14)</f>
        <v>289548</v>
      </c>
      <c r="AF16" s="232">
        <f>VALUE(庫存金額!Z14)</f>
        <v>289548</v>
      </c>
      <c r="AG16" s="232">
        <f>VALUE(庫存金額!AA14)</f>
        <v>287308</v>
      </c>
      <c r="AH16" s="232">
        <f>VALUE(庫存金額!AB14)</f>
        <v>285068</v>
      </c>
      <c r="AI16" s="232">
        <f>VALUE(庫存金額!AC14)</f>
        <v>281868</v>
      </c>
      <c r="AJ16" s="232">
        <f>VALUE(庫存金額!AD14)</f>
        <v>280248</v>
      </c>
      <c r="AK16" s="232">
        <f>VALUE(庫存金額!AE14)</f>
        <v>279168</v>
      </c>
      <c r="AL16" s="232">
        <f>VALUE(庫存金額!AF14)</f>
        <v>279168</v>
      </c>
      <c r="AM16" s="232">
        <f>VALUE(庫存金額!AG14)</f>
        <v>279168</v>
      </c>
      <c r="AN16" s="232">
        <f>VALUE(庫存金額!AH14)</f>
        <v>0</v>
      </c>
      <c r="AO16" s="232">
        <f>VALUE(庫存金額!AI14)</f>
        <v>299651.23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10604485.810000001</v>
      </c>
      <c r="E17" s="309">
        <f>HLOOKUP(MONTH(日期!$C$2),當年目標設定!$D$1:$O$33,15,TRUE)</f>
        <v>4943605.1396660004</v>
      </c>
      <c r="F17" s="308">
        <f>HLOOKUP(MONTH(日期!$C$2),當年目標設定!$R$1:$AC$33,15,TRUE)</f>
        <v>4930645.8823449286</v>
      </c>
      <c r="G17" s="308">
        <f>當年月推移!P33</f>
        <v>0</v>
      </c>
      <c r="H17" s="308">
        <f>當年月推移!P67</f>
        <v>0</v>
      </c>
      <c r="I17" s="232">
        <f>VALUE(庫存金額!C24)</f>
        <v>6151209</v>
      </c>
      <c r="J17" s="232">
        <f>VALUE(庫存金額!D24)</f>
        <v>6151209</v>
      </c>
      <c r="K17" s="232">
        <f>VALUE(庫存金額!E24)</f>
        <v>5358480</v>
      </c>
      <c r="L17" s="232">
        <f>VALUE(庫存金額!F24)</f>
        <v>6409066</v>
      </c>
      <c r="M17" s="232">
        <f>VALUE(庫存金額!G24)</f>
        <v>6033408</v>
      </c>
      <c r="N17" s="232">
        <f>VALUE(庫存金額!H24)</f>
        <v>6388090</v>
      </c>
      <c r="O17" s="232">
        <f>VALUE(庫存金額!I24)</f>
        <v>5907075</v>
      </c>
      <c r="P17" s="232">
        <f>VALUE(庫存金額!J24)</f>
        <v>5211318</v>
      </c>
      <c r="Q17" s="232">
        <f>VALUE(庫存金額!K24)</f>
        <v>5211318</v>
      </c>
      <c r="R17" s="232">
        <f>VALUE(庫存金額!L24)</f>
        <v>5003090</v>
      </c>
      <c r="S17" s="232">
        <f>VALUE(庫存金額!M24)</f>
        <v>5823154</v>
      </c>
      <c r="T17" s="232">
        <f>VALUE(庫存金額!N24)</f>
        <v>6405287</v>
      </c>
      <c r="U17" s="232">
        <f>VALUE(庫存金額!O24)</f>
        <v>7016491</v>
      </c>
      <c r="V17" s="232">
        <f>VALUE(庫存金額!P24)</f>
        <v>7334064</v>
      </c>
      <c r="W17" s="232">
        <f>VALUE(庫存金額!Q24)</f>
        <v>6472700</v>
      </c>
      <c r="X17" s="232">
        <f>VALUE(庫存金額!R24)</f>
        <v>6472700</v>
      </c>
      <c r="Y17" s="232">
        <f>VALUE(庫存金額!S24)</f>
        <v>6250501</v>
      </c>
      <c r="Z17" s="232">
        <f>VALUE(庫存金額!T24)</f>
        <v>6271638</v>
      </c>
      <c r="AA17" s="232">
        <f>VALUE(庫存金額!U24)</f>
        <v>8573738</v>
      </c>
      <c r="AB17" s="232">
        <f>VALUE(庫存金額!V24)</f>
        <v>8305718</v>
      </c>
      <c r="AC17" s="232">
        <f>VALUE(庫存金額!W24)</f>
        <v>8062109</v>
      </c>
      <c r="AD17" s="232">
        <f>VALUE(庫存金額!X24)</f>
        <v>7567732</v>
      </c>
      <c r="AE17" s="232">
        <f>VALUE(庫存金額!Y24)</f>
        <v>7567732</v>
      </c>
      <c r="AF17" s="232">
        <f>VALUE(庫存金額!Z24)</f>
        <v>8797694</v>
      </c>
      <c r="AG17" s="232">
        <f>VALUE(庫存金額!AA24)</f>
        <v>10231835</v>
      </c>
      <c r="AH17" s="232">
        <f>VALUE(庫存金額!AB24)</f>
        <v>10495924</v>
      </c>
      <c r="AI17" s="232">
        <f>VALUE(庫存金額!AC24)</f>
        <v>10786757</v>
      </c>
      <c r="AJ17" s="232">
        <f>VALUE(庫存金額!AD24)</f>
        <v>11506705</v>
      </c>
      <c r="AK17" s="232">
        <f>VALUE(庫存金額!AE24)</f>
        <v>11284984</v>
      </c>
      <c r="AL17" s="232">
        <f>VALUE(庫存金額!AF24)</f>
        <v>11284984</v>
      </c>
      <c r="AM17" s="232">
        <f>VALUE(庫存金額!AG24)</f>
        <v>10064819</v>
      </c>
      <c r="AN17" s="232">
        <f>VALUE(庫存金額!AH24)</f>
        <v>-1220165</v>
      </c>
      <c r="AO17" s="232">
        <f>VALUE(庫存金額!AI24)</f>
        <v>7561339.6500000004</v>
      </c>
    </row>
    <row r="18" spans="1:44" s="14" customFormat="1" ht="21.95" customHeight="1">
      <c r="A18" s="23"/>
      <c r="B18" s="641" t="s">
        <v>22</v>
      </c>
      <c r="C18" s="642"/>
      <c r="D18" s="324">
        <f t="shared" ref="D18:I18" si="7">SUM(D19:D25)</f>
        <v>229951263.89000002</v>
      </c>
      <c r="E18" s="517">
        <f t="shared" si="7"/>
        <v>290030546.26693273</v>
      </c>
      <c r="F18" s="324">
        <f t="shared" si="7"/>
        <v>280706959.76962483</v>
      </c>
      <c r="G18" s="317">
        <f t="shared" si="7"/>
        <v>194878544</v>
      </c>
      <c r="H18" s="317">
        <f t="shared" si="7"/>
        <v>196103229</v>
      </c>
      <c r="I18" s="237">
        <f t="shared" si="7"/>
        <v>211041190</v>
      </c>
      <c r="J18" s="237">
        <f t="shared" ref="J18:AO18" si="8">SUM(J19:J25)</f>
        <v>211036738</v>
      </c>
      <c r="K18" s="237">
        <f t="shared" si="8"/>
        <v>214165780</v>
      </c>
      <c r="L18" s="237">
        <f t="shared" si="8"/>
        <v>215397836</v>
      </c>
      <c r="M18" s="237">
        <f t="shared" si="8"/>
        <v>216939608</v>
      </c>
      <c r="N18" s="237">
        <f t="shared" si="8"/>
        <v>216874909</v>
      </c>
      <c r="O18" s="237">
        <f t="shared" si="8"/>
        <v>215826341</v>
      </c>
      <c r="P18" s="237">
        <f t="shared" si="8"/>
        <v>212280263</v>
      </c>
      <c r="Q18" s="237">
        <f t="shared" si="8"/>
        <v>212280263</v>
      </c>
      <c r="R18" s="237">
        <f t="shared" si="8"/>
        <v>211317756</v>
      </c>
      <c r="S18" s="237">
        <f t="shared" si="8"/>
        <v>211817500</v>
      </c>
      <c r="T18" s="237">
        <f t="shared" si="8"/>
        <v>213344195</v>
      </c>
      <c r="U18" s="237">
        <f t="shared" si="8"/>
        <v>215750480</v>
      </c>
      <c r="V18" s="237">
        <f t="shared" si="8"/>
        <v>218239617</v>
      </c>
      <c r="W18" s="237">
        <f t="shared" si="8"/>
        <v>214462020</v>
      </c>
      <c r="X18" s="237">
        <f t="shared" si="8"/>
        <v>214462020</v>
      </c>
      <c r="Y18" s="237">
        <f t="shared" si="8"/>
        <v>217618623</v>
      </c>
      <c r="Z18" s="237">
        <f t="shared" si="8"/>
        <v>217001101</v>
      </c>
      <c r="AA18" s="237">
        <f t="shared" si="8"/>
        <v>218584204</v>
      </c>
      <c r="AB18" s="237">
        <f t="shared" si="8"/>
        <v>218047528</v>
      </c>
      <c r="AC18" s="237">
        <f t="shared" si="8"/>
        <v>218675050</v>
      </c>
      <c r="AD18" s="237">
        <f t="shared" si="8"/>
        <v>215059737</v>
      </c>
      <c r="AE18" s="237">
        <f t="shared" si="8"/>
        <v>215059737</v>
      </c>
      <c r="AF18" s="237">
        <f t="shared" si="8"/>
        <v>218224300</v>
      </c>
      <c r="AG18" s="237">
        <f t="shared" si="8"/>
        <v>218198797</v>
      </c>
      <c r="AH18" s="237">
        <f t="shared" si="8"/>
        <v>220526679</v>
      </c>
      <c r="AI18" s="237">
        <f t="shared" si="8"/>
        <v>222671689</v>
      </c>
      <c r="AJ18" s="237">
        <f t="shared" si="8"/>
        <v>224365643</v>
      </c>
      <c r="AK18" s="237">
        <f t="shared" si="8"/>
        <v>221702850</v>
      </c>
      <c r="AL18" s="237">
        <f t="shared" si="8"/>
        <v>221736235</v>
      </c>
      <c r="AM18" s="237">
        <f t="shared" si="8"/>
        <v>241693355</v>
      </c>
      <c r="AN18" s="237">
        <f t="shared" si="8"/>
        <v>19957120</v>
      </c>
      <c r="AO18" s="237">
        <f t="shared" si="8"/>
        <v>217238775.60999998</v>
      </c>
      <c r="AP18" s="16">
        <f>AJ18/10000</f>
        <v>22436.564299999998</v>
      </c>
      <c r="AQ18" s="17">
        <f>AO18/10000</f>
        <v>21723.877560999998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198708701.61000001</v>
      </c>
      <c r="E19" s="518">
        <f>HLOOKUP(MONTH(日期!$C$2),當年目標設定!$D$1:$O$33,17,TRUE)</f>
        <v>251994535.59999999</v>
      </c>
      <c r="F19" s="309">
        <f>HLOOKUP(MONTH(日期!$C$2),當年目標設定!$R$1:$AC$33,17,TRUE)</f>
        <v>245316287.00232846</v>
      </c>
      <c r="G19" s="308">
        <f>當年月推移!P17</f>
        <v>185472500</v>
      </c>
      <c r="H19" s="308">
        <f>當年月推移!P51</f>
        <v>186879789</v>
      </c>
      <c r="I19" s="27">
        <f>VALUE(庫存金額!C3)</f>
        <v>183804104</v>
      </c>
      <c r="J19" s="27">
        <f>VALUE(庫存金額!D3)</f>
        <v>183799652</v>
      </c>
      <c r="K19" s="27">
        <f>VALUE(庫存金額!E3)</f>
        <v>187230344</v>
      </c>
      <c r="L19" s="27">
        <f>VALUE(庫存金額!F3)</f>
        <v>188638695</v>
      </c>
      <c r="M19" s="27">
        <f>VALUE(庫存金額!G3)</f>
        <v>190216630</v>
      </c>
      <c r="N19" s="27">
        <f>VALUE(庫存金額!H3)</f>
        <v>189353602</v>
      </c>
      <c r="O19" s="27">
        <f>VALUE(庫存金額!I3)</f>
        <v>188143747</v>
      </c>
      <c r="P19" s="27">
        <f>VALUE(庫存金額!J3)</f>
        <v>186958515</v>
      </c>
      <c r="Q19" s="27">
        <f>VALUE(庫存金額!K3)</f>
        <v>186958515</v>
      </c>
      <c r="R19" s="27">
        <f>VALUE(庫存金額!L3)</f>
        <v>185993415</v>
      </c>
      <c r="S19" s="27">
        <f>VALUE(庫存金額!M3)</f>
        <v>186318055</v>
      </c>
      <c r="T19" s="27">
        <f>VALUE(庫存金額!N3)</f>
        <v>188389580</v>
      </c>
      <c r="U19" s="27">
        <f>VALUE(庫存金額!O3)</f>
        <v>190610356</v>
      </c>
      <c r="V19" s="27">
        <f>VALUE(庫存金額!P3)</f>
        <v>191841000</v>
      </c>
      <c r="W19" s="27">
        <f>VALUE(庫存金額!Q3)</f>
        <v>190478068</v>
      </c>
      <c r="X19" s="27">
        <f>VALUE(庫存金額!R3)</f>
        <v>190478068</v>
      </c>
      <c r="Y19" s="27">
        <f>VALUE(庫存金額!S3)</f>
        <v>193000475</v>
      </c>
      <c r="Z19" s="27">
        <f>VALUE(庫存金額!T3)</f>
        <v>192538180</v>
      </c>
      <c r="AA19" s="27">
        <f>VALUE(庫存金額!U3)</f>
        <v>193227846</v>
      </c>
      <c r="AB19" s="27">
        <f>VALUE(庫存金額!V3)</f>
        <v>193012786</v>
      </c>
      <c r="AC19" s="27">
        <f>VALUE(庫存金額!W3)</f>
        <v>192411725</v>
      </c>
      <c r="AD19" s="27">
        <f>VALUE(庫存金額!X3)</f>
        <v>191091513</v>
      </c>
      <c r="AE19" s="27">
        <f>VALUE(庫存金額!Y3)</f>
        <v>191091513</v>
      </c>
      <c r="AF19" s="27">
        <f>VALUE(庫存金額!Z3)</f>
        <v>192620324</v>
      </c>
      <c r="AG19" s="27">
        <f>VALUE(庫存金額!AA3)</f>
        <v>193142831</v>
      </c>
      <c r="AH19" s="27">
        <f>VALUE(庫存金額!AB3)</f>
        <v>194992197</v>
      </c>
      <c r="AI19" s="27">
        <f>VALUE(庫存金額!AC3)</f>
        <v>196239357</v>
      </c>
      <c r="AJ19" s="27">
        <f>VALUE(庫存金額!AD3)</f>
        <v>197055297</v>
      </c>
      <c r="AK19" s="27">
        <f>VALUE(庫存金額!AE3)</f>
        <v>195563468</v>
      </c>
      <c r="AL19" s="27">
        <f>VALUE(庫存金額!AF3)</f>
        <v>195596853</v>
      </c>
      <c r="AM19" s="27">
        <f>VALUE(庫存金額!AG3)</f>
        <v>194451579</v>
      </c>
      <c r="AN19" s="27">
        <f>VALUE(庫存金額!AH3)</f>
        <v>-1145274</v>
      </c>
      <c r="AO19" s="27">
        <f>VALUE(庫存金額!AI3)</f>
        <v>190814460.97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1827319.19</v>
      </c>
      <c r="E20" s="518">
        <f>HLOOKUP(MONTH(日期!$C$2),當年目標設定!$D$1:$O$33,18,TRUE)</f>
        <v>1959922.0803721987</v>
      </c>
      <c r="F20" s="309">
        <f>HLOOKUP(MONTH(日期!$C$2),當年目標設定!$R$1:$AC$33,18,TRUE)</f>
        <v>1824895.7385001932</v>
      </c>
      <c r="G20" s="308">
        <f>當年月推移!P18</f>
        <v>1745064</v>
      </c>
      <c r="H20" s="308">
        <f>當年月推移!P52</f>
        <v>1671890</v>
      </c>
      <c r="I20" s="232">
        <f>VALUE(庫存金額!C13)</f>
        <v>570807</v>
      </c>
      <c r="J20" s="232">
        <f>VALUE(庫存金額!D13)</f>
        <v>570807</v>
      </c>
      <c r="K20" s="232">
        <f>VALUE(庫存金額!E13)</f>
        <v>601153</v>
      </c>
      <c r="L20" s="232">
        <f>VALUE(庫存金額!F13)</f>
        <v>558079</v>
      </c>
      <c r="M20" s="232">
        <f>VALUE(庫存金額!G13)</f>
        <v>1411797</v>
      </c>
      <c r="N20" s="232">
        <f>VALUE(庫存金額!H13)</f>
        <v>2635034</v>
      </c>
      <c r="O20" s="232">
        <f>VALUE(庫存金額!I13)</f>
        <v>3600237</v>
      </c>
      <c r="P20" s="232">
        <f>VALUE(庫存金額!J13)</f>
        <v>2857741</v>
      </c>
      <c r="Q20" s="232">
        <f>VALUE(庫存金額!K13)</f>
        <v>2857741</v>
      </c>
      <c r="R20" s="232">
        <f>VALUE(庫存金額!L13)</f>
        <v>2634160</v>
      </c>
      <c r="S20" s="232">
        <f>VALUE(庫存金額!M13)</f>
        <v>2118007</v>
      </c>
      <c r="T20" s="232">
        <f>VALUE(庫存金額!N13)</f>
        <v>1842119</v>
      </c>
      <c r="U20" s="232">
        <f>VALUE(庫存金額!O13)</f>
        <v>1573856</v>
      </c>
      <c r="V20" s="232">
        <f>VALUE(庫存金額!P13)</f>
        <v>2862728</v>
      </c>
      <c r="W20" s="232">
        <f>VALUE(庫存金額!Q13)</f>
        <v>2174829</v>
      </c>
      <c r="X20" s="232">
        <f>VALUE(庫存金額!R13)</f>
        <v>2174829</v>
      </c>
      <c r="Y20" s="232">
        <f>VALUE(庫存金額!S13)</f>
        <v>2788878</v>
      </c>
      <c r="Z20" s="232">
        <f>VALUE(庫存金額!T13)</f>
        <v>2454452</v>
      </c>
      <c r="AA20" s="232">
        <f>VALUE(庫存金額!U13)</f>
        <v>2529689</v>
      </c>
      <c r="AB20" s="232">
        <f>VALUE(庫存金額!V13)</f>
        <v>2218947</v>
      </c>
      <c r="AC20" s="232">
        <f>VALUE(庫存金額!W13)</f>
        <v>2702388</v>
      </c>
      <c r="AD20" s="232">
        <f>VALUE(庫存金額!X13)</f>
        <v>1857394</v>
      </c>
      <c r="AE20" s="232">
        <f>VALUE(庫存金額!Y13)</f>
        <v>1857394</v>
      </c>
      <c r="AF20" s="232">
        <f>VALUE(庫存金額!Z13)</f>
        <v>2116599</v>
      </c>
      <c r="AG20" s="232">
        <f>VALUE(庫存金額!AA13)</f>
        <v>1766480</v>
      </c>
      <c r="AH20" s="232">
        <f>VALUE(庫存金額!AB13)</f>
        <v>2082859</v>
      </c>
      <c r="AI20" s="232">
        <f>VALUE(庫存金額!AC13)</f>
        <v>1865996</v>
      </c>
      <c r="AJ20" s="232">
        <f>VALUE(庫存金額!AD13)</f>
        <v>1876167</v>
      </c>
      <c r="AK20" s="232">
        <f>VALUE(庫存金額!AE13)</f>
        <v>1819812</v>
      </c>
      <c r="AL20" s="232">
        <f>VALUE(庫存金額!AF13)</f>
        <v>1819812</v>
      </c>
      <c r="AM20" s="232">
        <f>VALUE(庫存金額!AG13)</f>
        <v>3159224</v>
      </c>
      <c r="AN20" s="232">
        <f>VALUE(庫存金額!AH13)</f>
        <v>1339412</v>
      </c>
      <c r="AO20" s="232">
        <f>VALUE(庫存金額!AI13)</f>
        <v>2063226.29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12463471.029999999</v>
      </c>
      <c r="E21" s="518">
        <f>HLOOKUP(MONTH(日期!$C$2),當年目標設定!$D$1:$O$33,19,TRUE)</f>
        <v>18356721.648681212</v>
      </c>
      <c r="F21" s="309">
        <f>HLOOKUP(MONTH(日期!$C$2),當年目標設定!$R$1:$AC$33,19,TRUE)</f>
        <v>16968999.582515009</v>
      </c>
      <c r="G21" s="308">
        <f>當年月推移!P19</f>
        <v>14160</v>
      </c>
      <c r="H21" s="308">
        <f>當年月推移!P53</f>
        <v>14160</v>
      </c>
      <c r="I21" s="232">
        <f>VALUE(庫存金額!C18)</f>
        <v>6429488</v>
      </c>
      <c r="J21" s="232">
        <f>VALUE(庫存金額!D18)</f>
        <v>6429488</v>
      </c>
      <c r="K21" s="232">
        <f>VALUE(庫存金額!E18)</f>
        <v>6428850</v>
      </c>
      <c r="L21" s="232">
        <f>VALUE(庫存金額!F18)</f>
        <v>6425432</v>
      </c>
      <c r="M21" s="232">
        <f>VALUE(庫存金額!G18)</f>
        <v>6419146</v>
      </c>
      <c r="N21" s="232">
        <f>VALUE(庫存金額!H18)</f>
        <v>6414610</v>
      </c>
      <c r="O21" s="232">
        <f>VALUE(庫存金額!I18)</f>
        <v>6401785</v>
      </c>
      <c r="P21" s="232">
        <f>VALUE(庫存金額!J18)</f>
        <v>6388758</v>
      </c>
      <c r="Q21" s="232">
        <f>VALUE(庫存金額!K18)</f>
        <v>6388758</v>
      </c>
      <c r="R21" s="232">
        <f>VALUE(庫存金額!L18)</f>
        <v>6387869</v>
      </c>
      <c r="S21" s="232">
        <f>VALUE(庫存金額!M18)</f>
        <v>6388751</v>
      </c>
      <c r="T21" s="232">
        <f>VALUE(庫存金額!N18)</f>
        <v>6388082</v>
      </c>
      <c r="U21" s="232">
        <f>VALUE(庫存金額!O18)</f>
        <v>6386857</v>
      </c>
      <c r="V21" s="232">
        <f>VALUE(庫存金額!P18)</f>
        <v>6360818</v>
      </c>
      <c r="W21" s="232">
        <f>VALUE(庫存金額!Q18)</f>
        <v>6359306</v>
      </c>
      <c r="X21" s="232">
        <f>VALUE(庫存金額!R18)</f>
        <v>6359306</v>
      </c>
      <c r="Y21" s="232">
        <f>VALUE(庫存金額!S18)</f>
        <v>6379915</v>
      </c>
      <c r="Z21" s="232">
        <f>VALUE(庫存金額!T18)</f>
        <v>6341263</v>
      </c>
      <c r="AA21" s="232">
        <f>VALUE(庫存金額!U18)</f>
        <v>6338711</v>
      </c>
      <c r="AB21" s="232">
        <f>VALUE(庫存金額!V18)</f>
        <v>6336022</v>
      </c>
      <c r="AC21" s="232">
        <f>VALUE(庫存金額!W18)</f>
        <v>6331605</v>
      </c>
      <c r="AD21" s="232">
        <f>VALUE(庫存金額!X18)</f>
        <v>6329955</v>
      </c>
      <c r="AE21" s="232">
        <f>VALUE(庫存金額!Y18)</f>
        <v>6329955</v>
      </c>
      <c r="AF21" s="232">
        <f>VALUE(庫存金額!Z18)</f>
        <v>6332950</v>
      </c>
      <c r="AG21" s="232">
        <f>VALUE(庫存金額!AA18)</f>
        <v>6365438</v>
      </c>
      <c r="AH21" s="232">
        <f>VALUE(庫存金額!AB18)</f>
        <v>6342455</v>
      </c>
      <c r="AI21" s="232">
        <f>VALUE(庫存金額!AC18)</f>
        <v>6348555</v>
      </c>
      <c r="AJ21" s="232">
        <f>VALUE(庫存金額!AD18)</f>
        <v>6332960</v>
      </c>
      <c r="AK21" s="232">
        <f>VALUE(庫存金額!AE18)</f>
        <v>6330428</v>
      </c>
      <c r="AL21" s="232">
        <f>VALUE(庫存金額!AF18)</f>
        <v>6330428</v>
      </c>
      <c r="AM21" s="232">
        <f>VALUE(庫存金額!AG18)</f>
        <v>6324517</v>
      </c>
      <c r="AN21" s="232">
        <f>VALUE(庫存金額!AH18)</f>
        <v>-5911</v>
      </c>
      <c r="AO21" s="232">
        <f>VALUE(庫存金額!AI18)</f>
        <v>6369434.2300000004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9822519.1600000001</v>
      </c>
      <c r="E22" s="518">
        <f>HLOOKUP(MONTH(日期!$C$2),當年目標設定!$D$1:$O$33,20,TRUE)</f>
        <v>10465601.942937311</v>
      </c>
      <c r="F22" s="309">
        <f>HLOOKUP(MONTH(日期!$C$2),當年目標設定!$R$1:$AC$33,20,TRUE)</f>
        <v>9862574.7980210613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10649937</v>
      </c>
      <c r="J22" s="232">
        <f>VALUE(庫存金額!D17)</f>
        <v>10649937</v>
      </c>
      <c r="K22" s="232">
        <f>VALUE(庫存金額!E17)</f>
        <v>10233308</v>
      </c>
      <c r="L22" s="232">
        <f>VALUE(庫存金額!F17)</f>
        <v>10173900</v>
      </c>
      <c r="M22" s="232">
        <f>VALUE(庫存金額!G17)</f>
        <v>9762501</v>
      </c>
      <c r="N22" s="232">
        <f>VALUE(庫存金額!H17)</f>
        <v>10249890</v>
      </c>
      <c r="O22" s="232">
        <f>VALUE(庫存金額!I17)</f>
        <v>9886771</v>
      </c>
      <c r="P22" s="232">
        <f>VALUE(庫存金額!J17)</f>
        <v>9144091</v>
      </c>
      <c r="Q22" s="232">
        <f>VALUE(庫存金額!K17)</f>
        <v>9144091</v>
      </c>
      <c r="R22" s="232">
        <f>VALUE(庫存金額!L17)</f>
        <v>9932562</v>
      </c>
      <c r="S22" s="232">
        <f>VALUE(庫存金額!M17)</f>
        <v>9628268</v>
      </c>
      <c r="T22" s="232">
        <f>VALUE(庫存金額!N17)</f>
        <v>9537075</v>
      </c>
      <c r="U22" s="232">
        <f>VALUE(庫存金額!O17)</f>
        <v>9758514</v>
      </c>
      <c r="V22" s="232">
        <f>VALUE(庫存金額!P17)</f>
        <v>9965236</v>
      </c>
      <c r="W22" s="232">
        <f>VALUE(庫存金額!Q17)</f>
        <v>9127839</v>
      </c>
      <c r="X22" s="232">
        <f>VALUE(庫存金額!R17)</f>
        <v>9127839</v>
      </c>
      <c r="Y22" s="232">
        <f>VALUE(庫存金額!S17)</f>
        <v>9381770</v>
      </c>
      <c r="Z22" s="232">
        <f>VALUE(庫存金額!T17)</f>
        <v>9399822</v>
      </c>
      <c r="AA22" s="232">
        <f>VALUE(庫存金額!U17)</f>
        <v>9342287</v>
      </c>
      <c r="AB22" s="232">
        <f>VALUE(庫存金額!V17)</f>
        <v>9687445</v>
      </c>
      <c r="AC22" s="232">
        <f>VALUE(庫存金額!W17)</f>
        <v>9959992</v>
      </c>
      <c r="AD22" s="232">
        <f>VALUE(庫存金額!X17)</f>
        <v>9093907</v>
      </c>
      <c r="AE22" s="232">
        <f>VALUE(庫存金額!Y17)</f>
        <v>9093907</v>
      </c>
      <c r="AF22" s="232">
        <f>VALUE(庫存金額!Z17)</f>
        <v>10292366</v>
      </c>
      <c r="AG22" s="232">
        <f>VALUE(庫存金額!AA17)</f>
        <v>9893267</v>
      </c>
      <c r="AH22" s="232">
        <f>VALUE(庫存金額!AB17)</f>
        <v>10125024</v>
      </c>
      <c r="AI22" s="232">
        <f>VALUE(庫存金額!AC17)</f>
        <v>11144734</v>
      </c>
      <c r="AJ22" s="232">
        <f>VALUE(庫存金額!AD17)</f>
        <v>11609281</v>
      </c>
      <c r="AK22" s="232">
        <f>VALUE(庫存金額!AE17)</f>
        <v>11083510</v>
      </c>
      <c r="AL22" s="232">
        <f>VALUE(庫存金額!AF17)</f>
        <v>11083510</v>
      </c>
      <c r="AM22" s="232">
        <f>VALUE(庫存金額!AG17)</f>
        <v>11026682</v>
      </c>
      <c r="AN22" s="232">
        <f>VALUE(庫存金額!AH17)</f>
        <v>-56828</v>
      </c>
      <c r="AO22" s="232">
        <f>VALUE(庫存金額!AI17)</f>
        <v>9973847.1899999995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6867741</v>
      </c>
      <c r="E23" s="518">
        <f>HLOOKUP(MONTH(日期!$C$2),當年目標設定!$D$1:$O$33,21,TRUE)</f>
        <v>7141539.488245354</v>
      </c>
      <c r="F23" s="309">
        <f>HLOOKUP(MONTH(日期!$C$2),當年目標設定!$R$1:$AC$33,21,TRUE)</f>
        <v>6629261.1963806376</v>
      </c>
      <c r="G23" s="308">
        <f>當年月推移!P21</f>
        <v>7238181</v>
      </c>
      <c r="H23" s="308">
        <f>當年月推移!P55</f>
        <v>7118432</v>
      </c>
      <c r="I23" s="232">
        <f>VALUE(庫存金額!C16)</f>
        <v>9317215</v>
      </c>
      <c r="J23" s="232">
        <f>VALUE(庫存金額!D16)</f>
        <v>9317215</v>
      </c>
      <c r="K23" s="232">
        <f>VALUE(庫存金額!E16)</f>
        <v>9402486</v>
      </c>
      <c r="L23" s="232">
        <f>VALUE(庫存金額!F16)</f>
        <v>9332091</v>
      </c>
      <c r="M23" s="232">
        <f>VALUE(庫存金額!G16)</f>
        <v>8859895</v>
      </c>
      <c r="N23" s="232">
        <f>VALUE(庫存金額!H16)</f>
        <v>7952134</v>
      </c>
      <c r="O23" s="232">
        <f>VALUE(庫存金額!I16)</f>
        <v>7524162</v>
      </c>
      <c r="P23" s="232">
        <f>VALUE(庫存金額!J16)</f>
        <v>6661519</v>
      </c>
      <c r="Q23" s="232">
        <f>VALUE(庫存金額!K16)</f>
        <v>6661519</v>
      </c>
      <c r="R23" s="232">
        <f>VALUE(庫存金額!L16)</f>
        <v>6100111</v>
      </c>
      <c r="S23" s="232">
        <f>VALUE(庫存金額!M16)</f>
        <v>7094780</v>
      </c>
      <c r="T23" s="232">
        <f>VALUE(庫存金額!N16)</f>
        <v>6917700</v>
      </c>
      <c r="U23" s="232">
        <f>VALUE(庫存金額!O16)</f>
        <v>7151258</v>
      </c>
      <c r="V23" s="232">
        <f>VALUE(庫存金額!P16)</f>
        <v>6940196</v>
      </c>
      <c r="W23" s="232">
        <f>VALUE(庫存金額!Q16)</f>
        <v>6052339</v>
      </c>
      <c r="X23" s="232">
        <f>VALUE(庫存金額!R16)</f>
        <v>6052339</v>
      </c>
      <c r="Y23" s="232">
        <f>VALUE(庫存金額!S16)</f>
        <v>5797946</v>
      </c>
      <c r="Z23" s="232">
        <f>VALUE(庫存金額!T16)</f>
        <v>5997745</v>
      </c>
      <c r="AA23" s="232">
        <f>VALUE(庫存金額!U16)</f>
        <v>6884857</v>
      </c>
      <c r="AB23" s="232">
        <f>VALUE(庫存金額!V16)</f>
        <v>6531514</v>
      </c>
      <c r="AC23" s="232">
        <f>VALUE(庫存金額!W16)</f>
        <v>7008526</v>
      </c>
      <c r="AD23" s="232">
        <f>VALUE(庫存金額!X16)</f>
        <v>6426154</v>
      </c>
      <c r="AE23" s="232">
        <f>VALUE(庫存金額!Y16)</f>
        <v>6426154</v>
      </c>
      <c r="AF23" s="232">
        <f>VALUE(庫存金額!Z16)</f>
        <v>6601247</v>
      </c>
      <c r="AG23" s="232">
        <f>VALUE(庫存金額!AA16)</f>
        <v>6769967</v>
      </c>
      <c r="AH23" s="232">
        <f>VALUE(庫存金額!AB16)</f>
        <v>6723330</v>
      </c>
      <c r="AI23" s="232">
        <f>VALUE(庫存金額!AC16)</f>
        <v>6812233</v>
      </c>
      <c r="AJ23" s="232">
        <f>VALUE(庫存金額!AD16)</f>
        <v>7231124</v>
      </c>
      <c r="AK23" s="232">
        <f>VALUE(庫存金額!AE16)</f>
        <v>6644818</v>
      </c>
      <c r="AL23" s="232">
        <f>VALUE(庫存金額!AF16)</f>
        <v>6644818</v>
      </c>
      <c r="AM23" s="232">
        <f>VALUE(庫存金額!AG16)</f>
        <v>26470539</v>
      </c>
      <c r="AN23" s="232">
        <f>VALUE(庫存金額!AH16)</f>
        <v>19825721</v>
      </c>
      <c r="AO23" s="232">
        <f>VALUE(庫存金額!AI16)</f>
        <v>7751868.7400000002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98711.9</v>
      </c>
      <c r="E24" s="518">
        <f>HLOOKUP(MONTH(日期!$C$2),當年目標設定!$D$1:$O$33,22,TRUE)</f>
        <v>112225.50669662745</v>
      </c>
      <c r="F24" s="309">
        <f>HLOOKUP(MONTH(日期!$C$2),當年目標設定!$R$1:$AC$33,22,TRUE)</f>
        <v>104941.45187950922</v>
      </c>
      <c r="G24" s="308">
        <f>當年月推移!P22</f>
        <v>108000</v>
      </c>
      <c r="H24" s="308">
        <f>當年月推移!P56</f>
        <v>106839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98014</v>
      </c>
      <c r="AB24" s="232">
        <f>VALUE(庫存金額!V11)</f>
        <v>98014</v>
      </c>
      <c r="AC24" s="232">
        <f>VALUE(庫存金額!W11)</f>
        <v>98014</v>
      </c>
      <c r="AD24" s="232">
        <f>VALUE(庫存金額!X11)</f>
        <v>98014</v>
      </c>
      <c r="AE24" s="232">
        <f>VALUE(庫存金額!Y11)</f>
        <v>98014</v>
      </c>
      <c r="AF24" s="232">
        <f>VALUE(庫存金額!Z11)</f>
        <v>98014</v>
      </c>
      <c r="AG24" s="232">
        <f>VALUE(庫存金額!AA11)</f>
        <v>98014</v>
      </c>
      <c r="AH24" s="232">
        <f>VALUE(庫存金額!AB11)</f>
        <v>98014</v>
      </c>
      <c r="AI24" s="232">
        <f>VALUE(庫存金額!AC11)</f>
        <v>98014</v>
      </c>
      <c r="AJ24" s="232">
        <f>VALUE(庫存金額!AD11)</f>
        <v>98014</v>
      </c>
      <c r="AK24" s="232">
        <f>VALUE(庫存金額!AE11)</f>
        <v>98014</v>
      </c>
      <c r="AL24" s="232">
        <f>VALUE(庫存金額!AF11)</f>
        <v>98014</v>
      </c>
      <c r="AM24" s="232">
        <f>VALUE(庫存金額!AG11)</f>
        <v>98014</v>
      </c>
      <c r="AN24" s="232">
        <f>VALUE(庫存金額!AH11)</f>
        <v>0</v>
      </c>
      <c r="AO24" s="232">
        <f>VALUE(庫存金額!AI11)</f>
        <v>103138.19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18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137839</v>
      </c>
      <c r="H25" s="308">
        <f>當年月推移!P57</f>
        <v>149319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162800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910085.38709500001</v>
      </c>
      <c r="E26" s="325">
        <f t="shared" si="9"/>
        <v>0</v>
      </c>
      <c r="F26" s="318">
        <f t="shared" si="9"/>
        <v>0</v>
      </c>
      <c r="G26" s="318">
        <f t="shared" si="9"/>
        <v>12031060</v>
      </c>
      <c r="H26" s="318">
        <f t="shared" si="9"/>
        <v>13384803</v>
      </c>
      <c r="I26" s="237">
        <f t="shared" si="9"/>
        <v>9266031</v>
      </c>
      <c r="J26" s="237">
        <f t="shared" ref="J26:AO26" si="10">SUM(J27:J31)</f>
        <v>9266031</v>
      </c>
      <c r="K26" s="237">
        <f t="shared" si="10"/>
        <v>9186671</v>
      </c>
      <c r="L26" s="237">
        <f t="shared" si="10"/>
        <v>8049492</v>
      </c>
      <c r="M26" s="237">
        <f t="shared" si="10"/>
        <v>8007862</v>
      </c>
      <c r="N26" s="237">
        <f t="shared" si="10"/>
        <v>8776222</v>
      </c>
      <c r="O26" s="237">
        <f t="shared" si="10"/>
        <v>8667422</v>
      </c>
      <c r="P26" s="237">
        <f t="shared" si="10"/>
        <v>8583242</v>
      </c>
      <c r="Q26" s="237">
        <f t="shared" si="10"/>
        <v>8583242</v>
      </c>
      <c r="R26" s="237">
        <f t="shared" si="10"/>
        <v>8487627</v>
      </c>
      <c r="S26" s="237">
        <f t="shared" si="10"/>
        <v>8263603</v>
      </c>
      <c r="T26" s="237">
        <f t="shared" si="10"/>
        <v>9859411</v>
      </c>
      <c r="U26" s="237">
        <f t="shared" si="10"/>
        <v>9816091</v>
      </c>
      <c r="V26" s="237">
        <f t="shared" si="10"/>
        <v>9724811</v>
      </c>
      <c r="W26" s="237">
        <f t="shared" si="10"/>
        <v>9648171</v>
      </c>
      <c r="X26" s="237">
        <f t="shared" si="10"/>
        <v>9648171</v>
      </c>
      <c r="Y26" s="237">
        <f t="shared" si="10"/>
        <v>9566971</v>
      </c>
      <c r="Z26" s="237">
        <f t="shared" si="10"/>
        <v>8581079</v>
      </c>
      <c r="AA26" s="237">
        <f t="shared" si="10"/>
        <v>8556679</v>
      </c>
      <c r="AB26" s="237">
        <f t="shared" si="10"/>
        <v>8588045</v>
      </c>
      <c r="AC26" s="237">
        <f t="shared" si="10"/>
        <v>9316425</v>
      </c>
      <c r="AD26" s="237">
        <f t="shared" si="10"/>
        <v>9251185</v>
      </c>
      <c r="AE26" s="237">
        <f t="shared" si="10"/>
        <v>9251185</v>
      </c>
      <c r="AF26" s="237">
        <f t="shared" si="10"/>
        <v>9194282</v>
      </c>
      <c r="AG26" s="237">
        <f t="shared" si="10"/>
        <v>8962978</v>
      </c>
      <c r="AH26" s="237">
        <f t="shared" si="10"/>
        <v>10569048</v>
      </c>
      <c r="AI26" s="237">
        <f t="shared" si="10"/>
        <v>10521388</v>
      </c>
      <c r="AJ26" s="237">
        <f t="shared" si="10"/>
        <v>10480348</v>
      </c>
      <c r="AK26" s="237">
        <f t="shared" si="10"/>
        <v>10422208</v>
      </c>
      <c r="AL26" s="237">
        <f t="shared" si="10"/>
        <v>10422208</v>
      </c>
      <c r="AM26" s="237">
        <f t="shared" si="10"/>
        <v>10549220</v>
      </c>
      <c r="AN26" s="237">
        <f t="shared" si="10"/>
        <v>127012</v>
      </c>
      <c r="AO26" s="237">
        <f t="shared" si="10"/>
        <v>9292495.1300000008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14160</v>
      </c>
      <c r="AL27" s="27">
        <f>VALUE(庫存金額!AF20)</f>
        <v>14160</v>
      </c>
      <c r="AM27" s="27">
        <f>VALUE(庫存金額!AG20)</f>
        <v>14160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85219.451612000004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186876</v>
      </c>
      <c r="J28" s="27">
        <f>VALUE(庫存金額!D21)</f>
        <v>186876</v>
      </c>
      <c r="K28" s="27">
        <f>VALUE(庫存金額!E21)</f>
        <v>186876</v>
      </c>
      <c r="L28" s="27">
        <f>VALUE(庫存金額!F21)</f>
        <v>186876</v>
      </c>
      <c r="M28" s="27">
        <f>VALUE(庫存金額!G21)</f>
        <v>186876</v>
      </c>
      <c r="N28" s="27">
        <f>VALUE(庫存金額!H21)</f>
        <v>186876</v>
      </c>
      <c r="O28" s="27">
        <f>VALUE(庫存金額!I21)</f>
        <v>150696</v>
      </c>
      <c r="P28" s="27">
        <f>VALUE(庫存金額!J21)</f>
        <v>150696</v>
      </c>
      <c r="Q28" s="27">
        <f>VALUE(庫存金額!K21)</f>
        <v>150696</v>
      </c>
      <c r="R28" s="27">
        <f>VALUE(庫存金額!L21)</f>
        <v>150696</v>
      </c>
      <c r="S28" s="27">
        <f>VALUE(庫存金額!M21)</f>
        <v>150696</v>
      </c>
      <c r="T28" s="27">
        <f>VALUE(庫存金額!N21)</f>
        <v>150696</v>
      </c>
      <c r="U28" s="27">
        <f>VALUE(庫存金額!O21)</f>
        <v>150696</v>
      </c>
      <c r="V28" s="27">
        <f>VALUE(庫存金額!P21)</f>
        <v>150696</v>
      </c>
      <c r="W28" s="27">
        <f>VALUE(庫存金額!Q21)</f>
        <v>150696</v>
      </c>
      <c r="X28" s="27">
        <f>VALUE(庫存金額!R21)</f>
        <v>150696</v>
      </c>
      <c r="Y28" s="27">
        <f>VALUE(庫存金額!S21)</f>
        <v>150696</v>
      </c>
      <c r="Z28" s="27">
        <f>VALUE(庫存金額!T21)</f>
        <v>150696</v>
      </c>
      <c r="AA28" s="27">
        <f>VALUE(庫存金額!U21)</f>
        <v>150696</v>
      </c>
      <c r="AB28" s="27">
        <f>VALUE(庫存金額!V21)</f>
        <v>150696</v>
      </c>
      <c r="AC28" s="27">
        <f>VALUE(庫存金額!W21)</f>
        <v>150696</v>
      </c>
      <c r="AD28" s="27">
        <f>VALUE(庫存金額!X21)</f>
        <v>150696</v>
      </c>
      <c r="AE28" s="27">
        <f>VALUE(庫存金額!Y21)</f>
        <v>150696</v>
      </c>
      <c r="AF28" s="27">
        <f>VALUE(庫存金額!Z21)</f>
        <v>150696</v>
      </c>
      <c r="AG28" s="27">
        <f>VALUE(庫存金額!AA21)</f>
        <v>150696</v>
      </c>
      <c r="AH28" s="27">
        <f>VALUE(庫存金額!AB21)</f>
        <v>150696</v>
      </c>
      <c r="AI28" s="27">
        <f>VALUE(庫存金額!AC21)</f>
        <v>150696</v>
      </c>
      <c r="AJ28" s="27">
        <f>VALUE(庫存金額!AD21)</f>
        <v>150696</v>
      </c>
      <c r="AK28" s="27">
        <f>VALUE(庫存金額!AE21)</f>
        <v>150696</v>
      </c>
      <c r="AL28" s="27">
        <f>VALUE(庫存金額!AF21)</f>
        <v>150696</v>
      </c>
      <c r="AM28" s="27">
        <f>VALUE(庫存金額!AG21)</f>
        <v>150696</v>
      </c>
      <c r="AN28" s="27">
        <f>VALUE(庫存金額!AH21)</f>
        <v>0</v>
      </c>
      <c r="AO28" s="27">
        <f>VALUE(庫存金額!AI21)</f>
        <v>157698.57999999999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5582480</v>
      </c>
      <c r="H29" s="308">
        <f>當年月推移!P61</f>
        <v>5786028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6448580</v>
      </c>
      <c r="H30" s="308">
        <f>當年月推移!P62</f>
        <v>7598775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663689.93548300001</v>
      </c>
      <c r="E31" s="326">
        <f>HLOOKUP(MONTH(日期!$C$2),當年目標設定!$D$1:$O$33,29,TRUE)</f>
        <v>0</v>
      </c>
      <c r="F31" s="470">
        <f>HLOOKUP(MONTH(日期!$C$2),當年目標設定!$R$1:$AC$33,29,TRUE)</f>
        <v>0</v>
      </c>
      <c r="G31" s="470">
        <f>當年月推移!P34</f>
        <v>0</v>
      </c>
      <c r="H31" s="470">
        <f>當年月推移!P68</f>
        <v>0</v>
      </c>
      <c r="I31" s="111">
        <f>VALUE(庫存金額!C25)</f>
        <v>9064995</v>
      </c>
      <c r="J31" s="111">
        <f>VALUE(庫存金額!D25)</f>
        <v>9064995</v>
      </c>
      <c r="K31" s="111">
        <f>VALUE(庫存金額!E25)</f>
        <v>8985635</v>
      </c>
      <c r="L31" s="111">
        <f>VALUE(庫存金額!F25)</f>
        <v>7848456</v>
      </c>
      <c r="M31" s="111">
        <f>VALUE(庫存金額!G25)</f>
        <v>7806826</v>
      </c>
      <c r="N31" s="111">
        <f>VALUE(庫存金額!H25)</f>
        <v>8575186</v>
      </c>
      <c r="O31" s="111">
        <f>VALUE(庫存金額!I25)</f>
        <v>8502566</v>
      </c>
      <c r="P31" s="111">
        <f>VALUE(庫存金額!J25)</f>
        <v>8418386</v>
      </c>
      <c r="Q31" s="111">
        <f>VALUE(庫存金額!K25)</f>
        <v>8418386</v>
      </c>
      <c r="R31" s="111">
        <f>VALUE(庫存金額!L25)</f>
        <v>8322771</v>
      </c>
      <c r="S31" s="111">
        <f>VALUE(庫存金額!M25)</f>
        <v>8098747</v>
      </c>
      <c r="T31" s="111">
        <f>VALUE(庫存金額!N25)</f>
        <v>9694555</v>
      </c>
      <c r="U31" s="111">
        <f>VALUE(庫存金額!O25)</f>
        <v>9651235</v>
      </c>
      <c r="V31" s="111">
        <f>VALUE(庫存金額!P25)</f>
        <v>9559955</v>
      </c>
      <c r="W31" s="111">
        <f>VALUE(庫存金額!Q25)</f>
        <v>9483315</v>
      </c>
      <c r="X31" s="111">
        <f>VALUE(庫存金額!R25)</f>
        <v>9483315</v>
      </c>
      <c r="Y31" s="111">
        <f>VALUE(庫存金額!S25)</f>
        <v>9402115</v>
      </c>
      <c r="Z31" s="111">
        <f>VALUE(庫存金額!T25)</f>
        <v>8416223</v>
      </c>
      <c r="AA31" s="111">
        <f>VALUE(庫存金額!U25)</f>
        <v>8391823</v>
      </c>
      <c r="AB31" s="111">
        <f>VALUE(庫存金額!V25)</f>
        <v>8423189</v>
      </c>
      <c r="AC31" s="111">
        <f>VALUE(庫存金額!W25)</f>
        <v>9151569</v>
      </c>
      <c r="AD31" s="111">
        <f>VALUE(庫存金額!X25)</f>
        <v>9086329</v>
      </c>
      <c r="AE31" s="111">
        <f>VALUE(庫存金額!Y25)</f>
        <v>9086329</v>
      </c>
      <c r="AF31" s="111">
        <f>VALUE(庫存金額!Z25)</f>
        <v>9029426</v>
      </c>
      <c r="AG31" s="111">
        <f>VALUE(庫存金額!AA25)</f>
        <v>8798122</v>
      </c>
      <c r="AH31" s="111">
        <f>VALUE(庫存金額!AB25)</f>
        <v>10404192</v>
      </c>
      <c r="AI31" s="111">
        <f>VALUE(庫存金額!AC25)</f>
        <v>10356532</v>
      </c>
      <c r="AJ31" s="111">
        <f>VALUE(庫存金額!AD25)</f>
        <v>10315492</v>
      </c>
      <c r="AK31" s="111">
        <f>VALUE(庫存金額!AE25)</f>
        <v>10257352</v>
      </c>
      <c r="AL31" s="111">
        <f>VALUE(庫存金額!AF25)</f>
        <v>10257352</v>
      </c>
      <c r="AM31" s="111">
        <f>VALUE(庫存金額!AG25)</f>
        <v>10384364</v>
      </c>
      <c r="AN31" s="111">
        <f>VALUE(庫存金額!AH25)</f>
        <v>127012</v>
      </c>
      <c r="AO31" s="111">
        <f>VALUE(庫存金額!AI25)</f>
        <v>9120636.5500000007</v>
      </c>
    </row>
    <row r="32" spans="1:44" s="32" customFormat="1" ht="21.95" customHeight="1">
      <c r="A32" s="635" t="s">
        <v>36</v>
      </c>
      <c r="B32" s="636"/>
      <c r="C32" s="31" t="s">
        <v>37</v>
      </c>
      <c r="D32" s="327">
        <f>HLOOKUP(MONTH(日期!$C$2),去年月推移!$D$1:$O$33,30,TRUE)</f>
        <v>896.61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74972</v>
      </c>
      <c r="H32" s="328">
        <f>當年月推移!P63</f>
        <v>67064</v>
      </c>
      <c r="I32" s="110">
        <f>VALUE(庫存金額!C15)</f>
        <v>2773</v>
      </c>
      <c r="J32" s="110">
        <f>VALUE(庫存金額!D15)</f>
        <v>2773</v>
      </c>
      <c r="K32" s="110">
        <f>VALUE(庫存金額!E15)</f>
        <v>2773</v>
      </c>
      <c r="L32" s="110">
        <f>VALUE(庫存金額!F15)</f>
        <v>2773</v>
      </c>
      <c r="M32" s="110">
        <f>VALUE(庫存金額!G15)</f>
        <v>2773</v>
      </c>
      <c r="N32" s="110">
        <f>VALUE(庫存金額!H15)</f>
        <v>2773</v>
      </c>
      <c r="O32" s="110">
        <f>VALUE(庫存金額!I15)</f>
        <v>2773</v>
      </c>
      <c r="P32" s="110">
        <f>VALUE(庫存金額!J15)</f>
        <v>2773</v>
      </c>
      <c r="Q32" s="110">
        <f>VALUE(庫存金額!K15)</f>
        <v>2773</v>
      </c>
      <c r="R32" s="110">
        <f>VALUE(庫存金額!L15)</f>
        <v>11402</v>
      </c>
      <c r="S32" s="110">
        <f>VALUE(庫存金額!M15)</f>
        <v>2773</v>
      </c>
      <c r="T32" s="110">
        <f>VALUE(庫存金額!N15)</f>
        <v>2773</v>
      </c>
      <c r="U32" s="110">
        <f>VALUE(庫存金額!O15)</f>
        <v>2773</v>
      </c>
      <c r="V32" s="110">
        <f>VALUE(庫存金額!P15)</f>
        <v>2773</v>
      </c>
      <c r="W32" s="110">
        <f>VALUE(庫存金額!Q15)</f>
        <v>2773</v>
      </c>
      <c r="X32" s="110">
        <f>VALUE(庫存金額!R15)</f>
        <v>2773</v>
      </c>
      <c r="Y32" s="110">
        <f>VALUE(庫存金額!S15)</f>
        <v>2773</v>
      </c>
      <c r="Z32" s="110">
        <f>VALUE(庫存金額!T15)</f>
        <v>2773</v>
      </c>
      <c r="AA32" s="110">
        <f>VALUE(庫存金額!U15)</f>
        <v>2773</v>
      </c>
      <c r="AB32" s="110">
        <f>VALUE(庫存金額!V15)</f>
        <v>2773</v>
      </c>
      <c r="AC32" s="110">
        <f>VALUE(庫存金額!W15)</f>
        <v>2773</v>
      </c>
      <c r="AD32" s="110">
        <f>VALUE(庫存金額!X15)</f>
        <v>2773</v>
      </c>
      <c r="AE32" s="110">
        <f>VALUE(庫存金額!Y15)</f>
        <v>2773</v>
      </c>
      <c r="AF32" s="110">
        <f>VALUE(庫存金額!Z15)</f>
        <v>2773</v>
      </c>
      <c r="AG32" s="110">
        <f>VALUE(庫存金額!AA15)</f>
        <v>2773</v>
      </c>
      <c r="AH32" s="110">
        <f>VALUE(庫存金額!AB15)</f>
        <v>2773</v>
      </c>
      <c r="AI32" s="110">
        <f>VALUE(庫存金額!AC15)</f>
        <v>2773</v>
      </c>
      <c r="AJ32" s="110">
        <f>VALUE(庫存金額!AD15)</f>
        <v>2773</v>
      </c>
      <c r="AK32" s="110">
        <f>VALUE(庫存金額!AE15)</f>
        <v>2773</v>
      </c>
      <c r="AL32" s="110">
        <f>VALUE(庫存金額!AF15)</f>
        <v>2773</v>
      </c>
      <c r="AM32" s="110">
        <f>VALUE(庫存金額!AG15)</f>
        <v>2773</v>
      </c>
      <c r="AN32" s="110">
        <f>VALUE(庫存金額!AH15)</f>
        <v>0</v>
      </c>
      <c r="AO32" s="110">
        <f>VALUE(庫存金額!AI15)</f>
        <v>3051.35</v>
      </c>
    </row>
    <row r="33" spans="1:41" s="32" customFormat="1" ht="21.95" customHeight="1">
      <c r="A33" s="637"/>
      <c r="B33" s="638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637"/>
      <c r="B34" s="638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6323627</v>
      </c>
      <c r="H34" s="328">
        <f>當年月推移!P65</f>
        <v>7794693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39"/>
      <c r="B35" s="640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471">
        <f>HLOOKUP(MONTH(日期!$C$2),當年目標設定!$R$1:$AC$33,33,TRUE)</f>
        <v>0</v>
      </c>
      <c r="G35" s="471">
        <f>當年月推移!P32</f>
        <v>10720439</v>
      </c>
      <c r="H35" s="471">
        <f>當年月推移!P66</f>
        <v>11348481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469"/>
      <c r="H37" s="46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77" t="s">
        <v>1</v>
      </c>
      <c r="B38" s="578"/>
      <c r="C38" s="578"/>
      <c r="D38" s="581" t="str">
        <f>D3</f>
        <v>2025/8</v>
      </c>
      <c r="E38" s="614" t="str">
        <f>E3</f>
        <v>2026/8</v>
      </c>
      <c r="F38" s="332"/>
      <c r="G38" s="643">
        <f>YEAR(日期!C2)</f>
        <v>2026</v>
      </c>
      <c r="H38" s="644"/>
      <c r="I38" s="490" t="str">
        <f>日期!C2</f>
        <v>2026/08/01</v>
      </c>
      <c r="J38" s="490" t="str">
        <f>日期!D2</f>
        <v>2026/08/02</v>
      </c>
      <c r="K38" s="490" t="str">
        <f>日期!E2</f>
        <v>2026/08/03</v>
      </c>
      <c r="L38" s="490" t="str">
        <f>日期!F2</f>
        <v>2026/08/04</v>
      </c>
      <c r="M38" s="490" t="str">
        <f>日期!G2</f>
        <v>2026/08/05</v>
      </c>
      <c r="N38" s="490" t="str">
        <f>日期!H2</f>
        <v>2026/08/06</v>
      </c>
      <c r="O38" s="490" t="str">
        <f>日期!I2</f>
        <v>2026/08/07</v>
      </c>
      <c r="P38" s="490" t="str">
        <f>日期!J2</f>
        <v>2026/08/08</v>
      </c>
      <c r="Q38" s="490" t="str">
        <f>日期!K2</f>
        <v>2026/08/09</v>
      </c>
      <c r="R38" s="490" t="str">
        <f>日期!L2</f>
        <v>2026/08/10</v>
      </c>
      <c r="S38" s="490" t="str">
        <f>日期!M2</f>
        <v>2026/08/11</v>
      </c>
      <c r="T38" s="490" t="str">
        <f>日期!N2</f>
        <v>2026/08/12</v>
      </c>
      <c r="U38" s="490" t="str">
        <f>日期!O2</f>
        <v>2026/08/13</v>
      </c>
      <c r="V38" s="490" t="str">
        <f>日期!P2</f>
        <v>2026/08/14</v>
      </c>
      <c r="W38" s="490" t="str">
        <f>日期!Q2</f>
        <v>2026/08/15</v>
      </c>
      <c r="X38" s="490" t="str">
        <f>日期!R2</f>
        <v>2026/08/16</v>
      </c>
      <c r="Y38" s="490" t="str">
        <f>日期!S2</f>
        <v>2026/08/17</v>
      </c>
      <c r="Z38" s="490" t="str">
        <f>日期!T2</f>
        <v>2026/08/18</v>
      </c>
      <c r="AA38" s="490" t="str">
        <f>日期!U2</f>
        <v>2026/08/19</v>
      </c>
      <c r="AB38" s="490" t="str">
        <f>日期!V2</f>
        <v>2026/08/20</v>
      </c>
      <c r="AC38" s="490" t="str">
        <f>日期!W2</f>
        <v>2026/08/21</v>
      </c>
      <c r="AD38" s="490" t="str">
        <f>日期!X2</f>
        <v>2026/08/22</v>
      </c>
      <c r="AE38" s="490" t="str">
        <f>日期!Y2</f>
        <v>2026/08/23</v>
      </c>
      <c r="AF38" s="490" t="str">
        <f>日期!Z2</f>
        <v>2026/08/24</v>
      </c>
      <c r="AG38" s="490" t="str">
        <f>日期!AA2</f>
        <v>2026/08/25</v>
      </c>
      <c r="AH38" s="490" t="str">
        <f>日期!AB2</f>
        <v>2026/08/26</v>
      </c>
      <c r="AI38" s="490" t="str">
        <f>日期!AC2</f>
        <v>2026/08/27</v>
      </c>
      <c r="AJ38" s="490" t="str">
        <f>日期!AD2</f>
        <v>2026/08/28</v>
      </c>
      <c r="AK38" s="490" t="str">
        <f>日期!AE2</f>
        <v>2026/08/29</v>
      </c>
      <c r="AL38" s="490" t="str">
        <f>日期!AF2</f>
        <v>2026/08/30</v>
      </c>
      <c r="AM38" s="490" t="str">
        <f>日期!AG2</f>
        <v>2026/08/31</v>
      </c>
      <c r="AN38" s="573" t="s">
        <v>42</v>
      </c>
    </row>
    <row r="39" spans="1:41" s="14" customFormat="1" ht="24" customHeight="1" thickBot="1">
      <c r="A39" s="612"/>
      <c r="B39" s="613"/>
      <c r="C39" s="613"/>
      <c r="D39" s="582"/>
      <c r="E39" s="615"/>
      <c r="F39" s="333"/>
      <c r="G39" s="645" t="s">
        <v>43</v>
      </c>
      <c r="H39" s="646"/>
      <c r="I39" s="12" t="str">
        <f>日期!C3</f>
        <v>Sat</v>
      </c>
      <c r="J39" s="12" t="str">
        <f>日期!D3</f>
        <v>Sun</v>
      </c>
      <c r="K39" s="12" t="str">
        <f>日期!E3</f>
        <v>Mon</v>
      </c>
      <c r="L39" s="12" t="str">
        <f>日期!F3</f>
        <v>Tue</v>
      </c>
      <c r="M39" s="12" t="str">
        <f>日期!G3</f>
        <v>Wed</v>
      </c>
      <c r="N39" s="12" t="str">
        <f>日期!H3</f>
        <v>Thu</v>
      </c>
      <c r="O39" s="12" t="str">
        <f>日期!I3</f>
        <v>Fri</v>
      </c>
      <c r="P39" s="12" t="str">
        <f>日期!J3</f>
        <v>Sat</v>
      </c>
      <c r="Q39" s="12" t="str">
        <f>日期!K3</f>
        <v>Sun</v>
      </c>
      <c r="R39" s="12" t="str">
        <f>日期!L3</f>
        <v>Mon</v>
      </c>
      <c r="S39" s="12" t="str">
        <f>日期!M3</f>
        <v>Tue</v>
      </c>
      <c r="T39" s="12" t="str">
        <f>日期!N3</f>
        <v>Wed</v>
      </c>
      <c r="U39" s="12" t="str">
        <f>日期!O3</f>
        <v>Thu</v>
      </c>
      <c r="V39" s="12" t="str">
        <f>日期!P3</f>
        <v>Fri</v>
      </c>
      <c r="W39" s="12" t="str">
        <f>日期!Q3</f>
        <v>Sat</v>
      </c>
      <c r="X39" s="12" t="str">
        <f>日期!R3</f>
        <v>Sun</v>
      </c>
      <c r="Y39" s="12" t="str">
        <f>日期!S3</f>
        <v>Mon</v>
      </c>
      <c r="Z39" s="12" t="str">
        <f>日期!T3</f>
        <v>Tue</v>
      </c>
      <c r="AA39" s="12" t="str">
        <f>日期!U3</f>
        <v>Wed</v>
      </c>
      <c r="AB39" s="12" t="str">
        <f>日期!V3</f>
        <v>Thu</v>
      </c>
      <c r="AC39" s="12" t="str">
        <f>日期!W3</f>
        <v>Fri</v>
      </c>
      <c r="AD39" s="12" t="str">
        <f>日期!X3</f>
        <v>Sat</v>
      </c>
      <c r="AE39" s="12" t="str">
        <f>日期!Y3</f>
        <v>Sun</v>
      </c>
      <c r="AF39" s="12" t="str">
        <f>日期!Z3</f>
        <v>Mon</v>
      </c>
      <c r="AG39" s="12" t="str">
        <f>日期!AA3</f>
        <v>Tue</v>
      </c>
      <c r="AH39" s="12" t="str">
        <f>日期!AB3</f>
        <v>Wed</v>
      </c>
      <c r="AI39" s="12" t="str">
        <f>日期!AC3</f>
        <v>Thu</v>
      </c>
      <c r="AJ39" s="12" t="str">
        <f>日期!AD3</f>
        <v>Fri</v>
      </c>
      <c r="AK39" s="12" t="str">
        <f>日期!AE3</f>
        <v>Sat</v>
      </c>
      <c r="AL39" s="12" t="str">
        <f>日期!AF3</f>
        <v>Sun</v>
      </c>
      <c r="AM39" s="12" t="str">
        <f>日期!AG3</f>
        <v>Mon</v>
      </c>
      <c r="AN39" s="574"/>
    </row>
    <row r="40" spans="1:41" s="14" customFormat="1" ht="21.95" customHeight="1">
      <c r="A40" s="647" t="s">
        <v>44</v>
      </c>
      <c r="B40" s="648"/>
      <c r="C40" s="648"/>
      <c r="D40" s="272" t="str">
        <f>HLOOKUP(MONTH(日期!$C$2),去年月推移!$D$1:$O$200,98,TRUE)</f>
        <v>97.9</v>
      </c>
      <c r="E40" s="45">
        <v>97.9</v>
      </c>
      <c r="F40" s="46" t="s">
        <v>45</v>
      </c>
      <c r="G40" s="602">
        <f>ROUND(當年月推移!P99,1)</f>
        <v>97.6</v>
      </c>
      <c r="H40" s="603"/>
      <c r="I40" s="245">
        <f>ROUND(供應率ALL!C2,1)</f>
        <v>97.2</v>
      </c>
      <c r="J40" s="245">
        <f>ROUND(供應率ALL!D2,1)</f>
        <v>0</v>
      </c>
      <c r="K40" s="245">
        <f>ROUND(供應率ALL!E2,1)</f>
        <v>97.6</v>
      </c>
      <c r="L40" s="245">
        <f>ROUND(供應率ALL!F2,1)</f>
        <v>97.1</v>
      </c>
      <c r="M40" s="245">
        <f>ROUND(供應率ALL!G2,1)</f>
        <v>96.8</v>
      </c>
      <c r="N40" s="245">
        <f>ROUND(供應率ALL!H2,1)</f>
        <v>97.1</v>
      </c>
      <c r="O40" s="245">
        <f>ROUND(供應率ALL!I2,1)</f>
        <v>97.6</v>
      </c>
      <c r="P40" s="245">
        <f>ROUND(供應率ALL!J2,1)</f>
        <v>97.5</v>
      </c>
      <c r="Q40" s="245">
        <f>ROUND(供應率ALL!K2,1)</f>
        <v>0</v>
      </c>
      <c r="R40" s="245">
        <f>ROUND(供應率ALL!L2,1)</f>
        <v>97.4</v>
      </c>
      <c r="S40" s="245">
        <f>ROUND(供應率ALL!M2,1)</f>
        <v>97.5</v>
      </c>
      <c r="T40" s="245">
        <f>ROUND(供應率ALL!N2,1)</f>
        <v>97.6</v>
      </c>
      <c r="U40" s="245">
        <f>ROUND(供應率ALL!O2,1)</f>
        <v>97.3</v>
      </c>
      <c r="V40" s="245">
        <f>ROUND(供應率ALL!P2,1)</f>
        <v>97.6</v>
      </c>
      <c r="W40" s="245">
        <f>ROUND(供應率ALL!Q2,1)</f>
        <v>97.7</v>
      </c>
      <c r="X40" s="245">
        <f>ROUND(供應率ALL!R2,1)</f>
        <v>0</v>
      </c>
      <c r="Y40" s="245">
        <f>ROUND(供應率ALL!S2,1)</f>
        <v>97.8</v>
      </c>
      <c r="Z40" s="245">
        <f>ROUND(供應率ALL!T2,1)</f>
        <v>97</v>
      </c>
      <c r="AA40" s="245">
        <f>ROUND(供應率ALL!U2,1)</f>
        <v>97</v>
      </c>
      <c r="AB40" s="245">
        <f>ROUND(供應率ALL!V2,1)</f>
        <v>97.5</v>
      </c>
      <c r="AC40" s="245">
        <f>ROUND(供應率ALL!W2,1)</f>
        <v>97.6</v>
      </c>
      <c r="AD40" s="245">
        <f>ROUND(供應率ALL!X2,1)</f>
        <v>97.8</v>
      </c>
      <c r="AE40" s="245">
        <f>ROUND(供應率ALL!Y2,1)</f>
        <v>0</v>
      </c>
      <c r="AF40" s="245">
        <f>ROUND(供應率ALL!Z2,1)</f>
        <v>97</v>
      </c>
      <c r="AG40" s="245">
        <f>ROUND(供應率ALL!AA2,1)</f>
        <v>97.2</v>
      </c>
      <c r="AH40" s="245">
        <f>ROUND(供應率ALL!AB2,1)</f>
        <v>97.3</v>
      </c>
      <c r="AI40" s="245">
        <f>ROUND(供應率ALL!AC2,1)</f>
        <v>97.6</v>
      </c>
      <c r="AJ40" s="245">
        <f>ROUND(供應率ALL!AD2,1)</f>
        <v>97.4</v>
      </c>
      <c r="AK40" s="245">
        <f>ROUND(供應率ALL!AE2,1)</f>
        <v>97.2</v>
      </c>
      <c r="AL40" s="245">
        <f>ROUND(供應率ALL!AF2,1)</f>
        <v>0</v>
      </c>
      <c r="AM40" s="245">
        <f>ROUND(供應率ALL!AG2,1)</f>
        <v>97.7</v>
      </c>
      <c r="AN40" s="213">
        <f>ROUND(供應率ALL!AH2,1)</f>
        <v>97.4</v>
      </c>
      <c r="AO40" s="48"/>
    </row>
    <row r="41" spans="1:41" s="14" customFormat="1" ht="21.95" customHeight="1">
      <c r="A41" s="649" t="s">
        <v>46</v>
      </c>
      <c r="B41" s="650"/>
      <c r="C41" s="650"/>
      <c r="D41" s="44" t="str">
        <f>HLOOKUP(MONTH(日期!$C$2),去年月推移!$D$1:$O$200,99,TRUE)</f>
        <v>99.9</v>
      </c>
      <c r="E41" s="50">
        <v>99.5</v>
      </c>
      <c r="F41" s="51" t="s">
        <v>45</v>
      </c>
      <c r="G41" s="571">
        <f>ROUND(當年月推移!P100,1)</f>
        <v>99.9</v>
      </c>
      <c r="H41" s="572"/>
      <c r="I41" s="47">
        <f>ROUND(供應率ALL!C4,1)</f>
        <v>98.6</v>
      </c>
      <c r="J41" s="47">
        <f>ROUND(供應率ALL!D4,1)</f>
        <v>0</v>
      </c>
      <c r="K41" s="47">
        <f>ROUND(供應率ALL!E4,1)</f>
        <v>95.1</v>
      </c>
      <c r="L41" s="47">
        <f>ROUND(供應率ALL!F4,1)</f>
        <v>98</v>
      </c>
      <c r="M41" s="47">
        <f>ROUND(供應率ALL!G4,1)</f>
        <v>97.3</v>
      </c>
      <c r="N41" s="47">
        <f>ROUND(供應率ALL!H4,1)</f>
        <v>97.3</v>
      </c>
      <c r="O41" s="47">
        <f>ROUND(供應率ALL!I4,1)</f>
        <v>99.7</v>
      </c>
      <c r="P41" s="47">
        <f>ROUND(供應率ALL!J4,1)</f>
        <v>100</v>
      </c>
      <c r="Q41" s="47">
        <f>ROUND(供應率ALL!K4,1)</f>
        <v>0</v>
      </c>
      <c r="R41" s="47">
        <f>ROUND(供應率ALL!L4,1)</f>
        <v>100</v>
      </c>
      <c r="S41" s="47">
        <f>ROUND(供應率ALL!M4,1)</f>
        <v>99.4</v>
      </c>
      <c r="T41" s="47">
        <f>ROUND(供應率ALL!N4,1)</f>
        <v>95</v>
      </c>
      <c r="U41" s="47">
        <f>ROUND(供應率ALL!O4,1)</f>
        <v>97.8</v>
      </c>
      <c r="V41" s="47">
        <f>ROUND(供應率ALL!P4,1)</f>
        <v>99.1</v>
      </c>
      <c r="W41" s="47">
        <f>ROUND(供應率ALL!Q4,1)</f>
        <v>70.599999999999994</v>
      </c>
      <c r="X41" s="47">
        <f>ROUND(供應率ALL!R4,1)</f>
        <v>0</v>
      </c>
      <c r="Y41" s="47">
        <f>ROUND(供應率ALL!S4,1)</f>
        <v>100</v>
      </c>
      <c r="Z41" s="47">
        <f>ROUND(供應率ALL!T4,1)</f>
        <v>99.6</v>
      </c>
      <c r="AA41" s="47">
        <f>ROUND(供應率ALL!U4,1)</f>
        <v>100</v>
      </c>
      <c r="AB41" s="47">
        <f>ROUND(供應率ALL!V4,1)</f>
        <v>100</v>
      </c>
      <c r="AC41" s="47">
        <f>ROUND(供應率ALL!W4,1)</f>
        <v>100</v>
      </c>
      <c r="AD41" s="47">
        <f>ROUND(供應率ALL!X4,1)</f>
        <v>100</v>
      </c>
      <c r="AE41" s="47">
        <f>ROUND(供應率ALL!Y4,1)</f>
        <v>0</v>
      </c>
      <c r="AF41" s="47">
        <f>ROUND(供應率ALL!Z4,1)</f>
        <v>100</v>
      </c>
      <c r="AG41" s="47">
        <f>ROUND(供應率ALL!AA4,1)</f>
        <v>100</v>
      </c>
      <c r="AH41" s="47">
        <f>ROUND(供應率ALL!AB4,1)</f>
        <v>100</v>
      </c>
      <c r="AI41" s="47">
        <f>ROUND(供應率ALL!AC4,1)</f>
        <v>100</v>
      </c>
      <c r="AJ41" s="47">
        <f>ROUND(供應率ALL!AD4,1)</f>
        <v>100</v>
      </c>
      <c r="AK41" s="47">
        <f>ROUND(供應率ALL!AE4,1)</f>
        <v>100</v>
      </c>
      <c r="AL41" s="47">
        <f>ROUND(供應率ALL!AF4,1)</f>
        <v>0</v>
      </c>
      <c r="AM41" s="47">
        <f>ROUND(供應率ALL!AG4,1)</f>
        <v>100</v>
      </c>
      <c r="AN41" s="214">
        <f>ROUND(供應率ALL!AH4,1)</f>
        <v>98</v>
      </c>
      <c r="AO41" s="48"/>
    </row>
    <row r="42" spans="1:41" s="14" customFormat="1" ht="21.95" customHeight="1">
      <c r="A42" s="649" t="s">
        <v>13</v>
      </c>
      <c r="B42" s="650"/>
      <c r="C42" s="650"/>
      <c r="D42" s="44" t="str">
        <f>HLOOKUP(MONTH(日期!$C$2),去年月推移!$D$1:$O$200,100,TRUE)</f>
        <v>91.4</v>
      </c>
      <c r="E42" s="50">
        <v>80</v>
      </c>
      <c r="F42" s="51" t="s">
        <v>45</v>
      </c>
      <c r="G42" s="571">
        <f>ROUND(當年月推移!P101,1)</f>
        <v>84.2</v>
      </c>
      <c r="H42" s="572"/>
      <c r="I42" s="47">
        <f>ROUND(供應率ALL!C5,1)</f>
        <v>33.299999999999997</v>
      </c>
      <c r="J42" s="47">
        <f>ROUND(供應率ALL!D5,1)</f>
        <v>0</v>
      </c>
      <c r="K42" s="47">
        <f>ROUND(供應率ALL!E5,1)</f>
        <v>0</v>
      </c>
      <c r="L42" s="47">
        <f>ROUND(供應率ALL!F5,1)</f>
        <v>75</v>
      </c>
      <c r="M42" s="47">
        <f>ROUND(供應率ALL!G5,1)</f>
        <v>33.299999999999997</v>
      </c>
      <c r="N42" s="47">
        <f>ROUND(供應率ALL!H5,1)</f>
        <v>100</v>
      </c>
      <c r="O42" s="47">
        <f>ROUND(供應率ALL!I5,1)</f>
        <v>25</v>
      </c>
      <c r="P42" s="47">
        <f>ROUND(供應率ALL!J5,1)</f>
        <v>0</v>
      </c>
      <c r="Q42" s="47">
        <f>ROUND(供應率ALL!K5,1)</f>
        <v>0</v>
      </c>
      <c r="R42" s="47">
        <f>ROUND(供應率ALL!L5,1)</f>
        <v>66.599999999999994</v>
      </c>
      <c r="S42" s="47">
        <f>ROUND(供應率ALL!M5,1)</f>
        <v>75</v>
      </c>
      <c r="T42" s="47">
        <f>ROUND(供應率ALL!N5,1)</f>
        <v>50</v>
      </c>
      <c r="U42" s="47">
        <f>ROUND(供應率ALL!O5,1)</f>
        <v>50</v>
      </c>
      <c r="V42" s="47">
        <f>ROUND(供應率ALL!P5,1)</f>
        <v>40</v>
      </c>
      <c r="W42" s="47">
        <f>ROUND(供應率ALL!Q5,1)</f>
        <v>0</v>
      </c>
      <c r="X42" s="47">
        <f>ROUND(供應率ALL!R5,1)</f>
        <v>0</v>
      </c>
      <c r="Y42" s="47">
        <f>ROUND(供應率ALL!S5,1)</f>
        <v>0</v>
      </c>
      <c r="Z42" s="47">
        <f>ROUND(供應率ALL!T5,1)</f>
        <v>33.299999999999997</v>
      </c>
      <c r="AA42" s="47">
        <f>ROUND(供應率ALL!U5,1)</f>
        <v>50</v>
      </c>
      <c r="AB42" s="47">
        <f>ROUND(供應率ALL!V5,1)</f>
        <v>100</v>
      </c>
      <c r="AC42" s="47">
        <f>ROUND(供應率ALL!W5,1)</f>
        <v>20</v>
      </c>
      <c r="AD42" s="47">
        <f>ROUND(供應率ALL!X5,1)</f>
        <v>50</v>
      </c>
      <c r="AE42" s="47">
        <f>ROUND(供應率ALL!Y5,1)</f>
        <v>0</v>
      </c>
      <c r="AF42" s="47">
        <f>ROUND(供應率ALL!Z5,1)</f>
        <v>0</v>
      </c>
      <c r="AG42" s="47">
        <f>ROUND(供應率ALL!AA5,1)</f>
        <v>50</v>
      </c>
      <c r="AH42" s="47">
        <f>ROUND(供應率ALL!AB5,1)</f>
        <v>71.400000000000006</v>
      </c>
      <c r="AI42" s="47">
        <f>ROUND(供應率ALL!AC5,1)</f>
        <v>50</v>
      </c>
      <c r="AJ42" s="47">
        <f>ROUND(供應率ALL!AD5,1)</f>
        <v>75</v>
      </c>
      <c r="AK42" s="47">
        <f>ROUND(供應率ALL!AE5,1)</f>
        <v>100</v>
      </c>
      <c r="AL42" s="47">
        <f>ROUND(供應率ALL!AF5,1)</f>
        <v>0</v>
      </c>
      <c r="AM42" s="47">
        <f>ROUND(供應率ALL!AG5,1)</f>
        <v>0</v>
      </c>
      <c r="AN42" s="214">
        <f>ROUND(供應率ALL!AH5,1)</f>
        <v>50</v>
      </c>
      <c r="AO42" s="48"/>
    </row>
    <row r="43" spans="1:41" s="14" customFormat="1" ht="21.95" customHeight="1">
      <c r="A43" s="649" t="s">
        <v>14</v>
      </c>
      <c r="B43" s="650"/>
      <c r="C43" s="650"/>
      <c r="D43" s="44" t="str">
        <f>HLOOKUP(MONTH(日期!$C$2),去年月推移!$D$1:$O$200,101,TRUE)</f>
        <v>99.4</v>
      </c>
      <c r="E43" s="50">
        <v>99.2</v>
      </c>
      <c r="F43" s="51" t="s">
        <v>45</v>
      </c>
      <c r="G43" s="571">
        <f>ROUND(當年月推移!P102,1)</f>
        <v>99.3</v>
      </c>
      <c r="H43" s="572"/>
      <c r="I43" s="47">
        <f>ROUND(供應率ALL!C6,1)</f>
        <v>99.7</v>
      </c>
      <c r="J43" s="47">
        <f>ROUND(供應率ALL!D6,1)</f>
        <v>0</v>
      </c>
      <c r="K43" s="47">
        <f>ROUND(供應率ALL!E6,1)</f>
        <v>99.2</v>
      </c>
      <c r="L43" s="47">
        <f>ROUND(供應率ALL!F6,1)</f>
        <v>98</v>
      </c>
      <c r="M43" s="47">
        <f>ROUND(供應率ALL!G6,1)</f>
        <v>98.7</v>
      </c>
      <c r="N43" s="47">
        <f>ROUND(供應率ALL!H6,1)</f>
        <v>98.4</v>
      </c>
      <c r="O43" s="47">
        <f>ROUND(供應率ALL!I6,1)</f>
        <v>99.1</v>
      </c>
      <c r="P43" s="47">
        <f>ROUND(供應率ALL!J6,1)</f>
        <v>98.9</v>
      </c>
      <c r="Q43" s="47">
        <f>ROUND(供應率ALL!K6,1)</f>
        <v>0</v>
      </c>
      <c r="R43" s="47">
        <f>ROUND(供應率ALL!L6,1)</f>
        <v>98.1</v>
      </c>
      <c r="S43" s="47">
        <f>ROUND(供應率ALL!M6,1)</f>
        <v>99.1</v>
      </c>
      <c r="T43" s="47">
        <f>ROUND(供應率ALL!N6,1)</f>
        <v>99.3</v>
      </c>
      <c r="U43" s="47">
        <f>ROUND(供應率ALL!O6,1)</f>
        <v>99.2</v>
      </c>
      <c r="V43" s="47">
        <f>ROUND(供應率ALL!P6,1)</f>
        <v>99.5</v>
      </c>
      <c r="W43" s="47">
        <f>ROUND(供應率ALL!Q6,1)</f>
        <v>99.7</v>
      </c>
      <c r="X43" s="47">
        <f>ROUND(供應率ALL!R6,1)</f>
        <v>0</v>
      </c>
      <c r="Y43" s="47">
        <f>ROUND(供應率ALL!S6,1)</f>
        <v>99.5</v>
      </c>
      <c r="Z43" s="47">
        <f>ROUND(供應率ALL!T6,1)</f>
        <v>99.6</v>
      </c>
      <c r="AA43" s="47">
        <f>ROUND(供應率ALL!U6,1)</f>
        <v>99.4</v>
      </c>
      <c r="AB43" s="47">
        <f>ROUND(供應率ALL!V6,1)</f>
        <v>99.7</v>
      </c>
      <c r="AC43" s="47">
        <f>ROUND(供應率ALL!W6,1)</f>
        <v>99.5</v>
      </c>
      <c r="AD43" s="47">
        <f>ROUND(供應率ALL!X6,1)</f>
        <v>99.9</v>
      </c>
      <c r="AE43" s="47">
        <f>ROUND(供應率ALL!Y6,1)</f>
        <v>0</v>
      </c>
      <c r="AF43" s="47">
        <f>ROUND(供應率ALL!Z6,1)</f>
        <v>99.7</v>
      </c>
      <c r="AG43" s="47">
        <f>ROUND(供應率ALL!AA6,1)</f>
        <v>99.7</v>
      </c>
      <c r="AH43" s="47">
        <f>ROUND(供應率ALL!AB6,1)</f>
        <v>98.8</v>
      </c>
      <c r="AI43" s="47">
        <f>ROUND(供應率ALL!AC6,1)</f>
        <v>99.1</v>
      </c>
      <c r="AJ43" s="47">
        <f>ROUND(供應率ALL!AD6,1)</f>
        <v>99.7</v>
      </c>
      <c r="AK43" s="47">
        <f>ROUND(供應率ALL!AE6,1)</f>
        <v>99.4</v>
      </c>
      <c r="AL43" s="47">
        <f>ROUND(供應率ALL!AF6,1)</f>
        <v>0</v>
      </c>
      <c r="AM43" s="47">
        <f>ROUND(供應率ALL!AG6,1)</f>
        <v>99.4</v>
      </c>
      <c r="AN43" s="214">
        <f>ROUND(供應率ALL!AH6,1)</f>
        <v>99.3</v>
      </c>
      <c r="AO43" s="48"/>
    </row>
    <row r="44" spans="1:41" s="14" customFormat="1" ht="21.95" customHeight="1">
      <c r="A44" s="649" t="s">
        <v>47</v>
      </c>
      <c r="B44" s="650"/>
      <c r="C44" s="650"/>
      <c r="D44" s="44" t="str">
        <f>HLOOKUP(MONTH(日期!$C$2),去年月推移!$D$1:$O$200,102,TRUE)</f>
        <v>92.6</v>
      </c>
      <c r="E44" s="50">
        <v>94.5</v>
      </c>
      <c r="F44" s="51" t="s">
        <v>45</v>
      </c>
      <c r="G44" s="571">
        <f>ROUND(當年月推移!P103,1)</f>
        <v>91.8</v>
      </c>
      <c r="H44" s="572"/>
      <c r="I44" s="47">
        <f>ROUND(供應率ALL!C23,1)</f>
        <v>95.1</v>
      </c>
      <c r="J44" s="47">
        <f>ROUND(供應率ALL!D23,1)</f>
        <v>0</v>
      </c>
      <c r="K44" s="47">
        <f>ROUND(供應率ALL!E23,1)</f>
        <v>93.3</v>
      </c>
      <c r="L44" s="47">
        <f>ROUND(供應率ALL!F23,1)</f>
        <v>89.7</v>
      </c>
      <c r="M44" s="47">
        <f>ROUND(供應率ALL!G23,1)</f>
        <v>86</v>
      </c>
      <c r="N44" s="47">
        <f>ROUND(供應率ALL!H23,1)</f>
        <v>83</v>
      </c>
      <c r="O44" s="47">
        <f>ROUND(供應率ALL!I23,1)</f>
        <v>83.6</v>
      </c>
      <c r="P44" s="47">
        <f>ROUND(供應率ALL!J23,1)</f>
        <v>90.4</v>
      </c>
      <c r="Q44" s="47">
        <f>ROUND(供應率ALL!K23,1)</f>
        <v>0</v>
      </c>
      <c r="R44" s="47">
        <f>ROUND(供應率ALL!L23,1)</f>
        <v>88.7</v>
      </c>
      <c r="S44" s="47">
        <f>ROUND(供應率ALL!M23,1)</f>
        <v>84.7</v>
      </c>
      <c r="T44" s="47">
        <f>ROUND(供應率ALL!N23,1)</f>
        <v>88.4</v>
      </c>
      <c r="U44" s="47">
        <f>ROUND(供應率ALL!O23,1)</f>
        <v>88.3</v>
      </c>
      <c r="V44" s="47">
        <f>ROUND(供應率ALL!P23,1)</f>
        <v>92.6</v>
      </c>
      <c r="W44" s="47">
        <f>ROUND(供應率ALL!Q23,1)</f>
        <v>95.1</v>
      </c>
      <c r="X44" s="47">
        <f>ROUND(供應率ALL!R23,1)</f>
        <v>0</v>
      </c>
      <c r="Y44" s="47">
        <f>ROUND(供應率ALL!S23,1)</f>
        <v>89.3</v>
      </c>
      <c r="Z44" s="47">
        <f>ROUND(供應率ALL!T23,1)</f>
        <v>88.1</v>
      </c>
      <c r="AA44" s="47">
        <f>ROUND(供應率ALL!U23,1)</f>
        <v>92.1</v>
      </c>
      <c r="AB44" s="47">
        <f>ROUND(供應率ALL!V23,1)</f>
        <v>94.2</v>
      </c>
      <c r="AC44" s="47">
        <f>ROUND(供應率ALL!W23,1)</f>
        <v>93.7</v>
      </c>
      <c r="AD44" s="47">
        <f>ROUND(供應率ALL!X23,1)</f>
        <v>92.2</v>
      </c>
      <c r="AE44" s="47">
        <f>ROUND(供應率ALL!Y23,1)</f>
        <v>0</v>
      </c>
      <c r="AF44" s="47">
        <f>ROUND(供應率ALL!Z23,1)</f>
        <v>93.6</v>
      </c>
      <c r="AG44" s="47">
        <f>ROUND(供應率ALL!AA23,1)</f>
        <v>93.3</v>
      </c>
      <c r="AH44" s="47">
        <f>ROUND(供應率ALL!AB23,1)</f>
        <v>95.9</v>
      </c>
      <c r="AI44" s="47">
        <f>ROUND(供應率ALL!AC23,1)</f>
        <v>93.4</v>
      </c>
      <c r="AJ44" s="47">
        <f>ROUND(供應率ALL!AD23,1)</f>
        <v>95.1</v>
      </c>
      <c r="AK44" s="47">
        <f>ROUND(供應率ALL!AE23,1)</f>
        <v>95.9</v>
      </c>
      <c r="AL44" s="47">
        <f>ROUND(供應率ALL!AF23,1)</f>
        <v>0</v>
      </c>
      <c r="AM44" s="47">
        <f>ROUND(供應率ALL!AG23,1)</f>
        <v>96.6</v>
      </c>
      <c r="AN44" s="214">
        <f>ROUND(供應率ALL!AH23,1)</f>
        <v>91.4</v>
      </c>
      <c r="AO44" s="48"/>
    </row>
    <row r="45" spans="1:41" s="14" customFormat="1" ht="21.95" customHeight="1">
      <c r="A45" s="649" t="s">
        <v>48</v>
      </c>
      <c r="B45" s="650"/>
      <c r="C45" s="650"/>
      <c r="D45" s="44" t="str">
        <f>HLOOKUP(MONTH(日期!$C$2),去年月推移!$D$1:$O$200,103,TRUE)</f>
        <v>98.6</v>
      </c>
      <c r="E45" s="50">
        <v>97</v>
      </c>
      <c r="F45" s="51" t="s">
        <v>45</v>
      </c>
      <c r="G45" s="571">
        <f>ROUND(當年月推移!P104,1)</f>
        <v>98.8</v>
      </c>
      <c r="H45" s="572"/>
      <c r="I45" s="47">
        <f>ROUND(供應率ALL!C8,1)</f>
        <v>99.1</v>
      </c>
      <c r="J45" s="47">
        <f>ROUND(供應率ALL!D8,1)</f>
        <v>0</v>
      </c>
      <c r="K45" s="47">
        <f>ROUND(供應率ALL!E8,1)</f>
        <v>99.5</v>
      </c>
      <c r="L45" s="47">
        <f>ROUND(供應率ALL!F8,1)</f>
        <v>98.9</v>
      </c>
      <c r="M45" s="47">
        <f>ROUND(供應率ALL!G8,1)</f>
        <v>98.4</v>
      </c>
      <c r="N45" s="47">
        <f>ROUND(供應率ALL!H8,1)</f>
        <v>100</v>
      </c>
      <c r="O45" s="47">
        <f>ROUND(供應率ALL!I8,1)</f>
        <v>99.4</v>
      </c>
      <c r="P45" s="47">
        <f>ROUND(供應率ALL!J8,1)</f>
        <v>99.7</v>
      </c>
      <c r="Q45" s="47">
        <f>ROUND(供應率ALL!K8,1)</f>
        <v>0</v>
      </c>
      <c r="R45" s="47">
        <f>ROUND(供應率ALL!L8,1)</f>
        <v>99.4</v>
      </c>
      <c r="S45" s="47">
        <f>ROUND(供應率ALL!M8,1)</f>
        <v>99.4</v>
      </c>
      <c r="T45" s="47">
        <f>ROUND(供應率ALL!N8,1)</f>
        <v>100</v>
      </c>
      <c r="U45" s="47">
        <f>ROUND(供應率ALL!O8,1)</f>
        <v>99.2</v>
      </c>
      <c r="V45" s="47">
        <f>ROUND(供應率ALL!P8,1)</f>
        <v>98.9</v>
      </c>
      <c r="W45" s="47">
        <f>ROUND(供應率ALL!Q8,1)</f>
        <v>99.4</v>
      </c>
      <c r="X45" s="47">
        <f>ROUND(供應率ALL!R8,1)</f>
        <v>0</v>
      </c>
      <c r="Y45" s="47">
        <f>ROUND(供應率ALL!S8,1)</f>
        <v>99.5</v>
      </c>
      <c r="Z45" s="47">
        <f>ROUND(供應率ALL!T8,1)</f>
        <v>99.2</v>
      </c>
      <c r="AA45" s="47">
        <f>ROUND(供應率ALL!U8,1)</f>
        <v>100</v>
      </c>
      <c r="AB45" s="47">
        <f>ROUND(供應率ALL!V8,1)</f>
        <v>99.7</v>
      </c>
      <c r="AC45" s="47">
        <f>ROUND(供應率ALL!W8,1)</f>
        <v>100</v>
      </c>
      <c r="AD45" s="47">
        <f>ROUND(供應率ALL!X8,1)</f>
        <v>99.7</v>
      </c>
      <c r="AE45" s="47">
        <f>ROUND(供應率ALL!Y8,1)</f>
        <v>0</v>
      </c>
      <c r="AF45" s="47">
        <f>ROUND(供應率ALL!Z8,1)</f>
        <v>99.6</v>
      </c>
      <c r="AG45" s="47">
        <f>ROUND(供應率ALL!AA8,1)</f>
        <v>100</v>
      </c>
      <c r="AH45" s="47">
        <f>ROUND(供應率ALL!AB8,1)</f>
        <v>99.7</v>
      </c>
      <c r="AI45" s="47">
        <f>ROUND(供應率ALL!AC8,1)</f>
        <v>99.7</v>
      </c>
      <c r="AJ45" s="47">
        <f>ROUND(供應率ALL!AD8,1)</f>
        <v>99.7</v>
      </c>
      <c r="AK45" s="47">
        <f>ROUND(供應率ALL!AE8,1)</f>
        <v>99.7</v>
      </c>
      <c r="AL45" s="47">
        <f>ROUND(供應率ALL!AF8,1)</f>
        <v>0</v>
      </c>
      <c r="AM45" s="47">
        <f>ROUND(供應率ALL!AG8,1)</f>
        <v>99.7</v>
      </c>
      <c r="AN45" s="214">
        <f>ROUND(供應率ALL!AH8,1)</f>
        <v>99.6</v>
      </c>
      <c r="AO45" s="48"/>
    </row>
    <row r="46" spans="1:41" s="14" customFormat="1" ht="21.95" customHeight="1">
      <c r="A46" s="649" t="s">
        <v>17</v>
      </c>
      <c r="B46" s="650"/>
      <c r="C46" s="650"/>
      <c r="D46" s="44" t="str">
        <f>HLOOKUP(MONTH(日期!$C$2),去年月推移!$D$1:$O$200,104,TRUE)</f>
        <v>98.3</v>
      </c>
      <c r="E46" s="50">
        <v>95</v>
      </c>
      <c r="F46" s="51" t="s">
        <v>45</v>
      </c>
      <c r="G46" s="571">
        <f>ROUND(當年月推移!P105,1)</f>
        <v>95.8</v>
      </c>
      <c r="H46" s="572"/>
      <c r="I46" s="47">
        <f>ROUND(供應率ALL!C9,1)</f>
        <v>93.7</v>
      </c>
      <c r="J46" s="47">
        <f>ROUND(供應率ALL!D9,1)</f>
        <v>0</v>
      </c>
      <c r="K46" s="47">
        <f>ROUND(供應率ALL!E9,1)</f>
        <v>100</v>
      </c>
      <c r="L46" s="47">
        <f>ROUND(供應率ALL!F9,1)</f>
        <v>100</v>
      </c>
      <c r="M46" s="47">
        <f>ROUND(供應率ALL!G9,1)</f>
        <v>100</v>
      </c>
      <c r="N46" s="47">
        <f>ROUND(供應率ALL!H9,1)</f>
        <v>100</v>
      </c>
      <c r="O46" s="47">
        <f>ROUND(供應率ALL!I9,1)</f>
        <v>100</v>
      </c>
      <c r="P46" s="47">
        <f>ROUND(供應率ALL!J9,1)</f>
        <v>100</v>
      </c>
      <c r="Q46" s="47">
        <f>ROUND(供應率ALL!K9,1)</f>
        <v>0</v>
      </c>
      <c r="R46" s="47">
        <f>ROUND(供應率ALL!L9,1)</f>
        <v>100</v>
      </c>
      <c r="S46" s="47">
        <f>ROUND(供應率ALL!M9,1)</f>
        <v>100</v>
      </c>
      <c r="T46" s="47">
        <f>ROUND(供應率ALL!N9,1)</f>
        <v>100</v>
      </c>
      <c r="U46" s="47">
        <f>ROUND(供應率ALL!O9,1)</f>
        <v>100</v>
      </c>
      <c r="V46" s="47">
        <f>ROUND(供應率ALL!P9,1)</f>
        <v>100</v>
      </c>
      <c r="W46" s="47">
        <f>ROUND(供應率ALL!Q9,1)</f>
        <v>100</v>
      </c>
      <c r="X46" s="47">
        <f>ROUND(供應率ALL!R9,1)</f>
        <v>0</v>
      </c>
      <c r="Y46" s="47">
        <f>ROUND(供應率ALL!S9,1)</f>
        <v>100</v>
      </c>
      <c r="Z46" s="47">
        <f>ROUND(供應率ALL!T9,1)</f>
        <v>100</v>
      </c>
      <c r="AA46" s="47">
        <f>ROUND(供應率ALL!U9,1)</f>
        <v>100</v>
      </c>
      <c r="AB46" s="47">
        <f>ROUND(供應率ALL!V9,1)</f>
        <v>93.7</v>
      </c>
      <c r="AC46" s="47">
        <f>ROUND(供應率ALL!W9,1)</f>
        <v>100</v>
      </c>
      <c r="AD46" s="47">
        <f>ROUND(供應率ALL!X9,1)</f>
        <v>100</v>
      </c>
      <c r="AE46" s="47">
        <f>ROUND(供應率ALL!Y9,1)</f>
        <v>0</v>
      </c>
      <c r="AF46" s="47">
        <f>ROUND(供應率ALL!Z9,1)</f>
        <v>100</v>
      </c>
      <c r="AG46" s="47">
        <f>ROUND(供應率ALL!AA9,1)</f>
        <v>100</v>
      </c>
      <c r="AH46" s="47">
        <f>ROUND(供應率ALL!AB9,1)</f>
        <v>100</v>
      </c>
      <c r="AI46" s="47">
        <f>ROUND(供應率ALL!AC9,1)</f>
        <v>100</v>
      </c>
      <c r="AJ46" s="47">
        <f>ROUND(供應率ALL!AD9,1)</f>
        <v>100</v>
      </c>
      <c r="AK46" s="47">
        <f>ROUND(供應率ALL!AE9,1)</f>
        <v>100</v>
      </c>
      <c r="AL46" s="47">
        <f>ROUND(供應率ALL!AF9,1)</f>
        <v>0</v>
      </c>
      <c r="AM46" s="47">
        <f>ROUND(供應率ALL!AG9,1)</f>
        <v>100</v>
      </c>
      <c r="AN46" s="214">
        <f>ROUND(供應率ALL!AH9,1)</f>
        <v>99.5</v>
      </c>
      <c r="AO46" s="48"/>
    </row>
    <row r="47" spans="1:41" s="14" customFormat="1" ht="21.95" customHeight="1" thickBot="1">
      <c r="A47" s="538" t="s">
        <v>49</v>
      </c>
      <c r="B47" s="539"/>
      <c r="C47" s="540"/>
      <c r="D47" s="231" t="str">
        <f>HLOOKUP(MONTH(日期!$C$2),去年月推移!$D$1:$O$200,105,TRUE)</f>
        <v>98</v>
      </c>
      <c r="E47" s="52">
        <v>97.9</v>
      </c>
      <c r="F47" s="53"/>
      <c r="G47" s="610">
        <f>ROUND(當年月推移!P106,1)</f>
        <v>97.8</v>
      </c>
      <c r="H47" s="611"/>
      <c r="I47" s="242">
        <f>ROUND(供應率ALL!C10,1)</f>
        <v>97.6</v>
      </c>
      <c r="J47" s="242">
        <f>ROUND(供應率ALL!D10,1)</f>
        <v>0</v>
      </c>
      <c r="K47" s="242">
        <f>ROUND(供應率ALL!E10,1)</f>
        <v>97.7</v>
      </c>
      <c r="L47" s="242">
        <f>ROUND(供應率ALL!F10,1)</f>
        <v>97.1</v>
      </c>
      <c r="M47" s="242">
        <f>ROUND(供應率ALL!G10,1)</f>
        <v>96.9</v>
      </c>
      <c r="N47" s="242">
        <f>ROUND(供應率ALL!H10,1)</f>
        <v>97</v>
      </c>
      <c r="O47" s="242">
        <f>ROUND(供應率ALL!I10,1)</f>
        <v>97.5</v>
      </c>
      <c r="P47" s="242">
        <f>ROUND(供應率ALL!J10,1)</f>
        <v>97.7</v>
      </c>
      <c r="Q47" s="242">
        <f>ROUND(供應率ALL!K10,1)</f>
        <v>0</v>
      </c>
      <c r="R47" s="242">
        <f>ROUND(供應率ALL!L10,1)</f>
        <v>97.4</v>
      </c>
      <c r="S47" s="242">
        <f>ROUND(供應率ALL!M10,1)</f>
        <v>97.5</v>
      </c>
      <c r="T47" s="242">
        <f>ROUND(供應率ALL!N10,1)</f>
        <v>97.6</v>
      </c>
      <c r="U47" s="242">
        <f>ROUND(供應率ALL!O10,1)</f>
        <v>97.4</v>
      </c>
      <c r="V47" s="242">
        <f>ROUND(供應率ALL!P10,1)</f>
        <v>97.8</v>
      </c>
      <c r="W47" s="242">
        <f>ROUND(供應率ALL!Q10,1)</f>
        <v>97.3</v>
      </c>
      <c r="X47" s="242">
        <f>ROUND(供應率ALL!R10,1)</f>
        <v>0</v>
      </c>
      <c r="Y47" s="242">
        <f>ROUND(供應率ALL!S10,1)</f>
        <v>97.9</v>
      </c>
      <c r="Z47" s="242">
        <f>ROUND(供應率ALL!T10,1)</f>
        <v>97.3</v>
      </c>
      <c r="AA47" s="242">
        <f>ROUND(供應率ALL!U10,1)</f>
        <v>97.4</v>
      </c>
      <c r="AB47" s="242">
        <f>ROUND(供應率ALL!V10,1)</f>
        <v>97.8</v>
      </c>
      <c r="AC47" s="242">
        <f>ROUND(供應率ALL!W10,1)</f>
        <v>97.9</v>
      </c>
      <c r="AD47" s="242">
        <f>ROUND(供應率ALL!X10,1)</f>
        <v>98</v>
      </c>
      <c r="AE47" s="242">
        <f>ROUND(供應率ALL!Y10,1)</f>
        <v>0</v>
      </c>
      <c r="AF47" s="242">
        <f>ROUND(供應率ALL!Z10,1)</f>
        <v>97.5</v>
      </c>
      <c r="AG47" s="242">
        <f>ROUND(供應率ALL!AA10,1)</f>
        <v>97.6</v>
      </c>
      <c r="AH47" s="242">
        <f>ROUND(供應率ALL!AB10,1)</f>
        <v>97.6</v>
      </c>
      <c r="AI47" s="242">
        <f>ROUND(供應率ALL!AC10,1)</f>
        <v>97.8</v>
      </c>
      <c r="AJ47" s="242">
        <f>ROUND(供應率ALL!AD10,1)</f>
        <v>97.8</v>
      </c>
      <c r="AK47" s="242">
        <f>ROUND(供應率ALL!AE10,1)</f>
        <v>97.7</v>
      </c>
      <c r="AL47" s="242">
        <f>ROUND(供應率ALL!AF10,1)</f>
        <v>0</v>
      </c>
      <c r="AM47" s="242">
        <f>ROUND(供應率ALL!AG10,1)</f>
        <v>98</v>
      </c>
      <c r="AN47" s="271">
        <f>ROUND(供應率ALL!AH10,1)</f>
        <v>97.6</v>
      </c>
      <c r="AO47" s="48"/>
    </row>
    <row r="48" spans="1:41" s="14" customFormat="1" ht="21.95" customHeight="1">
      <c r="A48" s="651" t="s">
        <v>23</v>
      </c>
      <c r="B48" s="652"/>
      <c r="C48" s="652"/>
      <c r="D48" s="44" t="str">
        <f>HLOOKUP(MONTH(日期!$C$2),去年月推移!$D$1:$O$200,106,TRUE)</f>
        <v>98.1</v>
      </c>
      <c r="E48" s="269">
        <v>97.8</v>
      </c>
      <c r="F48" s="270" t="s">
        <v>45</v>
      </c>
      <c r="G48" s="571">
        <f>ROUND(當年月推移!P107,1)</f>
        <v>97.5</v>
      </c>
      <c r="H48" s="572"/>
      <c r="I48" s="47">
        <f>ROUND(供應率ALL!C3,1)</f>
        <v>98.4</v>
      </c>
      <c r="J48" s="47">
        <f>ROUND(供應率ALL!D3,1)</f>
        <v>0</v>
      </c>
      <c r="K48" s="47">
        <f>ROUND(供應率ALL!E3,1)</f>
        <v>97.3</v>
      </c>
      <c r="L48" s="47">
        <f>ROUND(供應率ALL!F3,1)</f>
        <v>98.2</v>
      </c>
      <c r="M48" s="47">
        <f>ROUND(供應率ALL!G3,1)</f>
        <v>97.7</v>
      </c>
      <c r="N48" s="47">
        <f>ROUND(供應率ALL!H3,1)</f>
        <v>98.1</v>
      </c>
      <c r="O48" s="47">
        <f>ROUND(供應率ALL!I3,1)</f>
        <v>97.3</v>
      </c>
      <c r="P48" s="47">
        <f>ROUND(供應率ALL!J3,1)</f>
        <v>97.8</v>
      </c>
      <c r="Q48" s="47">
        <f>ROUND(供應率ALL!K3,1)</f>
        <v>0</v>
      </c>
      <c r="R48" s="47">
        <f>ROUND(供應率ALL!L3,1)</f>
        <v>97.9</v>
      </c>
      <c r="S48" s="47">
        <f>ROUND(供應率ALL!M3,1)</f>
        <v>98.4</v>
      </c>
      <c r="T48" s="47">
        <f>ROUND(供應率ALL!N3,1)</f>
        <v>97.6</v>
      </c>
      <c r="U48" s="47">
        <f>ROUND(供應率ALL!O3,1)</f>
        <v>98.2</v>
      </c>
      <c r="V48" s="47">
        <f>ROUND(供應率ALL!P3,1)</f>
        <v>98.6</v>
      </c>
      <c r="W48" s="47">
        <f>ROUND(供應率ALL!Q3,1)</f>
        <v>97.7</v>
      </c>
      <c r="X48" s="47">
        <f>ROUND(供應率ALL!R3,1)</f>
        <v>0</v>
      </c>
      <c r="Y48" s="47">
        <f>ROUND(供應率ALL!S3,1)</f>
        <v>97.8</v>
      </c>
      <c r="Z48" s="47">
        <f>ROUND(供應率ALL!T3,1)</f>
        <v>98.7</v>
      </c>
      <c r="AA48" s="47">
        <f>ROUND(供應率ALL!U3,1)</f>
        <v>98.3</v>
      </c>
      <c r="AB48" s="47">
        <f>ROUND(供應率ALL!V3,1)</f>
        <v>97.7</v>
      </c>
      <c r="AC48" s="47">
        <f>ROUND(供應率ALL!W3,1)</f>
        <v>97.9</v>
      </c>
      <c r="AD48" s="47">
        <f>ROUND(供應率ALL!X3,1)</f>
        <v>98.1</v>
      </c>
      <c r="AE48" s="47">
        <f>ROUND(供應率ALL!Y3,1)</f>
        <v>0</v>
      </c>
      <c r="AF48" s="47">
        <f>ROUND(供應率ALL!Z3,1)</f>
        <v>97.9</v>
      </c>
      <c r="AG48" s="47">
        <f>ROUND(供應率ALL!AA3,1)</f>
        <v>97.7</v>
      </c>
      <c r="AH48" s="47">
        <f>ROUND(供應率ALL!AB3,1)</f>
        <v>98.1</v>
      </c>
      <c r="AI48" s="47">
        <f>ROUND(供應率ALL!AC3,1)</f>
        <v>98.4</v>
      </c>
      <c r="AJ48" s="47">
        <f>ROUND(供應率ALL!AD3,1)</f>
        <v>96.9</v>
      </c>
      <c r="AK48" s="47">
        <f>ROUND(供應率ALL!AE3,1)</f>
        <v>98.3</v>
      </c>
      <c r="AL48" s="47">
        <f>ROUND(供應率ALL!AF3,1)</f>
        <v>0</v>
      </c>
      <c r="AM48" s="47">
        <f>ROUND(供應率ALL!AG3,1)</f>
        <v>97.9</v>
      </c>
      <c r="AN48" s="214">
        <f>ROUND(供應率ALL!AH3,1)</f>
        <v>98</v>
      </c>
      <c r="AO48" s="48"/>
    </row>
    <row r="49" spans="1:41" s="14" customFormat="1" ht="21.95" customHeight="1">
      <c r="A49" s="607" t="s">
        <v>24</v>
      </c>
      <c r="B49" s="608"/>
      <c r="C49" s="609"/>
      <c r="D49" s="44" t="str">
        <f>HLOOKUP(MONTH(日期!$C$2),去年月推移!$D$1:$O$200,107,TRUE)</f>
        <v>100</v>
      </c>
      <c r="E49" s="50">
        <v>99</v>
      </c>
      <c r="F49" s="51"/>
      <c r="G49" s="618">
        <f>ROUND(當年月推移!P108,1)</f>
        <v>99.9</v>
      </c>
      <c r="H49" s="619"/>
      <c r="I49" s="47">
        <f>ROUND(供應率ALL!C11,1)</f>
        <v>88.2</v>
      </c>
      <c r="J49" s="47">
        <f>ROUND(供應率ALL!D11,1)</f>
        <v>0</v>
      </c>
      <c r="K49" s="47">
        <f>ROUND(供應率ALL!E11,1)</f>
        <v>86.9</v>
      </c>
      <c r="L49" s="47">
        <f>ROUND(供應率ALL!F11,1)</f>
        <v>95.4</v>
      </c>
      <c r="M49" s="47">
        <f>ROUND(供應率ALL!G11,1)</f>
        <v>100</v>
      </c>
      <c r="N49" s="47">
        <f>ROUND(供應率ALL!H11,1)</f>
        <v>95.8</v>
      </c>
      <c r="O49" s="47">
        <f>ROUND(供應率ALL!I11,1)</f>
        <v>100</v>
      </c>
      <c r="P49" s="47">
        <f>ROUND(供應率ALL!J11,1)</f>
        <v>100</v>
      </c>
      <c r="Q49" s="47">
        <f>ROUND(供應率ALL!K11,1)</f>
        <v>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100</v>
      </c>
      <c r="X49" s="47">
        <f>ROUND(供應率ALL!R11,1)</f>
        <v>0</v>
      </c>
      <c r="Y49" s="47">
        <f>ROUND(供應率ALL!S11,1)</f>
        <v>95</v>
      </c>
      <c r="Z49" s="47">
        <f>ROUND(供應率ALL!T11,1)</f>
        <v>100</v>
      </c>
      <c r="AA49" s="47">
        <f>ROUND(供應率ALL!U11,1)</f>
        <v>94.4</v>
      </c>
      <c r="AB49" s="47">
        <f>ROUND(供應率ALL!V11,1)</f>
        <v>100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0</v>
      </c>
      <c r="AF49" s="47">
        <f>ROUND(供應率ALL!Z11,1)</f>
        <v>100</v>
      </c>
      <c r="AG49" s="47">
        <f>ROUND(供應率ALL!AA11,1)</f>
        <v>100</v>
      </c>
      <c r="AH49" s="47">
        <f>ROUND(供應率ALL!AB11,1)</f>
        <v>100</v>
      </c>
      <c r="AI49" s="47">
        <f>ROUND(供應率ALL!AC11,1)</f>
        <v>100</v>
      </c>
      <c r="AJ49" s="47">
        <f>ROUND(供應率ALL!AD11,1)</f>
        <v>100</v>
      </c>
      <c r="AK49" s="47">
        <f>ROUND(供應率ALL!AE11,1)</f>
        <v>100</v>
      </c>
      <c r="AL49" s="47">
        <f>ROUND(供應率ALL!AF11,1)</f>
        <v>0</v>
      </c>
      <c r="AM49" s="47">
        <f>ROUND(供應率ALL!AG11,1)</f>
        <v>100</v>
      </c>
      <c r="AN49" s="214">
        <f>ROUND(供應率ALL!AH11,1)</f>
        <v>98.3</v>
      </c>
      <c r="AO49" s="48"/>
    </row>
    <row r="50" spans="1:41" s="14" customFormat="1" ht="21.95" customHeight="1">
      <c r="A50" s="607" t="s">
        <v>25</v>
      </c>
      <c r="B50" s="608"/>
      <c r="C50" s="609"/>
      <c r="D50" s="44" t="str">
        <f>HLOOKUP(MONTH(日期!$C$2),去年月推移!$D$1:$O$200,108,TRUE)</f>
        <v>98.7</v>
      </c>
      <c r="E50" s="50">
        <v>75</v>
      </c>
      <c r="F50" s="51"/>
      <c r="G50" s="618">
        <f>ROUND(當年月推移!P109,1)</f>
        <v>81.8</v>
      </c>
      <c r="H50" s="619"/>
      <c r="I50" s="47">
        <f>ROUND(供應率ALL!C12,1)</f>
        <v>42.8</v>
      </c>
      <c r="J50" s="47">
        <f>ROUND(供應率ALL!D12,1)</f>
        <v>0</v>
      </c>
      <c r="K50" s="47">
        <f>ROUND(供應率ALL!E12,1)</f>
        <v>100</v>
      </c>
      <c r="L50" s="47">
        <f>ROUND(供應率ALL!F12,1)</f>
        <v>62.5</v>
      </c>
      <c r="M50" s="47">
        <f>ROUND(供應率ALL!G12,1)</f>
        <v>27.2</v>
      </c>
      <c r="N50" s="47">
        <f>ROUND(供應率ALL!H12,1)</f>
        <v>50</v>
      </c>
      <c r="O50" s="47">
        <f>ROUND(供應率ALL!I12,1)</f>
        <v>57.1</v>
      </c>
      <c r="P50" s="47">
        <f>ROUND(供應率ALL!J12,1)</f>
        <v>100</v>
      </c>
      <c r="Q50" s="47">
        <f>ROUND(供應率ALL!K12,1)</f>
        <v>0</v>
      </c>
      <c r="R50" s="47">
        <f>ROUND(供應率ALL!L12,1)</f>
        <v>66.599999999999994</v>
      </c>
      <c r="S50" s="47">
        <f>ROUND(供應率ALL!M12,1)</f>
        <v>33.299999999999997</v>
      </c>
      <c r="T50" s="47">
        <f>ROUND(供應率ALL!N12,1)</f>
        <v>33.299999999999997</v>
      </c>
      <c r="U50" s="47">
        <f>ROUND(供應率ALL!O12,1)</f>
        <v>72.7</v>
      </c>
      <c r="V50" s="47">
        <f>ROUND(供應率ALL!P12,1)</f>
        <v>72.7</v>
      </c>
      <c r="W50" s="47">
        <f>ROUND(供應率ALL!Q12,1)</f>
        <v>0</v>
      </c>
      <c r="X50" s="47">
        <f>ROUND(供應率ALL!R12,1)</f>
        <v>0</v>
      </c>
      <c r="Y50" s="47">
        <f>ROUND(供應率ALL!S12,1)</f>
        <v>37.5</v>
      </c>
      <c r="Z50" s="47">
        <f>ROUND(供應率ALL!T12,1)</f>
        <v>23</v>
      </c>
      <c r="AA50" s="47">
        <f>ROUND(供應率ALL!U12,1)</f>
        <v>60</v>
      </c>
      <c r="AB50" s="47">
        <f>ROUND(供應率ALL!V12,1)</f>
        <v>57.1</v>
      </c>
      <c r="AC50" s="47">
        <f>ROUND(供應率ALL!W12,1)</f>
        <v>0</v>
      </c>
      <c r="AD50" s="47">
        <f>ROUND(供應率ALL!X12,1)</f>
        <v>100</v>
      </c>
      <c r="AE50" s="47">
        <f>ROUND(供應率ALL!Y12,1)</f>
        <v>0</v>
      </c>
      <c r="AF50" s="47">
        <f>ROUND(供應率ALL!Z12,1)</f>
        <v>20</v>
      </c>
      <c r="AG50" s="47">
        <f>ROUND(供應率ALL!AA12,1)</f>
        <v>71.400000000000006</v>
      </c>
      <c r="AH50" s="47">
        <f>ROUND(供應率ALL!AB12,1)</f>
        <v>66.599999999999994</v>
      </c>
      <c r="AI50" s="47">
        <f>ROUND(供應率ALL!AC12,1)</f>
        <v>100</v>
      </c>
      <c r="AJ50" s="47">
        <f>ROUND(供應率ALL!AD12,1)</f>
        <v>100</v>
      </c>
      <c r="AK50" s="47">
        <f>ROUND(供應率ALL!AE12,1)</f>
        <v>100</v>
      </c>
      <c r="AL50" s="47">
        <f>ROUND(供應率ALL!AF12,1)</f>
        <v>0</v>
      </c>
      <c r="AM50" s="47">
        <f>ROUND(供應率ALL!AG12,1)</f>
        <v>75</v>
      </c>
      <c r="AN50" s="214">
        <f>ROUND(供應率ALL!AH12,1)</f>
        <v>55.2</v>
      </c>
      <c r="AO50" s="48"/>
    </row>
    <row r="51" spans="1:41" s="14" customFormat="1" ht="21.95" customHeight="1">
      <c r="A51" s="607" t="s">
        <v>26</v>
      </c>
      <c r="B51" s="608"/>
      <c r="C51" s="609"/>
      <c r="D51" s="44" t="str">
        <f>HLOOKUP(MONTH(日期!$C$2),去年月推移!$D$1:$O$200,109,TRUE)</f>
        <v>95.6</v>
      </c>
      <c r="E51" s="50">
        <v>98.7</v>
      </c>
      <c r="F51" s="51"/>
      <c r="G51" s="618">
        <f>ROUND(當年月推移!P110,1)</f>
        <v>96.8</v>
      </c>
      <c r="H51" s="619"/>
      <c r="I51" s="47">
        <f>ROUND(供應率ALL!C13,1)</f>
        <v>97.5</v>
      </c>
      <c r="J51" s="47">
        <f>ROUND(供應率ALL!D13,1)</f>
        <v>0</v>
      </c>
      <c r="K51" s="47">
        <f>ROUND(供應率ALL!E13,1)</f>
        <v>96.6</v>
      </c>
      <c r="L51" s="47">
        <f>ROUND(供應率ALL!F13,1)</f>
        <v>97.7</v>
      </c>
      <c r="M51" s="47">
        <f>ROUND(供應率ALL!G13,1)</f>
        <v>96.8</v>
      </c>
      <c r="N51" s="47">
        <f>ROUND(供應率ALL!H13,1)</f>
        <v>96.8</v>
      </c>
      <c r="O51" s="47">
        <f>ROUND(供應率ALL!I13,1)</f>
        <v>97.5</v>
      </c>
      <c r="P51" s="47">
        <f>ROUND(供應率ALL!J13,1)</f>
        <v>98</v>
      </c>
      <c r="Q51" s="47">
        <f>ROUND(供應率ALL!K13,1)</f>
        <v>0</v>
      </c>
      <c r="R51" s="47">
        <f>ROUND(供應率ALL!L13,1)</f>
        <v>98.3</v>
      </c>
      <c r="S51" s="47">
        <f>ROUND(供應率ALL!M13,1)</f>
        <v>97.5</v>
      </c>
      <c r="T51" s="47">
        <f>ROUND(供應率ALL!N13,1)</f>
        <v>97.5</v>
      </c>
      <c r="U51" s="47">
        <f>ROUND(供應率ALL!O13,1)</f>
        <v>99.7</v>
      </c>
      <c r="V51" s="47">
        <f>ROUND(供應率ALL!P13,1)</f>
        <v>96</v>
      </c>
      <c r="W51" s="47">
        <f>ROUND(供應率ALL!Q13,1)</f>
        <v>98.3</v>
      </c>
      <c r="X51" s="47">
        <f>ROUND(供應率ALL!R13,1)</f>
        <v>0</v>
      </c>
      <c r="Y51" s="47">
        <f>ROUND(供應率ALL!S13,1)</f>
        <v>95.7</v>
      </c>
      <c r="Z51" s="47">
        <f>ROUND(供應率ALL!T13,1)</f>
        <v>96.1</v>
      </c>
      <c r="AA51" s="47">
        <f>ROUND(供應率ALL!U13,1)</f>
        <v>97.1</v>
      </c>
      <c r="AB51" s="47">
        <f>ROUND(供應率ALL!V13,1)</f>
        <v>98.4</v>
      </c>
      <c r="AC51" s="47">
        <f>ROUND(供應率ALL!W13,1)</f>
        <v>98.5</v>
      </c>
      <c r="AD51" s="47">
        <f>ROUND(供應率ALL!X13,1)</f>
        <v>93</v>
      </c>
      <c r="AE51" s="47">
        <f>ROUND(供應率ALL!Y13,1)</f>
        <v>0</v>
      </c>
      <c r="AF51" s="47">
        <f>ROUND(供應率ALL!Z13,1)</f>
        <v>95.9</v>
      </c>
      <c r="AG51" s="47">
        <f>ROUND(供應率ALL!AA13,1)</f>
        <v>99.3</v>
      </c>
      <c r="AH51" s="47">
        <f>ROUND(供應率ALL!AB13,1)</f>
        <v>96.3</v>
      </c>
      <c r="AI51" s="47">
        <f>ROUND(供應率ALL!AC13,1)</f>
        <v>97.5</v>
      </c>
      <c r="AJ51" s="47">
        <f>ROUND(供應率ALL!AD13,1)</f>
        <v>92.5</v>
      </c>
      <c r="AK51" s="47">
        <f>ROUND(供應率ALL!AE13,1)</f>
        <v>93.5</v>
      </c>
      <c r="AL51" s="47">
        <f>ROUND(供應率ALL!AF13,1)</f>
        <v>0</v>
      </c>
      <c r="AM51" s="47">
        <f>ROUND(供應率ALL!AG13,1)</f>
        <v>97</v>
      </c>
      <c r="AN51" s="214">
        <f>ROUND(供應率ALL!AH13,1)</f>
        <v>97</v>
      </c>
      <c r="AO51" s="48"/>
    </row>
    <row r="52" spans="1:41" s="14" customFormat="1" ht="21.95" customHeight="1">
      <c r="A52" s="607" t="s">
        <v>27</v>
      </c>
      <c r="B52" s="608"/>
      <c r="C52" s="609"/>
      <c r="D52" s="44" t="str">
        <f>HLOOKUP(MONTH(日期!$C$2),去年月推移!$D$1:$O$200,110,TRUE)</f>
        <v>93.8</v>
      </c>
      <c r="E52" s="50">
        <v>95</v>
      </c>
      <c r="F52" s="51"/>
      <c r="G52" s="618">
        <f>ROUND(當年月推移!P111,1)</f>
        <v>94.3</v>
      </c>
      <c r="H52" s="619"/>
      <c r="I52" s="47">
        <f>ROUND(供應率ALL!C14,1)</f>
        <v>92.7</v>
      </c>
      <c r="J52" s="47">
        <f>ROUND(供應率ALL!D14,1)</f>
        <v>0</v>
      </c>
      <c r="K52" s="47">
        <f>ROUND(供應率ALL!E14,1)</f>
        <v>96.8</v>
      </c>
      <c r="L52" s="47">
        <f>ROUND(供應率ALL!F14,1)</f>
        <v>100</v>
      </c>
      <c r="M52" s="47">
        <f>ROUND(供應率ALL!G14,1)</f>
        <v>96.1</v>
      </c>
      <c r="N52" s="47">
        <f>ROUND(供應率ALL!H14,1)</f>
        <v>97.5</v>
      </c>
      <c r="O52" s="47">
        <f>ROUND(供應率ALL!I14,1)</f>
        <v>96.1</v>
      </c>
      <c r="P52" s="47">
        <f>ROUND(供應率ALL!J14,1)</f>
        <v>98.5</v>
      </c>
      <c r="Q52" s="47">
        <f>ROUND(供應率ALL!K14,1)</f>
        <v>0</v>
      </c>
      <c r="R52" s="47">
        <f>ROUND(供應率ALL!L14,1)</f>
        <v>100</v>
      </c>
      <c r="S52" s="47">
        <f>ROUND(供應率ALL!M14,1)</f>
        <v>95.7</v>
      </c>
      <c r="T52" s="47">
        <f>ROUND(供應率ALL!N14,1)</f>
        <v>100</v>
      </c>
      <c r="U52" s="47">
        <f>ROUND(供應率ALL!O14,1)</f>
        <v>100</v>
      </c>
      <c r="V52" s="47">
        <f>ROUND(供應率ALL!P14,1)</f>
        <v>96.8</v>
      </c>
      <c r="W52" s="47">
        <f>ROUND(供應率ALL!Q14,1)</f>
        <v>98.7</v>
      </c>
      <c r="X52" s="47">
        <f>ROUND(供應率ALL!R14,1)</f>
        <v>0</v>
      </c>
      <c r="Y52" s="47">
        <f>ROUND(供應率ALL!S14,1)</f>
        <v>95.3</v>
      </c>
      <c r="Z52" s="47">
        <f>ROUND(供應率ALL!T14,1)</f>
        <v>96.7</v>
      </c>
      <c r="AA52" s="47">
        <f>ROUND(供應率ALL!U14,1)</f>
        <v>96.7</v>
      </c>
      <c r="AB52" s="47">
        <f>ROUND(供應率ALL!V14,1)</f>
        <v>95</v>
      </c>
      <c r="AC52" s="47">
        <f>ROUND(供應率ALL!W14,1)</f>
        <v>98</v>
      </c>
      <c r="AD52" s="47">
        <f>ROUND(供應率ALL!X14,1)</f>
        <v>97.9</v>
      </c>
      <c r="AE52" s="47">
        <f>ROUND(供應率ALL!Y14,1)</f>
        <v>0</v>
      </c>
      <c r="AF52" s="47">
        <f>ROUND(供應率ALL!Z14,1)</f>
        <v>100</v>
      </c>
      <c r="AG52" s="47">
        <f>ROUND(供應率ALL!AA14,1)</f>
        <v>96.8</v>
      </c>
      <c r="AH52" s="47">
        <f>ROUND(供應率ALL!AB14,1)</f>
        <v>98.3</v>
      </c>
      <c r="AI52" s="47">
        <f>ROUND(供應率ALL!AC14,1)</f>
        <v>94.1</v>
      </c>
      <c r="AJ52" s="47">
        <f>ROUND(供應率ALL!AD14,1)</f>
        <v>100</v>
      </c>
      <c r="AK52" s="47">
        <f>ROUND(供應率ALL!AE14,1)</f>
        <v>100</v>
      </c>
      <c r="AL52" s="47">
        <f>ROUND(供應率ALL!AF14,1)</f>
        <v>0</v>
      </c>
      <c r="AM52" s="47">
        <f>ROUND(供應率ALL!AG14,1)</f>
        <v>100</v>
      </c>
      <c r="AN52" s="214">
        <f>ROUND(供應率ALL!AH14,1)</f>
        <v>97.5</v>
      </c>
      <c r="AO52" s="48"/>
    </row>
    <row r="53" spans="1:41" s="14" customFormat="1" ht="21.95" customHeight="1">
      <c r="A53" s="607" t="s">
        <v>28</v>
      </c>
      <c r="B53" s="608"/>
      <c r="C53" s="609"/>
      <c r="D53" s="44" t="str">
        <f>HLOOKUP(MONTH(日期!$C$2),去年月推移!$D$1:$O$200,111,TRUE)</f>
        <v>100</v>
      </c>
      <c r="E53" s="50"/>
      <c r="F53" s="51"/>
      <c r="G53" s="618">
        <f>ROUND(當年月推移!P112,1)</f>
        <v>0</v>
      </c>
      <c r="H53" s="619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560" t="s">
        <v>50</v>
      </c>
      <c r="B54" s="561"/>
      <c r="C54" s="561"/>
      <c r="D54" s="231" t="str">
        <f>HLOOKUP(MONTH(日期!$C$2),去年月推移!$D$1:$O$200,112,TRUE)</f>
        <v>97.6</v>
      </c>
      <c r="E54" s="52"/>
      <c r="F54" s="53" t="s">
        <v>45</v>
      </c>
      <c r="G54" s="610">
        <f>ROUND(當年月推移!P113,1)</f>
        <v>97.2</v>
      </c>
      <c r="H54" s="611"/>
      <c r="I54" s="242">
        <f>ROUND(供應率ALL!C16,1)</f>
        <v>97.8</v>
      </c>
      <c r="J54" s="242">
        <f>ROUND(供應率ALL!D16,1)</f>
        <v>0</v>
      </c>
      <c r="K54" s="242">
        <f>ROUND(供應率ALL!E16,1)</f>
        <v>97.1</v>
      </c>
      <c r="L54" s="242">
        <f>ROUND(供應率ALL!F16,1)</f>
        <v>98.1</v>
      </c>
      <c r="M54" s="242">
        <f>ROUND(供應率ALL!G16,1)</f>
        <v>97.3</v>
      </c>
      <c r="N54" s="242">
        <f>ROUND(供應率ALL!H16,1)</f>
        <v>97.6</v>
      </c>
      <c r="O54" s="242">
        <f>ROUND(供應率ALL!I16,1)</f>
        <v>97.2</v>
      </c>
      <c r="P54" s="242">
        <f>ROUND(供應率ALL!J16,1)</f>
        <v>97.9</v>
      </c>
      <c r="Q54" s="242">
        <f>ROUND(供應率ALL!K16,1)</f>
        <v>0</v>
      </c>
      <c r="R54" s="242">
        <f>ROUND(供應率ALL!L16,1)</f>
        <v>97.9</v>
      </c>
      <c r="S54" s="242">
        <f>ROUND(供應率ALL!M16,1)</f>
        <v>98.1</v>
      </c>
      <c r="T54" s="242">
        <f>ROUND(供應率ALL!N16,1)</f>
        <v>97.4</v>
      </c>
      <c r="U54" s="242">
        <f>ROUND(供應率ALL!O16,1)</f>
        <v>98.4</v>
      </c>
      <c r="V54" s="242">
        <f>ROUND(供應率ALL!P16,1)</f>
        <v>98</v>
      </c>
      <c r="W54" s="242">
        <f>ROUND(供應率ALL!Q16,1)</f>
        <v>97.8</v>
      </c>
      <c r="X54" s="242">
        <f>ROUND(供應率ALL!R16,1)</f>
        <v>0</v>
      </c>
      <c r="Y54" s="242">
        <f>ROUND(供應率ALL!S16,1)</f>
        <v>97.2</v>
      </c>
      <c r="Z54" s="242">
        <f>ROUND(供應率ALL!T16,1)</f>
        <v>97.9</v>
      </c>
      <c r="AA54" s="242">
        <f>ROUND(供應率ALL!U16,1)</f>
        <v>97.9</v>
      </c>
      <c r="AB54" s="242">
        <f>ROUND(供應率ALL!V16,1)</f>
        <v>97.7</v>
      </c>
      <c r="AC54" s="242">
        <f>ROUND(供應率ALL!W16,1)</f>
        <v>98</v>
      </c>
      <c r="AD54" s="242">
        <f>ROUND(供應率ALL!X16,1)</f>
        <v>97.1</v>
      </c>
      <c r="AE54" s="242">
        <f>ROUND(供應率ALL!Y16,1)</f>
        <v>0</v>
      </c>
      <c r="AF54" s="242">
        <f>ROUND(供應率ALL!Z16,1)</f>
        <v>97.3</v>
      </c>
      <c r="AG54" s="242">
        <f>ROUND(供應率ALL!AA16,1)</f>
        <v>97.9</v>
      </c>
      <c r="AH54" s="242">
        <f>ROUND(供應率ALL!AB16,1)</f>
        <v>97.7</v>
      </c>
      <c r="AI54" s="242">
        <f>ROUND(供應率ALL!AC16,1)</f>
        <v>98.2</v>
      </c>
      <c r="AJ54" s="242">
        <f>ROUND(供應率ALL!AD16,1)</f>
        <v>96.2</v>
      </c>
      <c r="AK54" s="242">
        <f>ROUND(供應率ALL!AE16,1)</f>
        <v>97.5</v>
      </c>
      <c r="AL54" s="242">
        <f>ROUND(供應率ALL!AF16,1)</f>
        <v>0</v>
      </c>
      <c r="AM54" s="242">
        <f>ROUND(供應率ALL!AG16,1)</f>
        <v>97.8</v>
      </c>
      <c r="AN54" s="215">
        <f>ROUND(供應率ALL!AH16,1)</f>
        <v>97.7</v>
      </c>
      <c r="AO54" s="54"/>
    </row>
    <row r="55" spans="1:41" s="42" customFormat="1" ht="21.95" customHeight="1">
      <c r="A55" s="604" t="s">
        <v>31</v>
      </c>
      <c r="B55" s="605"/>
      <c r="C55" s="606"/>
      <c r="D55" s="272" t="str">
        <f>HLOOKUP(MONTH(日期!$C$2),去年月推移!$D$1:$O$200,113,TRUE)</f>
        <v>0</v>
      </c>
      <c r="E55" s="267"/>
      <c r="F55" s="267"/>
      <c r="G55" s="571">
        <f>ROUND(當年月推移!P114,1)</f>
        <v>0</v>
      </c>
      <c r="H55" s="572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607" t="s">
        <v>32</v>
      </c>
      <c r="B56" s="608"/>
      <c r="C56" s="609"/>
      <c r="D56" s="49" t="str">
        <f>HLOOKUP(MONTH(日期!$C$2),去年月推移!$D$1:$O$200,114,TRUE)</f>
        <v>0</v>
      </c>
      <c r="E56" s="268"/>
      <c r="F56" s="268"/>
      <c r="G56" s="571">
        <f>ROUND(當年月推移!P115,1)</f>
        <v>0</v>
      </c>
      <c r="H56" s="572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607" t="s">
        <v>33</v>
      </c>
      <c r="B57" s="608"/>
      <c r="C57" s="609"/>
      <c r="D57" s="49" t="str">
        <f>HLOOKUP(MONTH(日期!$C$2),去年月推移!$D$1:$O$200,115,TRUE)</f>
        <v>0</v>
      </c>
      <c r="E57" s="268"/>
      <c r="F57" s="268"/>
      <c r="G57" s="571">
        <f>ROUND(當年月推移!P116,1)</f>
        <v>0</v>
      </c>
      <c r="H57" s="572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607" t="s">
        <v>34</v>
      </c>
      <c r="B58" s="608"/>
      <c r="C58" s="609"/>
      <c r="D58" s="49" t="str">
        <f>HLOOKUP(MONTH(日期!$C$2),去年月推移!$D$1:$O$200,116,TRUE)</f>
        <v>0</v>
      </c>
      <c r="E58" s="268"/>
      <c r="F58" s="268"/>
      <c r="G58" s="571">
        <f>ROUND(當年月推移!P117,1)</f>
        <v>0</v>
      </c>
      <c r="H58" s="572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607" t="s">
        <v>35</v>
      </c>
      <c r="B59" s="608"/>
      <c r="C59" s="609"/>
      <c r="D59" s="243" t="str">
        <f>HLOOKUP(MONTH(日期!$C$2),去年月推移!$D$1:$O$200,117,TRUE)</f>
        <v>0</v>
      </c>
      <c r="E59" s="297"/>
      <c r="F59" s="297"/>
      <c r="G59" s="571">
        <f>ROUND(當年月推移!P118,1)</f>
        <v>0</v>
      </c>
      <c r="H59" s="572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38" t="s">
        <v>30</v>
      </c>
      <c r="B60" s="539"/>
      <c r="C60" s="540"/>
      <c r="D60" s="486">
        <f>HLOOKUP(MONTH(日期!$C$2),去年月推移!$D$1:$O$200,118,TRUE)</f>
        <v>100</v>
      </c>
      <c r="E60" s="231"/>
      <c r="F60" s="231"/>
      <c r="G60" s="610">
        <f>ROUND(當年月推移!P119,1)</f>
        <v>96.4</v>
      </c>
      <c r="H60" s="611"/>
      <c r="I60" s="242">
        <f>ROUND(供應率ALL!C21,1)</f>
        <v>100</v>
      </c>
      <c r="J60" s="242">
        <f>ROUND(供應率ALL!D21,1)</f>
        <v>0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100</v>
      </c>
      <c r="N60" s="242">
        <f>ROUND(供應率ALL!H21,1)</f>
        <v>100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0</v>
      </c>
      <c r="R60" s="242">
        <f>ROUND(供應率ALL!L21,1)</f>
        <v>100</v>
      </c>
      <c r="S60" s="242">
        <f>ROUND(供應率ALL!M21,1)</f>
        <v>100</v>
      </c>
      <c r="T60" s="242">
        <f>ROUND(供應率ALL!N21,1)</f>
        <v>100</v>
      </c>
      <c r="U60" s="242">
        <f>ROUND(供應率ALL!O21,1)</f>
        <v>100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0</v>
      </c>
      <c r="Y60" s="242">
        <f>ROUND(供應率ALL!S21,1)</f>
        <v>100</v>
      </c>
      <c r="Z60" s="242">
        <f>ROUND(供應率ALL!T21,1)</f>
        <v>100</v>
      </c>
      <c r="AA60" s="242">
        <f>ROUND(供應率ALL!U21,1)</f>
        <v>100</v>
      </c>
      <c r="AB60" s="242">
        <f>ROUND(供應率ALL!V21,1)</f>
        <v>100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0</v>
      </c>
      <c r="AF60" s="242">
        <f>ROUND(供應率ALL!Z21,1)</f>
        <v>100</v>
      </c>
      <c r="AG60" s="242">
        <f>ROUND(供應率ALL!AA21,1)</f>
        <v>100</v>
      </c>
      <c r="AH60" s="242">
        <f>ROUND(供應率ALL!AB21,1)</f>
        <v>100</v>
      </c>
      <c r="AI60" s="242">
        <f>ROUND(供應率ALL!AC21,1)</f>
        <v>100</v>
      </c>
      <c r="AJ60" s="242">
        <f>ROUND(供應率ALL!AD21,1)</f>
        <v>100</v>
      </c>
      <c r="AK60" s="242">
        <f>ROUND(供應率ALL!AE21,1)</f>
        <v>100</v>
      </c>
      <c r="AL60" s="242">
        <f>ROUND(供應率ALL!AF21,1)</f>
        <v>0</v>
      </c>
      <c r="AM60" s="242">
        <f>ROUND(供應率ALL!AG21,1)</f>
        <v>100</v>
      </c>
      <c r="AN60" s="271">
        <f>ROUND(供應率ALL!AH21,1)</f>
        <v>100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469"/>
      <c r="H62" s="46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77" t="s">
        <v>1</v>
      </c>
      <c r="B63" s="578"/>
      <c r="C63" s="578"/>
      <c r="D63" s="581" t="str">
        <f>D3</f>
        <v>2025/8</v>
      </c>
      <c r="E63" s="614" t="str">
        <f>E3</f>
        <v>2026/8</v>
      </c>
      <c r="F63" s="616"/>
      <c r="G63" s="643">
        <f>YEAR(日期!C2)</f>
        <v>2026</v>
      </c>
      <c r="H63" s="644"/>
      <c r="I63" s="490" t="str">
        <f>日期!C2</f>
        <v>2026/08/01</v>
      </c>
      <c r="J63" s="490" t="str">
        <f>日期!D2</f>
        <v>2026/08/02</v>
      </c>
      <c r="K63" s="490" t="str">
        <f>日期!E2</f>
        <v>2026/08/03</v>
      </c>
      <c r="L63" s="490" t="str">
        <f>日期!F2</f>
        <v>2026/08/04</v>
      </c>
      <c r="M63" s="490" t="str">
        <f>日期!G2</f>
        <v>2026/08/05</v>
      </c>
      <c r="N63" s="490" t="str">
        <f>日期!H2</f>
        <v>2026/08/06</v>
      </c>
      <c r="O63" s="490" t="str">
        <f>日期!I2</f>
        <v>2026/08/07</v>
      </c>
      <c r="P63" s="490" t="str">
        <f>日期!J2</f>
        <v>2026/08/08</v>
      </c>
      <c r="Q63" s="490" t="str">
        <f>日期!K2</f>
        <v>2026/08/09</v>
      </c>
      <c r="R63" s="490" t="str">
        <f>日期!L2</f>
        <v>2026/08/10</v>
      </c>
      <c r="S63" s="490" t="str">
        <f>日期!M2</f>
        <v>2026/08/11</v>
      </c>
      <c r="T63" s="490" t="str">
        <f>日期!N2</f>
        <v>2026/08/12</v>
      </c>
      <c r="U63" s="490" t="str">
        <f>日期!O2</f>
        <v>2026/08/13</v>
      </c>
      <c r="V63" s="490" t="str">
        <f>日期!P2</f>
        <v>2026/08/14</v>
      </c>
      <c r="W63" s="490" t="str">
        <f>日期!Q2</f>
        <v>2026/08/15</v>
      </c>
      <c r="X63" s="490" t="str">
        <f>日期!R2</f>
        <v>2026/08/16</v>
      </c>
      <c r="Y63" s="490" t="str">
        <f>日期!S2</f>
        <v>2026/08/17</v>
      </c>
      <c r="Z63" s="490" t="str">
        <f>日期!T2</f>
        <v>2026/08/18</v>
      </c>
      <c r="AA63" s="490" t="str">
        <f>日期!U2</f>
        <v>2026/08/19</v>
      </c>
      <c r="AB63" s="490" t="str">
        <f>日期!V2</f>
        <v>2026/08/20</v>
      </c>
      <c r="AC63" s="490" t="str">
        <f>日期!W2</f>
        <v>2026/08/21</v>
      </c>
      <c r="AD63" s="490" t="str">
        <f>日期!X2</f>
        <v>2026/08/22</v>
      </c>
      <c r="AE63" s="490" t="str">
        <f>日期!Y2</f>
        <v>2026/08/23</v>
      </c>
      <c r="AF63" s="490" t="str">
        <f>日期!Z2</f>
        <v>2026/08/24</v>
      </c>
      <c r="AG63" s="490" t="str">
        <f>日期!AA2</f>
        <v>2026/08/25</v>
      </c>
      <c r="AH63" s="490" t="str">
        <f>日期!AB2</f>
        <v>2026/08/26</v>
      </c>
      <c r="AI63" s="490" t="str">
        <f>日期!AC2</f>
        <v>2026/08/27</v>
      </c>
      <c r="AJ63" s="490" t="str">
        <f>日期!AD2</f>
        <v>2026/08/28</v>
      </c>
      <c r="AK63" s="490" t="str">
        <f>日期!AE2</f>
        <v>2026/08/29</v>
      </c>
      <c r="AL63" s="490" t="str">
        <f>日期!AF2</f>
        <v>2026/08/30</v>
      </c>
      <c r="AM63" s="490" t="str">
        <f>日期!AG2</f>
        <v>2026/08/31</v>
      </c>
      <c r="AN63" s="573" t="s">
        <v>42</v>
      </c>
    </row>
    <row r="64" spans="1:41" s="14" customFormat="1" ht="22.7" customHeight="1" thickBot="1">
      <c r="A64" s="612"/>
      <c r="B64" s="613"/>
      <c r="C64" s="613"/>
      <c r="D64" s="582"/>
      <c r="E64" s="615"/>
      <c r="F64" s="617"/>
      <c r="G64" s="645" t="s">
        <v>43</v>
      </c>
      <c r="H64" s="646"/>
      <c r="I64" s="12" t="str">
        <f>日期!C3</f>
        <v>Sat</v>
      </c>
      <c r="J64" s="12" t="str">
        <f>日期!D3</f>
        <v>Sun</v>
      </c>
      <c r="K64" s="12" t="str">
        <f>日期!E3</f>
        <v>Mon</v>
      </c>
      <c r="L64" s="12" t="str">
        <f>日期!F3</f>
        <v>Tue</v>
      </c>
      <c r="M64" s="12" t="str">
        <f>日期!G3</f>
        <v>Wed</v>
      </c>
      <c r="N64" s="12" t="str">
        <f>日期!H3</f>
        <v>Thu</v>
      </c>
      <c r="O64" s="12" t="str">
        <f>日期!I3</f>
        <v>Fri</v>
      </c>
      <c r="P64" s="12" t="str">
        <f>日期!J3</f>
        <v>Sat</v>
      </c>
      <c r="Q64" s="12" t="str">
        <f>日期!K3</f>
        <v>Sun</v>
      </c>
      <c r="R64" s="12" t="str">
        <f>日期!L3</f>
        <v>Mon</v>
      </c>
      <c r="S64" s="12" t="str">
        <f>日期!M3</f>
        <v>Tue</v>
      </c>
      <c r="T64" s="12" t="str">
        <f>日期!N3</f>
        <v>Wed</v>
      </c>
      <c r="U64" s="12" t="str">
        <f>日期!O3</f>
        <v>Thu</v>
      </c>
      <c r="V64" s="12" t="str">
        <f>日期!P3</f>
        <v>Fri</v>
      </c>
      <c r="W64" s="12" t="str">
        <f>日期!Q3</f>
        <v>Sat</v>
      </c>
      <c r="X64" s="12" t="str">
        <f>日期!R3</f>
        <v>Sun</v>
      </c>
      <c r="Y64" s="12" t="str">
        <f>日期!S3</f>
        <v>Mon</v>
      </c>
      <c r="Z64" s="12" t="str">
        <f>日期!T3</f>
        <v>Tue</v>
      </c>
      <c r="AA64" s="12" t="str">
        <f>日期!U3</f>
        <v>Wed</v>
      </c>
      <c r="AB64" s="12" t="str">
        <f>日期!V3</f>
        <v>Thu</v>
      </c>
      <c r="AC64" s="12" t="str">
        <f>日期!W3</f>
        <v>Fri</v>
      </c>
      <c r="AD64" s="12" t="str">
        <f>日期!X3</f>
        <v>Sat</v>
      </c>
      <c r="AE64" s="12" t="str">
        <f>日期!Y3</f>
        <v>Sun</v>
      </c>
      <c r="AF64" s="12" t="str">
        <f>日期!Z3</f>
        <v>Mon</v>
      </c>
      <c r="AG64" s="12" t="str">
        <f>日期!AA3</f>
        <v>Tue</v>
      </c>
      <c r="AH64" s="12" t="str">
        <f>日期!AB3</f>
        <v>Wed</v>
      </c>
      <c r="AI64" s="12" t="str">
        <f>日期!AC3</f>
        <v>Thu</v>
      </c>
      <c r="AJ64" s="12" t="str">
        <f>日期!AD3</f>
        <v>Fri</v>
      </c>
      <c r="AK64" s="12" t="str">
        <f>日期!AE3</f>
        <v>Sat</v>
      </c>
      <c r="AL64" s="12" t="str">
        <f>日期!AF3</f>
        <v>Sun</v>
      </c>
      <c r="AM64" s="12" t="str">
        <f>日期!AG3</f>
        <v>Mon</v>
      </c>
      <c r="AN64" s="574"/>
    </row>
    <row r="65" spans="1:41" s="11" customFormat="1" ht="21.95" customHeight="1">
      <c r="A65" s="600" t="s">
        <v>52</v>
      </c>
      <c r="B65" s="601"/>
      <c r="C65" s="601"/>
      <c r="D65" s="313" t="str">
        <f>HLOOKUP(MONTH(日期!$C$2),去年月推移!$D$1:$O$200,122,TRUE)</f>
        <v>97.7</v>
      </c>
      <c r="E65" s="272">
        <v>98.1</v>
      </c>
      <c r="F65" s="272" t="s">
        <v>45</v>
      </c>
      <c r="G65" s="602">
        <f>ROUND(當年月推移!P124,1)</f>
        <v>97.5</v>
      </c>
      <c r="H65" s="603"/>
      <c r="I65" s="245">
        <f>ROUND(供應率!D2,1)</f>
        <v>97.2</v>
      </c>
      <c r="J65" s="245">
        <f>ROUND(供應率!E2,1)</f>
        <v>0</v>
      </c>
      <c r="K65" s="245">
        <f>ROUND(供應率!F2,1)</f>
        <v>97.2</v>
      </c>
      <c r="L65" s="245">
        <f>ROUND(供應率!G2,1)</f>
        <v>96.6</v>
      </c>
      <c r="M65" s="245">
        <f>ROUND(供應率!H2,1)</f>
        <v>96.3</v>
      </c>
      <c r="N65" s="245">
        <f>ROUND(供應率!I2,1)</f>
        <v>96.9</v>
      </c>
      <c r="O65" s="245">
        <f>ROUND(供應率!J2,1)</f>
        <v>97.2</v>
      </c>
      <c r="P65" s="245">
        <f>ROUND(供應率!K2,1)</f>
        <v>97.4</v>
      </c>
      <c r="Q65" s="245">
        <f>ROUND(供應率!L2,1)</f>
        <v>0</v>
      </c>
      <c r="R65" s="245">
        <f>ROUND(供應率!M2,1)</f>
        <v>96.6</v>
      </c>
      <c r="S65" s="245">
        <f>ROUND(供應率!N2,1)</f>
        <v>97</v>
      </c>
      <c r="T65" s="245">
        <f>ROUND(供應率!O2,1)</f>
        <v>96.9</v>
      </c>
      <c r="U65" s="245">
        <f>ROUND(供應率!P2,1)</f>
        <v>96.8</v>
      </c>
      <c r="V65" s="245">
        <f>ROUND(供應率!Q2,1)</f>
        <v>97.5</v>
      </c>
      <c r="W65" s="245">
        <f>ROUND(供應率!R2,1)</f>
        <v>97.5</v>
      </c>
      <c r="X65" s="245">
        <f>ROUND(供應率!S2,1)</f>
        <v>0</v>
      </c>
      <c r="Y65" s="245">
        <f>ROUND(供應率!T2,1)</f>
        <v>97.4</v>
      </c>
      <c r="Z65" s="245">
        <f>ROUND(供應率!U2,1)</f>
        <v>96.2</v>
      </c>
      <c r="AA65" s="245">
        <f>ROUND(供應率!V2,1)</f>
        <v>95.8</v>
      </c>
      <c r="AB65" s="245">
        <f>ROUND(供應率!W2,1)</f>
        <v>96.8</v>
      </c>
      <c r="AC65" s="245">
        <f>ROUND(供應率!X2,1)</f>
        <v>97.5</v>
      </c>
      <c r="AD65" s="245">
        <f>ROUND(供應率!Y2,1)</f>
        <v>97.3</v>
      </c>
      <c r="AE65" s="245">
        <f>ROUND(供應率!Z2,1)</f>
        <v>0</v>
      </c>
      <c r="AF65" s="245">
        <f>ROUND(供應率!AA2,1)</f>
        <v>96.5</v>
      </c>
      <c r="AG65" s="245">
        <f>ROUND(供應率!AB2,1)</f>
        <v>96.8</v>
      </c>
      <c r="AH65" s="245">
        <f>ROUND(供應率!AC2,1)</f>
        <v>97.2</v>
      </c>
      <c r="AI65" s="245">
        <f>ROUND(供應率!AD2,1)</f>
        <v>98</v>
      </c>
      <c r="AJ65" s="245">
        <f>ROUND(供應率!AE2,1)</f>
        <v>97.3</v>
      </c>
      <c r="AK65" s="245">
        <f>ROUND(供應率!AF2,1)</f>
        <v>97.6</v>
      </c>
      <c r="AL65" s="245">
        <f>ROUND(供應率!AG2,1)</f>
        <v>0</v>
      </c>
      <c r="AM65" s="245">
        <f>ROUND(供應率!AH2,1)</f>
        <v>97.8</v>
      </c>
      <c r="AN65" s="213">
        <f>ROUND(供應率!AI2,1)</f>
        <v>97</v>
      </c>
      <c r="AO65" s="55"/>
    </row>
    <row r="66" spans="1:41" s="11" customFormat="1" ht="21.95" customHeight="1">
      <c r="A66" s="553" t="s">
        <v>53</v>
      </c>
      <c r="B66" s="554"/>
      <c r="C66" s="554"/>
      <c r="D66" s="311" t="str">
        <f>HLOOKUP(MONTH(日期!$C$2),去年月推移!$D$1:$O$200,123,TRUE)</f>
        <v>98.3</v>
      </c>
      <c r="E66" s="49">
        <v>98.1</v>
      </c>
      <c r="F66" s="49" t="s">
        <v>45</v>
      </c>
      <c r="G66" s="571">
        <f>ROUND(當年月推移!P125,1)</f>
        <v>98.1</v>
      </c>
      <c r="H66" s="572"/>
      <c r="I66" s="47">
        <f>ROUND(供應率!D3,1)</f>
        <v>97.3</v>
      </c>
      <c r="J66" s="47">
        <f>ROUND(供應率!E3,1)</f>
        <v>0</v>
      </c>
      <c r="K66" s="47">
        <f>ROUND(供應率!F3,1)</f>
        <v>98.3</v>
      </c>
      <c r="L66" s="47">
        <f>ROUND(供應率!G3,1)</f>
        <v>97.9</v>
      </c>
      <c r="M66" s="47">
        <f>ROUND(供應率!H3,1)</f>
        <v>97.7</v>
      </c>
      <c r="N66" s="47">
        <f>ROUND(供應率!I3,1)</f>
        <v>97.5</v>
      </c>
      <c r="O66" s="47">
        <f>ROUND(供應率!J3,1)</f>
        <v>98.3</v>
      </c>
      <c r="P66" s="47">
        <f>ROUND(供應率!K3,1)</f>
        <v>97.6</v>
      </c>
      <c r="Q66" s="47">
        <f>ROUND(供應率!L3,1)</f>
        <v>0</v>
      </c>
      <c r="R66" s="47">
        <f>ROUND(供應率!M3,1)</f>
        <v>98.1</v>
      </c>
      <c r="S66" s="47">
        <f>ROUND(供應率!N3,1)</f>
        <v>98.7</v>
      </c>
      <c r="T66" s="47">
        <f>ROUND(供應率!O3,1)</f>
        <v>98.5</v>
      </c>
      <c r="U66" s="47">
        <f>ROUND(供應率!P3,1)</f>
        <v>98</v>
      </c>
      <c r="V66" s="47">
        <f>ROUND(供應率!Q3,1)</f>
        <v>97.9</v>
      </c>
      <c r="W66" s="47">
        <f>ROUND(供應率!R3,1)</f>
        <v>98.1</v>
      </c>
      <c r="X66" s="47">
        <f>ROUND(供應率!S3,1)</f>
        <v>0</v>
      </c>
      <c r="Y66" s="47">
        <f>ROUND(供應率!T3,1)</f>
        <v>98.3</v>
      </c>
      <c r="Z66" s="47">
        <f>ROUND(供應率!U3,1)</f>
        <v>98.1</v>
      </c>
      <c r="AA66" s="47">
        <f>ROUND(供應率!V3,1)</f>
        <v>98.6</v>
      </c>
      <c r="AB66" s="47">
        <f>ROUND(供應率!W3,1)</f>
        <v>98.3</v>
      </c>
      <c r="AC66" s="47">
        <f>ROUND(供應率!X3,1)</f>
        <v>97.9</v>
      </c>
      <c r="AD66" s="47">
        <f>ROUND(供應率!Y3,1)</f>
        <v>98.4</v>
      </c>
      <c r="AE66" s="47">
        <f>ROUND(供應率!Z3,1)</f>
        <v>0</v>
      </c>
      <c r="AF66" s="47">
        <f>ROUND(供應率!AA3,1)</f>
        <v>97.6</v>
      </c>
      <c r="AG66" s="47">
        <f>ROUND(供應率!AB3,1)</f>
        <v>97.9</v>
      </c>
      <c r="AH66" s="47">
        <f>ROUND(供應率!AC3,1)</f>
        <v>97.4</v>
      </c>
      <c r="AI66" s="47">
        <f>ROUND(供應率!AD3,1)</f>
        <v>97.5</v>
      </c>
      <c r="AJ66" s="47">
        <f>ROUND(供應率!AE3,1)</f>
        <v>97.8</v>
      </c>
      <c r="AK66" s="47">
        <f>ROUND(供應率!AF3,1)</f>
        <v>96.9</v>
      </c>
      <c r="AL66" s="47">
        <f>ROUND(供應率!AG3,1)</f>
        <v>0</v>
      </c>
      <c r="AM66" s="47">
        <f>ROUND(供應率!AH3,1)</f>
        <v>97.9</v>
      </c>
      <c r="AN66" s="214">
        <f>ROUND(供應率!AI3,1)</f>
        <v>98</v>
      </c>
      <c r="AO66" s="55"/>
    </row>
    <row r="67" spans="1:41" s="11" customFormat="1" ht="21.95" customHeight="1">
      <c r="A67" s="553" t="s">
        <v>54</v>
      </c>
      <c r="B67" s="554"/>
      <c r="C67" s="554"/>
      <c r="D67" s="311" t="str">
        <f>HLOOKUP(MONTH(日期!$C$2),去年月推移!$D$1:$O$200,124,TRUE)</f>
        <v>99.1</v>
      </c>
      <c r="E67" s="49">
        <v>99.2</v>
      </c>
      <c r="F67" s="49" t="s">
        <v>45</v>
      </c>
      <c r="G67" s="571">
        <f>ROUND(當年月推移!P126,1)</f>
        <v>99</v>
      </c>
      <c r="H67" s="572"/>
      <c r="I67" s="47">
        <f>ROUND(供應率!D4,1)</f>
        <v>98.7</v>
      </c>
      <c r="J67" s="47">
        <f>ROUND(供應率!E4,1)</f>
        <v>0</v>
      </c>
      <c r="K67" s="47">
        <f>ROUND(供應率!F4,1)</f>
        <v>99.1</v>
      </c>
      <c r="L67" s="47">
        <f>ROUND(供應率!G4,1)</f>
        <v>98.3</v>
      </c>
      <c r="M67" s="47">
        <f>ROUND(供應率!H4,1)</f>
        <v>98.7</v>
      </c>
      <c r="N67" s="47">
        <f>ROUND(供應率!I4,1)</f>
        <v>98.8</v>
      </c>
      <c r="O67" s="47">
        <f>ROUND(供應率!J4,1)</f>
        <v>99</v>
      </c>
      <c r="P67" s="47">
        <f>ROUND(供應率!K4,1)</f>
        <v>99.5</v>
      </c>
      <c r="Q67" s="47">
        <f>ROUND(供應率!L4,1)</f>
        <v>0</v>
      </c>
      <c r="R67" s="47">
        <f>ROUND(供應率!M4,1)</f>
        <v>99.3</v>
      </c>
      <c r="S67" s="47">
        <f>ROUND(供應率!N4,1)</f>
        <v>99</v>
      </c>
      <c r="T67" s="47">
        <f>ROUND(供應率!O4,1)</f>
        <v>99.5</v>
      </c>
      <c r="U67" s="47">
        <f>ROUND(供應率!P4,1)</f>
        <v>99.5</v>
      </c>
      <c r="V67" s="47">
        <f>ROUND(供應率!Q4,1)</f>
        <v>99.7</v>
      </c>
      <c r="W67" s="47">
        <f>ROUND(供應率!R4,1)</f>
        <v>99.5</v>
      </c>
      <c r="X67" s="47">
        <f>ROUND(供應率!S4,1)</f>
        <v>0</v>
      </c>
      <c r="Y67" s="47">
        <f>ROUND(供應率!T4,1)</f>
        <v>99.7</v>
      </c>
      <c r="Z67" s="47">
        <f>ROUND(供應率!U4,1)</f>
        <v>99.8</v>
      </c>
      <c r="AA67" s="47">
        <f>ROUND(供應率!V4,1)</f>
        <v>99.2</v>
      </c>
      <c r="AB67" s="47">
        <f>ROUND(供應率!W4,1)</f>
        <v>99.1</v>
      </c>
      <c r="AC67" s="47">
        <f>ROUND(供應率!X4,1)</f>
        <v>99.4</v>
      </c>
      <c r="AD67" s="47">
        <f>ROUND(供應率!Y4,1)</f>
        <v>99.4</v>
      </c>
      <c r="AE67" s="47">
        <f>ROUND(供應率!Z4,1)</f>
        <v>0</v>
      </c>
      <c r="AF67" s="47">
        <f>ROUND(供應率!AA4,1)</f>
        <v>99.2</v>
      </c>
      <c r="AG67" s="47">
        <f>ROUND(供應率!AB4,1)</f>
        <v>99.2</v>
      </c>
      <c r="AH67" s="47">
        <f>ROUND(供應率!AC4,1)</f>
        <v>99.3</v>
      </c>
      <c r="AI67" s="47">
        <f>ROUND(供應率!AD4,1)</f>
        <v>99.4</v>
      </c>
      <c r="AJ67" s="47">
        <f>ROUND(供應率!AE4,1)</f>
        <v>99.3</v>
      </c>
      <c r="AK67" s="47">
        <f>ROUND(供應率!AF4,1)</f>
        <v>99.2</v>
      </c>
      <c r="AL67" s="47">
        <f>ROUND(供應率!AG4,1)</f>
        <v>0</v>
      </c>
      <c r="AM67" s="47">
        <f>ROUND(供應率!AH4,1)</f>
        <v>99.6</v>
      </c>
      <c r="AN67" s="214">
        <f>ROUND(供應率!AI4,1)</f>
        <v>99.2</v>
      </c>
      <c r="AO67" s="55"/>
    </row>
    <row r="68" spans="1:41" s="11" customFormat="1" ht="21.95" customHeight="1">
      <c r="A68" s="588" t="s">
        <v>55</v>
      </c>
      <c r="B68" s="589"/>
      <c r="C68" s="590"/>
      <c r="D68" s="319" t="str">
        <f>HLOOKUP(MONTH(日期!$C$2),去年月推移!$D$1:$O$200,125,TRUE)</f>
        <v>98.1</v>
      </c>
      <c r="E68" s="56">
        <v>98.2</v>
      </c>
      <c r="F68" s="56" t="s">
        <v>45</v>
      </c>
      <c r="G68" s="591">
        <f>ROUND(當年月推移!P127,1)</f>
        <v>97.9</v>
      </c>
      <c r="H68" s="592"/>
      <c r="I68" s="57">
        <f>ROUND(供應率!D5,1)</f>
        <v>97.5</v>
      </c>
      <c r="J68" s="57">
        <f>ROUND(供應率!E5,1)</f>
        <v>0</v>
      </c>
      <c r="K68" s="57">
        <f>ROUND(供應率!F5,1)</f>
        <v>97.9</v>
      </c>
      <c r="L68" s="57">
        <f>ROUND(供應率!G5,1)</f>
        <v>97.4</v>
      </c>
      <c r="M68" s="57">
        <f>ROUND(供應率!H5,1)</f>
        <v>97.2</v>
      </c>
      <c r="N68" s="57">
        <f>ROUND(供應率!I5,1)</f>
        <v>97.4</v>
      </c>
      <c r="O68" s="57">
        <f>ROUND(供應率!J5,1)</f>
        <v>97.9</v>
      </c>
      <c r="P68" s="57">
        <f>ROUND(供應率!K5,1)</f>
        <v>97.8</v>
      </c>
      <c r="Q68" s="57">
        <f>ROUND(供應率!L5,1)</f>
        <v>0</v>
      </c>
      <c r="R68" s="57">
        <f>ROUND(供應率!M5,1)</f>
        <v>97.6</v>
      </c>
      <c r="S68" s="57">
        <f>ROUND(供應率!N5,1)</f>
        <v>98</v>
      </c>
      <c r="T68" s="57">
        <f>ROUND(供應率!O5,1)</f>
        <v>97.9</v>
      </c>
      <c r="U68" s="57">
        <f>ROUND(供應率!P5,1)</f>
        <v>97.7</v>
      </c>
      <c r="V68" s="57">
        <f>ROUND(供應率!Q5,1)</f>
        <v>97.9</v>
      </c>
      <c r="W68" s="57">
        <f>ROUND(供應率!R5,1)</f>
        <v>98</v>
      </c>
      <c r="X68" s="57">
        <f>ROUND(供應率!S5,1)</f>
        <v>0</v>
      </c>
      <c r="Y68" s="57">
        <f>ROUND(供應率!T5,1)</f>
        <v>98.1</v>
      </c>
      <c r="Z68" s="57">
        <f>ROUND(供應率!U5,1)</f>
        <v>97.5</v>
      </c>
      <c r="AA68" s="57">
        <f>ROUND(供應率!V5,1)</f>
        <v>97.4</v>
      </c>
      <c r="AB68" s="57">
        <f>ROUND(供應率!W5,1)</f>
        <v>97.7</v>
      </c>
      <c r="AC68" s="57">
        <f>ROUND(供應率!X5,1)</f>
        <v>97.9</v>
      </c>
      <c r="AD68" s="57">
        <f>ROUND(供應率!Y5,1)</f>
        <v>98.1</v>
      </c>
      <c r="AE68" s="57">
        <f>ROUND(供應率!Z5,1)</f>
        <v>0</v>
      </c>
      <c r="AF68" s="57">
        <f>ROUND(供應率!AA5,1)</f>
        <v>97.3</v>
      </c>
      <c r="AG68" s="57">
        <f>ROUND(供應率!AB5,1)</f>
        <v>97.6</v>
      </c>
      <c r="AH68" s="57">
        <f>ROUND(供應率!AC5,1)</f>
        <v>97.5</v>
      </c>
      <c r="AI68" s="57">
        <f>ROUND(供應率!AD5,1)</f>
        <v>97.9</v>
      </c>
      <c r="AJ68" s="57">
        <f>ROUND(供應率!AE5,1)</f>
        <v>97.8</v>
      </c>
      <c r="AK68" s="57">
        <f>ROUND(供應率!AF5,1)</f>
        <v>97.6</v>
      </c>
      <c r="AL68" s="57">
        <f>ROUND(供應率!AG5,1)</f>
        <v>0</v>
      </c>
      <c r="AM68" s="57">
        <f>ROUND(供應率!AH5,1)</f>
        <v>98.1</v>
      </c>
      <c r="AN68" s="216">
        <f>ROUND(供應率!AI5,1)</f>
        <v>97.7</v>
      </c>
      <c r="AO68" s="55"/>
    </row>
    <row r="69" spans="1:41" s="11" customFormat="1" ht="21.95" customHeight="1">
      <c r="A69" s="553" t="s">
        <v>12</v>
      </c>
      <c r="B69" s="554"/>
      <c r="C69" s="554"/>
      <c r="D69" s="311" t="str">
        <f>HLOOKUP(MONTH(日期!$C$2),去年月推移!$D$1:$O$200,126,TRUE)</f>
        <v>99.9</v>
      </c>
      <c r="E69" s="49">
        <v>99.5</v>
      </c>
      <c r="F69" s="49" t="s">
        <v>45</v>
      </c>
      <c r="G69" s="571">
        <f>ROUND(當年月推移!P128,1)</f>
        <v>99.9</v>
      </c>
      <c r="H69" s="572"/>
      <c r="I69" s="47">
        <f>ROUND(供應率!D7,1)</f>
        <v>98.6</v>
      </c>
      <c r="J69" s="47">
        <f>ROUND(供應率!E7,1)</f>
        <v>0</v>
      </c>
      <c r="K69" s="47">
        <f>ROUND(供應率!F7,1)</f>
        <v>95.1</v>
      </c>
      <c r="L69" s="47">
        <f>ROUND(供應率!G7,1)</f>
        <v>98</v>
      </c>
      <c r="M69" s="47">
        <f>ROUND(供應率!H7,1)</f>
        <v>97.3</v>
      </c>
      <c r="N69" s="47">
        <f>ROUND(供應率!I7,1)</f>
        <v>97.3</v>
      </c>
      <c r="O69" s="47">
        <f>ROUND(供應率!J7,1)</f>
        <v>99.7</v>
      </c>
      <c r="P69" s="47">
        <f>ROUND(供應率!K7,1)</f>
        <v>100</v>
      </c>
      <c r="Q69" s="47">
        <f>ROUND(供應率!L7,1)</f>
        <v>0</v>
      </c>
      <c r="R69" s="47">
        <f>ROUND(供應率!M7,1)</f>
        <v>100</v>
      </c>
      <c r="S69" s="47">
        <f>ROUND(供應率!N7,1)</f>
        <v>99.4</v>
      </c>
      <c r="T69" s="47">
        <f>ROUND(供應率!O7,1)</f>
        <v>95</v>
      </c>
      <c r="U69" s="47">
        <f>ROUND(供應率!P7,1)</f>
        <v>97.8</v>
      </c>
      <c r="V69" s="47">
        <f>ROUND(供應率!Q7,1)</f>
        <v>99.1</v>
      </c>
      <c r="W69" s="47">
        <f>ROUND(供應率!R7,1)</f>
        <v>70.599999999999994</v>
      </c>
      <c r="X69" s="47">
        <f>ROUND(供應率!S7,1)</f>
        <v>0</v>
      </c>
      <c r="Y69" s="47">
        <f>ROUND(供應率!T7,1)</f>
        <v>100</v>
      </c>
      <c r="Z69" s="47">
        <f>ROUND(供應率!U7,1)</f>
        <v>99.6</v>
      </c>
      <c r="AA69" s="47">
        <f>ROUND(供應率!V7,1)</f>
        <v>100</v>
      </c>
      <c r="AB69" s="47">
        <f>ROUND(供應率!W7,1)</f>
        <v>100</v>
      </c>
      <c r="AC69" s="47">
        <f>ROUND(供應率!X7,1)</f>
        <v>100</v>
      </c>
      <c r="AD69" s="47">
        <f>ROUND(供應率!Y7,1)</f>
        <v>100</v>
      </c>
      <c r="AE69" s="47">
        <f>ROUND(供應率!Z7,1)</f>
        <v>0</v>
      </c>
      <c r="AF69" s="47">
        <f>ROUND(供應率!AA7,1)</f>
        <v>100</v>
      </c>
      <c r="AG69" s="47">
        <f>ROUND(供應率!AB7,1)</f>
        <v>100</v>
      </c>
      <c r="AH69" s="47">
        <f>ROUND(供應率!AC7,1)</f>
        <v>100</v>
      </c>
      <c r="AI69" s="47">
        <f>ROUND(供應率!AD7,1)</f>
        <v>100</v>
      </c>
      <c r="AJ69" s="47">
        <f>ROUND(供應率!AE7,1)</f>
        <v>100</v>
      </c>
      <c r="AK69" s="47">
        <f>ROUND(供應率!AF7,1)</f>
        <v>100</v>
      </c>
      <c r="AL69" s="47">
        <f>ROUND(供應率!AG7,1)</f>
        <v>0</v>
      </c>
      <c r="AM69" s="47">
        <f>ROUND(供應率!AH7,1)</f>
        <v>100</v>
      </c>
      <c r="AN69" s="214">
        <f>ROUND(供應率!AI7,1)</f>
        <v>97.9</v>
      </c>
      <c r="AO69" s="55"/>
    </row>
    <row r="70" spans="1:41" s="11" customFormat="1" ht="21.95" customHeight="1">
      <c r="A70" s="553" t="s">
        <v>13</v>
      </c>
      <c r="B70" s="554"/>
      <c r="C70" s="554"/>
      <c r="D70" s="311" t="str">
        <f>HLOOKUP(MONTH(日期!$C$2),去年月推移!$D$1:$O$200,127,TRUE)</f>
        <v>91.7</v>
      </c>
      <c r="E70" s="49">
        <v>80</v>
      </c>
      <c r="F70" s="49" t="s">
        <v>45</v>
      </c>
      <c r="G70" s="571">
        <f>ROUND(當年月推移!P129,1)</f>
        <v>83.1</v>
      </c>
      <c r="H70" s="572"/>
      <c r="I70" s="47">
        <f>ROUND(供應率!D8,1)</f>
        <v>33.299999999999997</v>
      </c>
      <c r="J70" s="47">
        <f>ROUND(供應率!E8,1)</f>
        <v>0</v>
      </c>
      <c r="K70" s="47">
        <f>ROUND(供應率!F8,1)</f>
        <v>0</v>
      </c>
      <c r="L70" s="47">
        <f>ROUND(供應率!G8,1)</f>
        <v>75</v>
      </c>
      <c r="M70" s="47">
        <f>ROUND(供應率!H8,1)</f>
        <v>33.299999999999997</v>
      </c>
      <c r="N70" s="47">
        <f>ROUND(供應率!I8,1)</f>
        <v>100</v>
      </c>
      <c r="O70" s="47">
        <f>ROUND(供應率!J8,1)</f>
        <v>25</v>
      </c>
      <c r="P70" s="47">
        <f>ROUND(供應率!K8,1)</f>
        <v>0</v>
      </c>
      <c r="Q70" s="47">
        <f>ROUND(供應率!L8,1)</f>
        <v>0</v>
      </c>
      <c r="R70" s="47">
        <f>ROUND(供應率!M8,1)</f>
        <v>66.599999999999994</v>
      </c>
      <c r="S70" s="47">
        <f>ROUND(供應率!N8,1)</f>
        <v>100</v>
      </c>
      <c r="T70" s="47">
        <f>ROUND(供應率!O8,1)</f>
        <v>100</v>
      </c>
      <c r="U70" s="47">
        <f>ROUND(供應率!P8,1)</f>
        <v>50</v>
      </c>
      <c r="V70" s="47">
        <f>ROUND(供應率!Q8,1)</f>
        <v>50</v>
      </c>
      <c r="W70" s="47">
        <f>ROUND(供應率!R8,1)</f>
        <v>0</v>
      </c>
      <c r="X70" s="47">
        <f>ROUND(供應率!S8,1)</f>
        <v>0</v>
      </c>
      <c r="Y70" s="47">
        <f>ROUND(供應率!T8,1)</f>
        <v>0</v>
      </c>
      <c r="Z70" s="47">
        <f>ROUND(供應率!U8,1)</f>
        <v>33.299999999999997</v>
      </c>
      <c r="AA70" s="47">
        <f>ROUND(供應率!V8,1)</f>
        <v>50</v>
      </c>
      <c r="AB70" s="47">
        <f>ROUND(供應率!W8,1)</f>
        <v>100</v>
      </c>
      <c r="AC70" s="47">
        <f>ROUND(供應率!X8,1)</f>
        <v>20</v>
      </c>
      <c r="AD70" s="47">
        <f>ROUND(供應率!Y8,1)</f>
        <v>66.599999999999994</v>
      </c>
      <c r="AE70" s="47">
        <f>ROUND(供應率!Z8,1)</f>
        <v>0</v>
      </c>
      <c r="AF70" s="47">
        <f>ROUND(供應率!AA8,1)</f>
        <v>0</v>
      </c>
      <c r="AG70" s="47">
        <f>ROUND(供應率!AB8,1)</f>
        <v>50</v>
      </c>
      <c r="AH70" s="47">
        <f>ROUND(供應率!AC8,1)</f>
        <v>60</v>
      </c>
      <c r="AI70" s="47">
        <f>ROUND(供應率!AD8,1)</f>
        <v>50</v>
      </c>
      <c r="AJ70" s="47">
        <f>ROUND(供應率!AE8,1)</f>
        <v>100</v>
      </c>
      <c r="AK70" s="47">
        <f>ROUND(供應率!AF8,1)</f>
        <v>100</v>
      </c>
      <c r="AL70" s="47">
        <f>ROUND(供應率!AG8,1)</f>
        <v>0</v>
      </c>
      <c r="AM70" s="47">
        <f>ROUND(供應率!AH8,1)</f>
        <v>0</v>
      </c>
      <c r="AN70" s="214">
        <f>ROUND(供應率!AI8,1)</f>
        <v>54.5</v>
      </c>
      <c r="AO70" s="55"/>
    </row>
    <row r="71" spans="1:41" s="11" customFormat="1" ht="21.75" customHeight="1">
      <c r="A71" s="553" t="s">
        <v>14</v>
      </c>
      <c r="B71" s="554"/>
      <c r="C71" s="554"/>
      <c r="D71" s="311" t="str">
        <f>HLOOKUP(MONTH(日期!$C$2),去年月推移!$D$1:$O$200,128,TRUE)</f>
        <v>99.4</v>
      </c>
      <c r="E71" s="49">
        <v>99.2</v>
      </c>
      <c r="F71" s="49" t="s">
        <v>45</v>
      </c>
      <c r="G71" s="571">
        <f>ROUND(當年月推移!P130,1)</f>
        <v>99.4</v>
      </c>
      <c r="H71" s="572"/>
      <c r="I71" s="47">
        <f>ROUND(供應率!D9,1)</f>
        <v>99.7</v>
      </c>
      <c r="J71" s="47">
        <f>ROUND(供應率!E9,1)</f>
        <v>0</v>
      </c>
      <c r="K71" s="47">
        <f>ROUND(供應率!F9,1)</f>
        <v>99.3</v>
      </c>
      <c r="L71" s="47">
        <f>ROUND(供應率!G9,1)</f>
        <v>98.2</v>
      </c>
      <c r="M71" s="47">
        <f>ROUND(供應率!H9,1)</f>
        <v>98.8</v>
      </c>
      <c r="N71" s="47">
        <f>ROUND(供應率!I9,1)</f>
        <v>98.4</v>
      </c>
      <c r="O71" s="47">
        <f>ROUND(供應率!J9,1)</f>
        <v>99.1</v>
      </c>
      <c r="P71" s="47">
        <f>ROUND(供應率!K9,1)</f>
        <v>98.9</v>
      </c>
      <c r="Q71" s="47">
        <f>ROUND(供應率!L9,1)</f>
        <v>0</v>
      </c>
      <c r="R71" s="47">
        <f>ROUND(供應率!M9,1)</f>
        <v>98.2</v>
      </c>
      <c r="S71" s="47">
        <f>ROUND(供應率!N9,1)</f>
        <v>99.2</v>
      </c>
      <c r="T71" s="47">
        <f>ROUND(供應率!O9,1)</f>
        <v>99.4</v>
      </c>
      <c r="U71" s="47">
        <f>ROUND(供應率!P9,1)</f>
        <v>99.3</v>
      </c>
      <c r="V71" s="47">
        <f>ROUND(供應率!Q9,1)</f>
        <v>99.6</v>
      </c>
      <c r="W71" s="47">
        <f>ROUND(供應率!R9,1)</f>
        <v>99.7</v>
      </c>
      <c r="X71" s="47">
        <f>ROUND(供應率!S9,1)</f>
        <v>0</v>
      </c>
      <c r="Y71" s="47">
        <f>ROUND(供應率!T9,1)</f>
        <v>99.5</v>
      </c>
      <c r="Z71" s="47">
        <f>ROUND(供應率!U9,1)</f>
        <v>99.6</v>
      </c>
      <c r="AA71" s="47">
        <f>ROUND(供應率!V9,1)</f>
        <v>99.5</v>
      </c>
      <c r="AB71" s="47">
        <f>ROUND(供應率!W9,1)</f>
        <v>99.7</v>
      </c>
      <c r="AC71" s="47">
        <f>ROUND(供應率!X9,1)</f>
        <v>99.5</v>
      </c>
      <c r="AD71" s="47">
        <f>ROUND(供應率!Y9,1)</f>
        <v>99.9</v>
      </c>
      <c r="AE71" s="47">
        <f>ROUND(供應率!Z9,1)</f>
        <v>0</v>
      </c>
      <c r="AF71" s="47">
        <f>ROUND(供應率!AA9,1)</f>
        <v>99.7</v>
      </c>
      <c r="AG71" s="47">
        <f>ROUND(供應率!AB9,1)</f>
        <v>99.7</v>
      </c>
      <c r="AH71" s="47">
        <f>ROUND(供應率!AC9,1)</f>
        <v>98.8</v>
      </c>
      <c r="AI71" s="47">
        <f>ROUND(供應率!AD9,1)</f>
        <v>99.1</v>
      </c>
      <c r="AJ71" s="47">
        <f>ROUND(供應率!AE9,1)</f>
        <v>99.7</v>
      </c>
      <c r="AK71" s="47">
        <f>ROUND(供應率!AF9,1)</f>
        <v>99.4</v>
      </c>
      <c r="AL71" s="47">
        <f>ROUND(供應率!AG9,1)</f>
        <v>0</v>
      </c>
      <c r="AM71" s="47">
        <f>ROUND(供應率!AH9,1)</f>
        <v>99.5</v>
      </c>
      <c r="AN71" s="214">
        <f>ROUND(供應率!AI9,1)</f>
        <v>99.3</v>
      </c>
      <c r="AO71" s="55"/>
    </row>
    <row r="72" spans="1:41" s="11" customFormat="1" ht="21.95" customHeight="1">
      <c r="A72" s="553" t="s">
        <v>56</v>
      </c>
      <c r="B72" s="554"/>
      <c r="C72" s="554"/>
      <c r="D72" s="311">
        <f>HLOOKUP(MONTH(日期!$C$2),[2]去年月推移!$D$1:$O$200,129,TRUE)</f>
        <v>0</v>
      </c>
      <c r="E72" s="49">
        <v>94.5</v>
      </c>
      <c r="F72" s="49" t="s">
        <v>45</v>
      </c>
      <c r="G72" s="571">
        <f>ROUND(當年月推移!P131,1)</f>
        <v>93.3</v>
      </c>
      <c r="H72" s="572"/>
      <c r="I72" s="47">
        <f>ROUND(供應率!D22,1)</f>
        <v>95.9</v>
      </c>
      <c r="J72" s="47">
        <f>ROUND(供應率!E22,1)</f>
        <v>0</v>
      </c>
      <c r="K72" s="47">
        <f>ROUND(供應率!F22,1)</f>
        <v>94.2</v>
      </c>
      <c r="L72" s="47">
        <f>ROUND(供應率!G22,1)</f>
        <v>90.6</v>
      </c>
      <c r="M72" s="47">
        <f>ROUND(供應率!H22,1)</f>
        <v>87.7</v>
      </c>
      <c r="N72" s="47">
        <f>ROUND(供應率!I22,1)</f>
        <v>86.4</v>
      </c>
      <c r="O72" s="47">
        <f>ROUND(供應率!J22,1)</f>
        <v>86.2</v>
      </c>
      <c r="P72" s="47">
        <f>ROUND(供應率!K22,1)</f>
        <v>91.1</v>
      </c>
      <c r="Q72" s="47">
        <f>ROUND(供應率!L22,1)</f>
        <v>0</v>
      </c>
      <c r="R72" s="47">
        <f>ROUND(供應率!M22,1)</f>
        <v>88.7</v>
      </c>
      <c r="S72" s="47">
        <f>ROUND(供應率!N22,1)</f>
        <v>88</v>
      </c>
      <c r="T72" s="47">
        <f>ROUND(供應率!O22,1)</f>
        <v>90.4</v>
      </c>
      <c r="U72" s="47">
        <f>ROUND(供應率!P22,1)</f>
        <v>90.1</v>
      </c>
      <c r="V72" s="47">
        <f>ROUND(供應率!Q22,1)</f>
        <v>96.4</v>
      </c>
      <c r="W72" s="47">
        <f>ROUND(供應率!R22,1)</f>
        <v>95.7</v>
      </c>
      <c r="X72" s="47">
        <f>ROUND(供應率!S22,1)</f>
        <v>0</v>
      </c>
      <c r="Y72" s="47">
        <f>ROUND(供應率!T22,1)</f>
        <v>91</v>
      </c>
      <c r="Z72" s="47">
        <f>ROUND(供應率!U22,1)</f>
        <v>89.2</v>
      </c>
      <c r="AA72" s="47">
        <f>ROUND(供應率!V22,1)</f>
        <v>93.5</v>
      </c>
      <c r="AB72" s="47">
        <f>ROUND(供應率!W22,1)</f>
        <v>95.4</v>
      </c>
      <c r="AC72" s="47">
        <f>ROUND(供應率!X22,1)</f>
        <v>93.7</v>
      </c>
      <c r="AD72" s="47">
        <f>ROUND(供應率!Y22,1)</f>
        <v>93.9</v>
      </c>
      <c r="AE72" s="47">
        <f>ROUND(供應率!Z22,1)</f>
        <v>0</v>
      </c>
      <c r="AF72" s="47">
        <f>ROUND(供應率!AA22,1)</f>
        <v>95.4</v>
      </c>
      <c r="AG72" s="47">
        <f>ROUND(供應率!AB22,1)</f>
        <v>95.6</v>
      </c>
      <c r="AH72" s="47">
        <f>ROUND(供應率!AC22,1)</f>
        <v>98.2</v>
      </c>
      <c r="AI72" s="47">
        <f>ROUND(供應率!AD22,1)</f>
        <v>94</v>
      </c>
      <c r="AJ72" s="47">
        <f>ROUND(供應率!AE22,1)</f>
        <v>97.2</v>
      </c>
      <c r="AK72" s="47">
        <f>ROUND(供應率!AF22,1)</f>
        <v>97</v>
      </c>
      <c r="AL72" s="47">
        <f>ROUND(供應率!AG22,1)</f>
        <v>0</v>
      </c>
      <c r="AM72" s="47">
        <f>ROUND(供應率!AH22,1)</f>
        <v>96.8</v>
      </c>
      <c r="AN72" s="214">
        <f>ROUND(供應率!AI22,1)</f>
        <v>92.9</v>
      </c>
      <c r="AO72" s="55"/>
    </row>
    <row r="73" spans="1:41" s="11" customFormat="1" ht="21.95" customHeight="1" thickBot="1">
      <c r="A73" s="598" t="s">
        <v>16</v>
      </c>
      <c r="B73" s="599"/>
      <c r="C73" s="599"/>
      <c r="D73" s="320" t="str">
        <f>HLOOKUP(MONTH(日期!$C$2),去年月推移!$D$1:$O$200,130,TRUE)</f>
        <v>98.6</v>
      </c>
      <c r="E73" s="58">
        <v>97</v>
      </c>
      <c r="F73" s="58" t="s">
        <v>45</v>
      </c>
      <c r="G73" s="567">
        <f>ROUND(當年月推移!P132,1)</f>
        <v>98.8</v>
      </c>
      <c r="H73" s="568"/>
      <c r="I73" s="59">
        <f>ROUND(供應率!D11,1)</f>
        <v>99.1</v>
      </c>
      <c r="J73" s="59">
        <f>ROUND(供應率!E11,1)</f>
        <v>0</v>
      </c>
      <c r="K73" s="59">
        <f>ROUND(供應率!F11,1)</f>
        <v>99.5</v>
      </c>
      <c r="L73" s="59">
        <f>ROUND(供應率!G11,1)</f>
        <v>98.9</v>
      </c>
      <c r="M73" s="59">
        <f>ROUND(供應率!H11,1)</f>
        <v>98.4</v>
      </c>
      <c r="N73" s="59">
        <f>ROUND(供應率!I11,1)</f>
        <v>100</v>
      </c>
      <c r="O73" s="59">
        <f>ROUND(供應率!J11,1)</f>
        <v>99.7</v>
      </c>
      <c r="P73" s="59">
        <f>ROUND(供應率!K11,1)</f>
        <v>99.7</v>
      </c>
      <c r="Q73" s="59">
        <f>ROUND(供應率!L11,1)</f>
        <v>0</v>
      </c>
      <c r="R73" s="59">
        <f>ROUND(供應率!M11,1)</f>
        <v>99.6</v>
      </c>
      <c r="S73" s="59">
        <f>ROUND(供應率!N11,1)</f>
        <v>99.4</v>
      </c>
      <c r="T73" s="59">
        <f>ROUND(供應率!O11,1)</f>
        <v>100</v>
      </c>
      <c r="U73" s="59">
        <f>ROUND(供應率!P11,1)</f>
        <v>99.2</v>
      </c>
      <c r="V73" s="59">
        <f>ROUND(供應率!Q11,1)</f>
        <v>99.2</v>
      </c>
      <c r="W73" s="59">
        <f>ROUND(供應率!R11,1)</f>
        <v>99.4</v>
      </c>
      <c r="X73" s="59">
        <f>ROUND(供應率!S11,1)</f>
        <v>0</v>
      </c>
      <c r="Y73" s="59">
        <f>ROUND(供應率!T11,1)</f>
        <v>99.5</v>
      </c>
      <c r="Z73" s="59">
        <f>ROUND(供應率!U11,1)</f>
        <v>99.2</v>
      </c>
      <c r="AA73" s="59">
        <f>ROUND(供應率!V11,1)</f>
        <v>100</v>
      </c>
      <c r="AB73" s="59">
        <f>ROUND(供應率!W11,1)</f>
        <v>99.7</v>
      </c>
      <c r="AC73" s="59">
        <f>ROUND(供應率!X11,1)</f>
        <v>100</v>
      </c>
      <c r="AD73" s="59">
        <f>ROUND(供應率!Y11,1)</f>
        <v>100</v>
      </c>
      <c r="AE73" s="59">
        <f>ROUND(供應率!Z11,1)</f>
        <v>0</v>
      </c>
      <c r="AF73" s="59">
        <f>ROUND(供應率!AA11,1)</f>
        <v>99.6</v>
      </c>
      <c r="AG73" s="59">
        <f>ROUND(供應率!AB11,1)</f>
        <v>100</v>
      </c>
      <c r="AH73" s="59">
        <f>ROUND(供應率!AC11,1)</f>
        <v>100</v>
      </c>
      <c r="AI73" s="59">
        <f>ROUND(供應率!AD11,1)</f>
        <v>99.7</v>
      </c>
      <c r="AJ73" s="59">
        <f>ROUND(供應率!AE11,1)</f>
        <v>99.7</v>
      </c>
      <c r="AK73" s="59">
        <f>ROUND(供應率!AF11,1)</f>
        <v>99.7</v>
      </c>
      <c r="AL73" s="59">
        <f>ROUND(供應率!AG11,1)</f>
        <v>0</v>
      </c>
      <c r="AM73" s="59">
        <f>ROUND(供應率!AH11,1)</f>
        <v>99.7</v>
      </c>
      <c r="AN73" s="217">
        <f>ROUND(供應率!AI11,1)</f>
        <v>99.6</v>
      </c>
      <c r="AO73" s="55"/>
    </row>
    <row r="74" spans="1:41" s="11" customFormat="1" ht="21.95" customHeight="1">
      <c r="A74" s="553" t="s">
        <v>23</v>
      </c>
      <c r="B74" s="554"/>
      <c r="C74" s="554"/>
      <c r="D74" s="313" t="str">
        <f>HLOOKUP(MONTH(日期!$C$2),去年月推移!$D$1:$O$200,131,TRUE)</f>
        <v>98.8</v>
      </c>
      <c r="E74" s="49">
        <v>98.559727106188546</v>
      </c>
      <c r="F74" s="49" t="s">
        <v>45</v>
      </c>
      <c r="G74" s="571">
        <f>ROUND(當年月推移!P133,1)</f>
        <v>98.1</v>
      </c>
      <c r="H74" s="572"/>
      <c r="I74" s="47">
        <f>ROUND(供應率!D6,1)</f>
        <v>98.8</v>
      </c>
      <c r="J74" s="47">
        <f>ROUND(供應率!E6,1)</f>
        <v>0</v>
      </c>
      <c r="K74" s="47">
        <f>ROUND(供應率!F6,1)</f>
        <v>98.2</v>
      </c>
      <c r="L74" s="47">
        <f>ROUND(供應率!G6,1)</f>
        <v>98.5</v>
      </c>
      <c r="M74" s="47">
        <f>ROUND(供應率!H6,1)</f>
        <v>98.3</v>
      </c>
      <c r="N74" s="47">
        <f>ROUND(供應率!I6,1)</f>
        <v>98.7</v>
      </c>
      <c r="O74" s="47">
        <f>ROUND(供應率!J6,1)</f>
        <v>98</v>
      </c>
      <c r="P74" s="47">
        <f>ROUND(供應率!K6,1)</f>
        <v>98.8</v>
      </c>
      <c r="Q74" s="47">
        <f>ROUND(供應率!L6,1)</f>
        <v>0</v>
      </c>
      <c r="R74" s="47">
        <f>ROUND(供應率!M6,1)</f>
        <v>98.3</v>
      </c>
      <c r="S74" s="47">
        <f>ROUND(供應率!N6,1)</f>
        <v>98.7</v>
      </c>
      <c r="T74" s="47">
        <f>ROUND(供應率!O6,1)</f>
        <v>98.3</v>
      </c>
      <c r="U74" s="47">
        <f>ROUND(供應率!P6,1)</f>
        <v>98.7</v>
      </c>
      <c r="V74" s="47">
        <f>ROUND(供應率!Q6,1)</f>
        <v>99</v>
      </c>
      <c r="W74" s="47">
        <f>ROUND(供應率!R6,1)</f>
        <v>98.1</v>
      </c>
      <c r="X74" s="47">
        <f>ROUND(供應率!S6,1)</f>
        <v>0</v>
      </c>
      <c r="Y74" s="47">
        <f>ROUND(供應率!T6,1)</f>
        <v>98.4</v>
      </c>
      <c r="Z74" s="47">
        <f>ROUND(供應率!U6,1)</f>
        <v>99</v>
      </c>
      <c r="AA74" s="47">
        <f>ROUND(供應率!V6,1)</f>
        <v>98.6</v>
      </c>
      <c r="AB74" s="47">
        <f>ROUND(供應率!W6,1)</f>
        <v>98.7</v>
      </c>
      <c r="AC74" s="47">
        <f>ROUND(供應率!X6,1)</f>
        <v>98.4</v>
      </c>
      <c r="AD74" s="47">
        <f>ROUND(供應率!Y6,1)</f>
        <v>98.6</v>
      </c>
      <c r="AE74" s="47">
        <f>ROUND(供應率!Z6,1)</f>
        <v>0</v>
      </c>
      <c r="AF74" s="47">
        <f>ROUND(供應率!AA6,1)</f>
        <v>98.6</v>
      </c>
      <c r="AG74" s="47">
        <f>ROUND(供應率!AB6,1)</f>
        <v>98.5</v>
      </c>
      <c r="AH74" s="47">
        <f>ROUND(供應率!AC6,1)</f>
        <v>98.7</v>
      </c>
      <c r="AI74" s="47">
        <f>ROUND(供應率!AD6,1)</f>
        <v>98.9</v>
      </c>
      <c r="AJ74" s="47">
        <f>ROUND(供應率!AE6,1)</f>
        <v>98</v>
      </c>
      <c r="AK74" s="47">
        <f>ROUND(供應率!AF6,1)</f>
        <v>98.6</v>
      </c>
      <c r="AL74" s="47">
        <f>ROUND(供應率!AG6,1)</f>
        <v>0</v>
      </c>
      <c r="AM74" s="47">
        <f>ROUND(供應率!AH6,1)</f>
        <v>98.5</v>
      </c>
      <c r="AN74" s="214">
        <f>ROUND(供應率!AI6,1)</f>
        <v>98.5</v>
      </c>
      <c r="AO74" s="55"/>
    </row>
    <row r="75" spans="1:41" s="11" customFormat="1" ht="21.95" customHeight="1">
      <c r="A75" s="555" t="s">
        <v>24</v>
      </c>
      <c r="B75" s="556"/>
      <c r="C75" s="557"/>
      <c r="D75" s="310" t="str">
        <f>HLOOKUP(MONTH(日期!$C$2),去年月推移!$D$1:$O$200,132,TRUE)</f>
        <v>100</v>
      </c>
      <c r="E75" s="243"/>
      <c r="F75" s="243"/>
      <c r="G75" s="571">
        <f>ROUND(當年月推移!P134,1)</f>
        <v>99.9</v>
      </c>
      <c r="H75" s="572"/>
      <c r="I75" s="244">
        <f>ROUND(供應率!D12,1)</f>
        <v>88.2</v>
      </c>
      <c r="J75" s="244">
        <f>ROUND(供應率!E12,1)</f>
        <v>0</v>
      </c>
      <c r="K75" s="244">
        <f>ROUND(供應率!F12,1)</f>
        <v>86.9</v>
      </c>
      <c r="L75" s="244">
        <f>ROUND(供應率!G12,1)</f>
        <v>95.4</v>
      </c>
      <c r="M75" s="244">
        <f>ROUND(供應率!H12,1)</f>
        <v>100</v>
      </c>
      <c r="N75" s="244">
        <f>ROUND(供應率!I12,1)</f>
        <v>95.8</v>
      </c>
      <c r="O75" s="244">
        <f>ROUND(供應率!J12,1)</f>
        <v>100</v>
      </c>
      <c r="P75" s="244">
        <f>ROUND(供應率!K12,1)</f>
        <v>100</v>
      </c>
      <c r="Q75" s="244">
        <f>ROUND(供應率!L12,1)</f>
        <v>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100</v>
      </c>
      <c r="X75" s="244">
        <f>ROUND(供應率!S12,1)</f>
        <v>0</v>
      </c>
      <c r="Y75" s="244">
        <f>ROUND(供應率!T12,1)</f>
        <v>94.7</v>
      </c>
      <c r="Z75" s="244">
        <f>ROUND(供應率!U12,1)</f>
        <v>100</v>
      </c>
      <c r="AA75" s="244">
        <f>ROUND(供應率!V12,1)</f>
        <v>94.4</v>
      </c>
      <c r="AB75" s="244">
        <f>ROUND(供應率!W12,1)</f>
        <v>100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0</v>
      </c>
      <c r="AF75" s="244">
        <f>ROUND(供應率!AA12,1)</f>
        <v>100</v>
      </c>
      <c r="AG75" s="244">
        <f>ROUND(供應率!AB12,1)</f>
        <v>100</v>
      </c>
      <c r="AH75" s="244">
        <f>ROUND(供應率!AC12,1)</f>
        <v>100</v>
      </c>
      <c r="AI75" s="244">
        <f>ROUND(供應率!AD12,1)</f>
        <v>100</v>
      </c>
      <c r="AJ75" s="244">
        <f>ROUND(供應率!AE12,1)</f>
        <v>100</v>
      </c>
      <c r="AK75" s="244">
        <f>ROUND(供應率!AF12,1)</f>
        <v>100</v>
      </c>
      <c r="AL75" s="244">
        <f>ROUND(供應率!AG12,1)</f>
        <v>0</v>
      </c>
      <c r="AM75" s="244">
        <f>ROUND(供應率!AH12,1)</f>
        <v>100</v>
      </c>
      <c r="AN75" s="246">
        <f>ROUND(供應率!AI12,1)</f>
        <v>98.3</v>
      </c>
      <c r="AO75" s="55"/>
    </row>
    <row r="76" spans="1:41" s="11" customFormat="1" ht="21.95" customHeight="1">
      <c r="A76" s="555" t="s">
        <v>25</v>
      </c>
      <c r="B76" s="556"/>
      <c r="C76" s="557"/>
      <c r="D76" s="310" t="str">
        <f>HLOOKUP(MONTH(日期!$C$2),去年月推移!$D$1:$O$200,133,TRUE)</f>
        <v>98.8</v>
      </c>
      <c r="E76" s="243"/>
      <c r="F76" s="243"/>
      <c r="G76" s="571">
        <f>ROUND(當年月推移!P135,1)</f>
        <v>82</v>
      </c>
      <c r="H76" s="572"/>
      <c r="I76" s="244">
        <f>ROUND(供應率!D13,1)</f>
        <v>42.8</v>
      </c>
      <c r="J76" s="244">
        <f>ROUND(供應率!E13,1)</f>
        <v>0</v>
      </c>
      <c r="K76" s="244">
        <f>ROUND(供應率!F13,1)</f>
        <v>100</v>
      </c>
      <c r="L76" s="244">
        <f>ROUND(供應率!G13,1)</f>
        <v>62.5</v>
      </c>
      <c r="M76" s="244">
        <f>ROUND(供應率!H13,1)</f>
        <v>20</v>
      </c>
      <c r="N76" s="244">
        <f>ROUND(供應率!I13,1)</f>
        <v>50</v>
      </c>
      <c r="O76" s="244">
        <f>ROUND(供應率!J13,1)</f>
        <v>57.1</v>
      </c>
      <c r="P76" s="244">
        <f>ROUND(供應率!K13,1)</f>
        <v>100</v>
      </c>
      <c r="Q76" s="244">
        <f>ROUND(供應率!L13,1)</f>
        <v>0</v>
      </c>
      <c r="R76" s="244">
        <f>ROUND(供應率!M13,1)</f>
        <v>66.599999999999994</v>
      </c>
      <c r="S76" s="244">
        <f>ROUND(供應率!N13,1)</f>
        <v>33.299999999999997</v>
      </c>
      <c r="T76" s="244">
        <f>ROUND(供應率!O13,1)</f>
        <v>33.299999999999997</v>
      </c>
      <c r="U76" s="244">
        <f>ROUND(供應率!P13,1)</f>
        <v>70</v>
      </c>
      <c r="V76" s="244">
        <f>ROUND(供應率!Q13,1)</f>
        <v>70</v>
      </c>
      <c r="W76" s="244">
        <f>ROUND(供應率!R13,1)</f>
        <v>0</v>
      </c>
      <c r="X76" s="244">
        <f>ROUND(供應率!S13,1)</f>
        <v>0</v>
      </c>
      <c r="Y76" s="244">
        <f>ROUND(供應率!T13,1)</f>
        <v>37.5</v>
      </c>
      <c r="Z76" s="244">
        <f>ROUND(供應率!U13,1)</f>
        <v>23</v>
      </c>
      <c r="AA76" s="244">
        <f>ROUND(供應率!V13,1)</f>
        <v>55.5</v>
      </c>
      <c r="AB76" s="244">
        <f>ROUND(供應率!W13,1)</f>
        <v>57.1</v>
      </c>
      <c r="AC76" s="244">
        <f>ROUND(供應率!X13,1)</f>
        <v>0</v>
      </c>
      <c r="AD76" s="244">
        <f>ROUND(供應率!Y13,1)</f>
        <v>100</v>
      </c>
      <c r="AE76" s="244">
        <f>ROUND(供應率!Z13,1)</f>
        <v>0</v>
      </c>
      <c r="AF76" s="244">
        <f>ROUND(供應率!AA13,1)</f>
        <v>22.2</v>
      </c>
      <c r="AG76" s="244">
        <f>ROUND(供應率!AB13,1)</f>
        <v>71.400000000000006</v>
      </c>
      <c r="AH76" s="244">
        <f>ROUND(供應率!AC13,1)</f>
        <v>61.5</v>
      </c>
      <c r="AI76" s="244">
        <f>ROUND(供應率!AD13,1)</f>
        <v>100</v>
      </c>
      <c r="AJ76" s="244">
        <f>ROUND(供應率!AE13,1)</f>
        <v>100</v>
      </c>
      <c r="AK76" s="244">
        <f>ROUND(供應率!AF13,1)</f>
        <v>100</v>
      </c>
      <c r="AL76" s="244">
        <f>ROUND(供應率!AG13,1)</f>
        <v>0</v>
      </c>
      <c r="AM76" s="244">
        <f>ROUND(供應率!AH13,1)</f>
        <v>66.599999999999994</v>
      </c>
      <c r="AN76" s="246">
        <f>ROUND(供應率!AI13,1)</f>
        <v>53.4</v>
      </c>
      <c r="AO76" s="55"/>
    </row>
    <row r="77" spans="1:41" s="11" customFormat="1" ht="21.95" customHeight="1">
      <c r="A77" s="555" t="s">
        <v>26</v>
      </c>
      <c r="B77" s="556"/>
      <c r="C77" s="557"/>
      <c r="D77" s="310" t="str">
        <f>HLOOKUP(MONTH(日期!$C$2),去年月推移!$D$1:$O$200,134,TRUE)</f>
        <v>97.5</v>
      </c>
      <c r="E77" s="243"/>
      <c r="F77" s="243"/>
      <c r="G77" s="571">
        <f>ROUND(當年月推移!P136,1)</f>
        <v>97.3</v>
      </c>
      <c r="H77" s="572"/>
      <c r="I77" s="244">
        <f>ROUND(供應率!D14,1)</f>
        <v>97.8</v>
      </c>
      <c r="J77" s="244">
        <f>ROUND(供應率!E14,1)</f>
        <v>0</v>
      </c>
      <c r="K77" s="244">
        <f>ROUND(供應率!F14,1)</f>
        <v>97.1</v>
      </c>
      <c r="L77" s="244">
        <f>ROUND(供應率!G14,1)</f>
        <v>97.9</v>
      </c>
      <c r="M77" s="244">
        <f>ROUND(供應率!H14,1)</f>
        <v>97.2</v>
      </c>
      <c r="N77" s="244">
        <f>ROUND(供應率!I14,1)</f>
        <v>97.3</v>
      </c>
      <c r="O77" s="244">
        <f>ROUND(供應率!J14,1)</f>
        <v>98</v>
      </c>
      <c r="P77" s="244">
        <f>ROUND(供應率!K14,1)</f>
        <v>98.3</v>
      </c>
      <c r="Q77" s="244">
        <f>ROUND(供應率!L14,1)</f>
        <v>0</v>
      </c>
      <c r="R77" s="244">
        <f>ROUND(供應率!M14,1)</f>
        <v>98.3</v>
      </c>
      <c r="S77" s="244">
        <f>ROUND(供應率!N14,1)</f>
        <v>97.7</v>
      </c>
      <c r="T77" s="244">
        <f>ROUND(供應率!O14,1)</f>
        <v>98</v>
      </c>
      <c r="U77" s="244">
        <f>ROUND(供應率!P14,1)</f>
        <v>100</v>
      </c>
      <c r="V77" s="244">
        <f>ROUND(供應率!Q14,1)</f>
        <v>96.7</v>
      </c>
      <c r="W77" s="244">
        <f>ROUND(供應率!R14,1)</f>
        <v>98.9</v>
      </c>
      <c r="X77" s="244">
        <f>ROUND(供應率!S14,1)</f>
        <v>0</v>
      </c>
      <c r="Y77" s="244">
        <f>ROUND(供應率!T14,1)</f>
        <v>96.8</v>
      </c>
      <c r="Z77" s="244">
        <f>ROUND(供應率!U14,1)</f>
        <v>96.6</v>
      </c>
      <c r="AA77" s="244">
        <f>ROUND(供應率!V14,1)</f>
        <v>97.3</v>
      </c>
      <c r="AB77" s="244">
        <f>ROUND(供應率!W14,1)</f>
        <v>98.7</v>
      </c>
      <c r="AC77" s="244">
        <f>ROUND(供應率!X14,1)</f>
        <v>99.1</v>
      </c>
      <c r="AD77" s="244">
        <f>ROUND(供應率!Y14,1)</f>
        <v>92.9</v>
      </c>
      <c r="AE77" s="244">
        <f>ROUND(供應率!Z14,1)</f>
        <v>0</v>
      </c>
      <c r="AF77" s="244">
        <f>ROUND(供應率!AA14,1)</f>
        <v>95.9</v>
      </c>
      <c r="AG77" s="244">
        <f>ROUND(供應率!AB14,1)</f>
        <v>99.5</v>
      </c>
      <c r="AH77" s="244">
        <f>ROUND(供應率!AC14,1)</f>
        <v>96.3</v>
      </c>
      <c r="AI77" s="244">
        <f>ROUND(供應率!AD14,1)</f>
        <v>97.8</v>
      </c>
      <c r="AJ77" s="244">
        <f>ROUND(供應率!AE14,1)</f>
        <v>93.5</v>
      </c>
      <c r="AK77" s="244">
        <f>ROUND(供應率!AF14,1)</f>
        <v>93.5</v>
      </c>
      <c r="AL77" s="244">
        <f>ROUND(供應率!AG14,1)</f>
        <v>0</v>
      </c>
      <c r="AM77" s="244">
        <f>ROUND(供應率!AH14,1)</f>
        <v>97.4</v>
      </c>
      <c r="AN77" s="246">
        <f>ROUND(供應率!AI14,1)</f>
        <v>97.3</v>
      </c>
      <c r="AO77" s="55"/>
    </row>
    <row r="78" spans="1:41" s="11" customFormat="1" ht="21.95" customHeight="1">
      <c r="A78" s="555" t="s">
        <v>27</v>
      </c>
      <c r="B78" s="556"/>
      <c r="C78" s="557"/>
      <c r="D78" s="310" t="str">
        <f>HLOOKUP(MONTH(日期!$C$2),去年月推移!$D$1:$O$200,135,TRUE)</f>
        <v>93.9</v>
      </c>
      <c r="E78" s="243"/>
      <c r="F78" s="243"/>
      <c r="G78" s="571">
        <f>ROUND(當年月推移!P137,1)</f>
        <v>94.6</v>
      </c>
      <c r="H78" s="572"/>
      <c r="I78" s="244">
        <f>ROUND(供應率!D15,1)</f>
        <v>92.7</v>
      </c>
      <c r="J78" s="244">
        <f>ROUND(供應率!E15,1)</f>
        <v>0</v>
      </c>
      <c r="K78" s="244">
        <f>ROUND(供應率!F15,1)</f>
        <v>96.8</v>
      </c>
      <c r="L78" s="244">
        <f>ROUND(供應率!G15,1)</f>
        <v>100</v>
      </c>
      <c r="M78" s="244">
        <f>ROUND(供應率!H15,1)</f>
        <v>96.1</v>
      </c>
      <c r="N78" s="244">
        <f>ROUND(供應率!I15,1)</f>
        <v>97.5</v>
      </c>
      <c r="O78" s="244">
        <f>ROUND(供應率!J15,1)</f>
        <v>96.1</v>
      </c>
      <c r="P78" s="244">
        <f>ROUND(供應率!K15,1)</f>
        <v>98.5</v>
      </c>
      <c r="Q78" s="244">
        <f>ROUND(供應率!L15,1)</f>
        <v>0</v>
      </c>
      <c r="R78" s="244">
        <f>ROUND(供應率!M15,1)</f>
        <v>100</v>
      </c>
      <c r="S78" s="244">
        <f>ROUND(供應率!N15,1)</f>
        <v>95.7</v>
      </c>
      <c r="T78" s="244">
        <f>ROUND(供應率!O15,1)</f>
        <v>100</v>
      </c>
      <c r="U78" s="244">
        <f>ROUND(供應率!P15,1)</f>
        <v>100</v>
      </c>
      <c r="V78" s="244">
        <f>ROUND(供應率!Q15,1)</f>
        <v>96.8</v>
      </c>
      <c r="W78" s="244">
        <f>ROUND(供應率!R15,1)</f>
        <v>98.7</v>
      </c>
      <c r="X78" s="244">
        <f>ROUND(供應率!S15,1)</f>
        <v>0</v>
      </c>
      <c r="Y78" s="244">
        <f>ROUND(供應率!T15,1)</f>
        <v>95.3</v>
      </c>
      <c r="Z78" s="244">
        <f>ROUND(供應率!U15,1)</f>
        <v>96.7</v>
      </c>
      <c r="AA78" s="244">
        <f>ROUND(供應率!V15,1)</f>
        <v>96.7</v>
      </c>
      <c r="AB78" s="244">
        <f>ROUND(供應率!W15,1)</f>
        <v>95</v>
      </c>
      <c r="AC78" s="244">
        <f>ROUND(供應率!X15,1)</f>
        <v>98</v>
      </c>
      <c r="AD78" s="244">
        <f>ROUND(供應率!Y15,1)</f>
        <v>97.9</v>
      </c>
      <c r="AE78" s="244">
        <f>ROUND(供應率!Z15,1)</f>
        <v>0</v>
      </c>
      <c r="AF78" s="244">
        <f>ROUND(供應率!AA15,1)</f>
        <v>100</v>
      </c>
      <c r="AG78" s="244">
        <f>ROUND(供應率!AB15,1)</f>
        <v>96.8</v>
      </c>
      <c r="AH78" s="244">
        <f>ROUND(供應率!AC15,1)</f>
        <v>98.3</v>
      </c>
      <c r="AI78" s="244">
        <f>ROUND(供應率!AD15,1)</f>
        <v>94.1</v>
      </c>
      <c r="AJ78" s="244">
        <f>ROUND(供應率!AE15,1)</f>
        <v>100</v>
      </c>
      <c r="AK78" s="244">
        <f>ROUND(供應率!AF15,1)</f>
        <v>100</v>
      </c>
      <c r="AL78" s="244">
        <f>ROUND(供應率!AG15,1)</f>
        <v>0</v>
      </c>
      <c r="AM78" s="244">
        <f>ROUND(供應率!AH15,1)</f>
        <v>100</v>
      </c>
      <c r="AN78" s="246">
        <f>ROUND(供應率!AI15,1)</f>
        <v>97.5</v>
      </c>
      <c r="AO78" s="55"/>
    </row>
    <row r="79" spans="1:41" s="11" customFormat="1" ht="21.95" customHeight="1" thickBot="1">
      <c r="A79" s="593" t="s">
        <v>28</v>
      </c>
      <c r="B79" s="594"/>
      <c r="C79" s="595"/>
      <c r="D79" s="320" t="str">
        <f>HLOOKUP(MONTH(日期!$C$2),去年月推移!$D$1:$O$200,136,TRUE)</f>
        <v>0</v>
      </c>
      <c r="E79" s="243"/>
      <c r="F79" s="243"/>
      <c r="G79" s="567">
        <f>ROUND(當年月推移!P138,1)</f>
        <v>0</v>
      </c>
      <c r="H79" s="568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586" t="s">
        <v>31</v>
      </c>
      <c r="B80" s="587"/>
      <c r="C80" s="587"/>
      <c r="D80" s="313" t="str">
        <f>HLOOKUP(MONTH(日期!$C$2),去年月推移!$D$1:$O$200,137,TRUE)</f>
        <v>0</v>
      </c>
      <c r="E80" s="272"/>
      <c r="F80" s="272"/>
      <c r="G80" s="571">
        <f>ROUND(當年月推移!P139,1)</f>
        <v>0</v>
      </c>
      <c r="H80" s="572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562" t="s">
        <v>32</v>
      </c>
      <c r="B81" s="563"/>
      <c r="C81" s="563"/>
      <c r="D81" s="310" t="str">
        <f>HLOOKUP(MONTH(日期!$C$2),去年月推移!$D$1:$O$200,138,TRUE)</f>
        <v>0</v>
      </c>
      <c r="E81" s="49"/>
      <c r="F81" s="49"/>
      <c r="G81" s="571">
        <f>ROUND(當年月推移!P140,1)</f>
        <v>0</v>
      </c>
      <c r="H81" s="572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562" t="s">
        <v>33</v>
      </c>
      <c r="B82" s="563"/>
      <c r="C82" s="563"/>
      <c r="D82" s="310" t="str">
        <f>HLOOKUP(MONTH(日期!$C$2),去年月推移!$D$1:$O$200,139,TRUE)</f>
        <v>0</v>
      </c>
      <c r="E82" s="49"/>
      <c r="F82" s="49"/>
      <c r="G82" s="571">
        <f>ROUND(當年月推移!P141,1)</f>
        <v>0</v>
      </c>
      <c r="H82" s="572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562" t="s">
        <v>34</v>
      </c>
      <c r="B83" s="563"/>
      <c r="C83" s="563"/>
      <c r="D83" s="310" t="str">
        <f>HLOOKUP(MONTH(日期!$C$2),去年月推移!$D$1:$O$200,140,TRUE)</f>
        <v>0</v>
      </c>
      <c r="E83" s="49"/>
      <c r="F83" s="49"/>
      <c r="G83" s="571">
        <f>ROUND(當年月推移!P142,1)</f>
        <v>0</v>
      </c>
      <c r="H83" s="572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569" t="s">
        <v>35</v>
      </c>
      <c r="B84" s="570"/>
      <c r="C84" s="570"/>
      <c r="D84" s="312" t="str">
        <f>HLOOKUP(MONTH(日期!$C$2),去年月推移!$D$1:$O$200,141,TRUE)</f>
        <v>0</v>
      </c>
      <c r="E84" s="58"/>
      <c r="F84" s="58"/>
      <c r="G84" s="567">
        <f>ROUND(當年月推移!P143,1)</f>
        <v>0</v>
      </c>
      <c r="H84" s="568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77" t="s">
        <v>1</v>
      </c>
      <c r="B87" s="578"/>
      <c r="C87" s="578"/>
      <c r="D87" s="581" t="str">
        <f>D3</f>
        <v>2025/8</v>
      </c>
      <c r="E87" s="581" t="str">
        <f>E3</f>
        <v>2026/8</v>
      </c>
      <c r="F87" s="335">
        <f>YEAR(日期!C2)-1</f>
        <v>2025</v>
      </c>
      <c r="G87" s="596">
        <f>YEAR(日期!C2)</f>
        <v>2026</v>
      </c>
      <c r="H87" s="597"/>
      <c r="I87" s="490" t="str">
        <f>日期!C2</f>
        <v>2026/08/01</v>
      </c>
      <c r="J87" s="490" t="str">
        <f>日期!D2</f>
        <v>2026/08/02</v>
      </c>
      <c r="K87" s="490" t="str">
        <f>日期!E2</f>
        <v>2026/08/03</v>
      </c>
      <c r="L87" s="490" t="str">
        <f>日期!F2</f>
        <v>2026/08/04</v>
      </c>
      <c r="M87" s="490" t="str">
        <f>日期!G2</f>
        <v>2026/08/05</v>
      </c>
      <c r="N87" s="490" t="str">
        <f>日期!H2</f>
        <v>2026/08/06</v>
      </c>
      <c r="O87" s="490" t="str">
        <f>日期!I2</f>
        <v>2026/08/07</v>
      </c>
      <c r="P87" s="490" t="str">
        <f>日期!J2</f>
        <v>2026/08/08</v>
      </c>
      <c r="Q87" s="490" t="str">
        <f>日期!K2</f>
        <v>2026/08/09</v>
      </c>
      <c r="R87" s="490" t="str">
        <f>日期!L2</f>
        <v>2026/08/10</v>
      </c>
      <c r="S87" s="490" t="str">
        <f>日期!M2</f>
        <v>2026/08/11</v>
      </c>
      <c r="T87" s="490" t="str">
        <f>日期!N2</f>
        <v>2026/08/12</v>
      </c>
      <c r="U87" s="490" t="str">
        <f>日期!O2</f>
        <v>2026/08/13</v>
      </c>
      <c r="V87" s="490" t="str">
        <f>日期!P2</f>
        <v>2026/08/14</v>
      </c>
      <c r="W87" s="490" t="str">
        <f>日期!Q2</f>
        <v>2026/08/15</v>
      </c>
      <c r="X87" s="490" t="str">
        <f>日期!R2</f>
        <v>2026/08/16</v>
      </c>
      <c r="Y87" s="490" t="str">
        <f>日期!S2</f>
        <v>2026/08/17</v>
      </c>
      <c r="Z87" s="490" t="str">
        <f>日期!T2</f>
        <v>2026/08/18</v>
      </c>
      <c r="AA87" s="490" t="str">
        <f>日期!U2</f>
        <v>2026/08/19</v>
      </c>
      <c r="AB87" s="490" t="str">
        <f>日期!V2</f>
        <v>2026/08/20</v>
      </c>
      <c r="AC87" s="490" t="str">
        <f>日期!W2</f>
        <v>2026/08/21</v>
      </c>
      <c r="AD87" s="490" t="str">
        <f>日期!X2</f>
        <v>2026/08/22</v>
      </c>
      <c r="AE87" s="490" t="str">
        <f>日期!Y2</f>
        <v>2026/08/23</v>
      </c>
      <c r="AF87" s="490" t="str">
        <f>日期!Z2</f>
        <v>2026/08/24</v>
      </c>
      <c r="AG87" s="490" t="str">
        <f>日期!AA2</f>
        <v>2026/08/25</v>
      </c>
      <c r="AH87" s="490" t="str">
        <f>日期!AB2</f>
        <v>2026/08/26</v>
      </c>
      <c r="AI87" s="490" t="str">
        <f>日期!AC2</f>
        <v>2026/08/27</v>
      </c>
      <c r="AJ87" s="490" t="str">
        <f>日期!AD2</f>
        <v>2026/08/28</v>
      </c>
      <c r="AK87" s="490" t="str">
        <f>日期!AE2</f>
        <v>2026/08/29</v>
      </c>
      <c r="AL87" s="490" t="str">
        <f>日期!AF2</f>
        <v>2026/08/30</v>
      </c>
      <c r="AM87" s="490" t="str">
        <f>日期!AG2</f>
        <v>2026/08/31</v>
      </c>
      <c r="AN87" s="573" t="s">
        <v>42</v>
      </c>
    </row>
    <row r="88" spans="1:41" s="35" customFormat="1" ht="24" customHeight="1" thickBot="1">
      <c r="A88" s="579"/>
      <c r="B88" s="580"/>
      <c r="C88" s="580"/>
      <c r="D88" s="582"/>
      <c r="E88" s="583"/>
      <c r="F88" s="334" t="s">
        <v>58</v>
      </c>
      <c r="G88" s="584" t="s">
        <v>59</v>
      </c>
      <c r="H88" s="585"/>
      <c r="I88" s="12" t="str">
        <f>日期!C3</f>
        <v>Sat</v>
      </c>
      <c r="J88" s="12" t="str">
        <f>日期!D3</f>
        <v>Sun</v>
      </c>
      <c r="K88" s="12" t="str">
        <f>日期!E3</f>
        <v>Mon</v>
      </c>
      <c r="L88" s="12" t="str">
        <f>日期!F3</f>
        <v>Tue</v>
      </c>
      <c r="M88" s="12" t="str">
        <f>日期!G3</f>
        <v>Wed</v>
      </c>
      <c r="N88" s="12" t="str">
        <f>日期!H3</f>
        <v>Thu</v>
      </c>
      <c r="O88" s="12" t="str">
        <f>日期!I3</f>
        <v>Fri</v>
      </c>
      <c r="P88" s="12" t="str">
        <f>日期!J3</f>
        <v>Sat</v>
      </c>
      <c r="Q88" s="12" t="str">
        <f>日期!K3</f>
        <v>Sun</v>
      </c>
      <c r="R88" s="12" t="str">
        <f>日期!L3</f>
        <v>Mon</v>
      </c>
      <c r="S88" s="12" t="str">
        <f>日期!M3</f>
        <v>Tue</v>
      </c>
      <c r="T88" s="12" t="str">
        <f>日期!N3</f>
        <v>Wed</v>
      </c>
      <c r="U88" s="12" t="str">
        <f>日期!O3</f>
        <v>Thu</v>
      </c>
      <c r="V88" s="12" t="str">
        <f>日期!P3</f>
        <v>Fri</v>
      </c>
      <c r="W88" s="12" t="str">
        <f>日期!Q3</f>
        <v>Sat</v>
      </c>
      <c r="X88" s="12" t="str">
        <f>日期!R3</f>
        <v>Sun</v>
      </c>
      <c r="Y88" s="12" t="str">
        <f>日期!S3</f>
        <v>Mon</v>
      </c>
      <c r="Z88" s="12" t="str">
        <f>日期!T3</f>
        <v>Tue</v>
      </c>
      <c r="AA88" s="12" t="str">
        <f>日期!U3</f>
        <v>Wed</v>
      </c>
      <c r="AB88" s="12" t="str">
        <f>日期!V3</f>
        <v>Thu</v>
      </c>
      <c r="AC88" s="12" t="str">
        <f>日期!W3</f>
        <v>Fri</v>
      </c>
      <c r="AD88" s="12" t="str">
        <f>日期!X3</f>
        <v>Sat</v>
      </c>
      <c r="AE88" s="12" t="str">
        <f>日期!Y3</f>
        <v>Sun</v>
      </c>
      <c r="AF88" s="12" t="str">
        <f>日期!Z3</f>
        <v>Mon</v>
      </c>
      <c r="AG88" s="12" t="str">
        <f>日期!AA3</f>
        <v>Tue</v>
      </c>
      <c r="AH88" s="12" t="str">
        <f>日期!AB3</f>
        <v>Wed</v>
      </c>
      <c r="AI88" s="12" t="str">
        <f>日期!AC3</f>
        <v>Thu</v>
      </c>
      <c r="AJ88" s="12" t="str">
        <f>日期!AD3</f>
        <v>Fri</v>
      </c>
      <c r="AK88" s="12" t="str">
        <f>日期!AE3</f>
        <v>Sat</v>
      </c>
      <c r="AL88" s="12" t="str">
        <f>日期!AF3</f>
        <v>Sun</v>
      </c>
      <c r="AM88" s="12" t="str">
        <f>日期!AG3</f>
        <v>Mon</v>
      </c>
      <c r="AN88" s="574"/>
    </row>
    <row r="89" spans="1:41" s="35" customFormat="1" ht="21.95" customHeight="1">
      <c r="A89" s="575" t="s">
        <v>11</v>
      </c>
      <c r="B89" s="576"/>
      <c r="C89" s="576"/>
      <c r="D89" s="314">
        <f>HLOOKUP(MONTH(日期!$C$2),去年月推移!$D$1:$O$200,145,TRUE)</f>
        <v>5537</v>
      </c>
      <c r="E89" s="62" t="s">
        <v>45</v>
      </c>
      <c r="F89" s="62" t="s">
        <v>45</v>
      </c>
      <c r="G89" s="541">
        <f>當年月推移!P147</f>
        <v>6000</v>
      </c>
      <c r="H89" s="542"/>
      <c r="I89" s="63">
        <f>VALUE(點數BO!C2)</f>
        <v>213</v>
      </c>
      <c r="J89" s="63">
        <f>VALUE(點數BO!D2)</f>
        <v>0</v>
      </c>
      <c r="K89" s="63">
        <f>VALUE(點數BO!E2)</f>
        <v>284</v>
      </c>
      <c r="L89" s="63">
        <f>VALUE(點數BO!F2)</f>
        <v>368</v>
      </c>
      <c r="M89" s="63">
        <f>VALUE(點數BO!G2)</f>
        <v>338</v>
      </c>
      <c r="N89" s="63">
        <f>VALUE(點數BO!H2)</f>
        <v>310</v>
      </c>
      <c r="O89" s="63">
        <f>VALUE(點數BO!I2)</f>
        <v>0</v>
      </c>
      <c r="P89" s="63">
        <f>VALUE(點數BO!J2)</f>
        <v>173</v>
      </c>
      <c r="Q89" s="63">
        <f>VALUE(點數BO!K2)</f>
        <v>0</v>
      </c>
      <c r="R89" s="63">
        <f>VALUE(點數BO!L2)</f>
        <v>263</v>
      </c>
      <c r="S89" s="63">
        <f>VALUE(點數BO!M2)</f>
        <v>261</v>
      </c>
      <c r="T89" s="63">
        <f>VALUE(點數BO!N2)</f>
        <v>245</v>
      </c>
      <c r="U89" s="63">
        <f>VALUE(點數BO!O2)</f>
        <v>260</v>
      </c>
      <c r="V89" s="63">
        <f>VALUE(點數BO!P2)</f>
        <v>224</v>
      </c>
      <c r="W89" s="63">
        <f>VALUE(點數BO!Q2)</f>
        <v>167</v>
      </c>
      <c r="X89" s="63">
        <f>VALUE(點數BO!R2)</f>
        <v>0</v>
      </c>
      <c r="Y89" s="63">
        <f>VALUE(點數BO!S2)</f>
        <v>229</v>
      </c>
      <c r="Z89" s="63">
        <f>VALUE(點數BO!T2)</f>
        <v>339</v>
      </c>
      <c r="AA89" s="63">
        <f>VALUE(點數BO!U2)</f>
        <v>295</v>
      </c>
      <c r="AB89" s="63">
        <f>VALUE(點數BO!V2)</f>
        <v>253</v>
      </c>
      <c r="AC89" s="63">
        <f>VALUE(點數BO!W2)</f>
        <v>214</v>
      </c>
      <c r="AD89" s="63">
        <f>VALUE(點數BO!X2)</f>
        <v>150</v>
      </c>
      <c r="AE89" s="63">
        <f>VALUE(點數BO!Y2)</f>
        <v>0</v>
      </c>
      <c r="AF89" s="63">
        <f>VALUE(點數BO!Z2)</f>
        <v>252</v>
      </c>
      <c r="AG89" s="63">
        <f>VALUE(點數BO!AA2)</f>
        <v>338</v>
      </c>
      <c r="AH89" s="63">
        <f>VALUE(點數BO!AB2)</f>
        <v>269</v>
      </c>
      <c r="AI89" s="63">
        <f>VALUE(點數BO!AC2)</f>
        <v>211</v>
      </c>
      <c r="AJ89" s="63">
        <f>VALUE(點數BO!AD2)</f>
        <v>227</v>
      </c>
      <c r="AK89" s="63">
        <f>VALUE(點數BO!AE2)</f>
        <v>176</v>
      </c>
      <c r="AL89" s="63">
        <f>VALUE(點數BO!AF2)</f>
        <v>0</v>
      </c>
      <c r="AM89" s="63">
        <f>VALUE(點數BO!AG2)</f>
        <v>226</v>
      </c>
      <c r="AN89" s="479">
        <f>VALUE(點數BO!AH2)</f>
        <v>6500</v>
      </c>
    </row>
    <row r="90" spans="1:41" s="35" customFormat="1" ht="21.95" customHeight="1">
      <c r="A90" s="553" t="s">
        <v>12</v>
      </c>
      <c r="B90" s="554"/>
      <c r="C90" s="554"/>
      <c r="D90" s="314">
        <f>HLOOKUP(MONTH(日期!$C$2),去年月推移!$D$1:$O$200,146,TRUE)</f>
        <v>7</v>
      </c>
      <c r="E90" s="64" t="s">
        <v>45</v>
      </c>
      <c r="F90" s="64" t="s">
        <v>45</v>
      </c>
      <c r="G90" s="543">
        <f>當年月推移!P148</f>
        <v>8</v>
      </c>
      <c r="H90" s="544"/>
      <c r="I90" s="63">
        <f>VALUE(點數BO!C4)</f>
        <v>4</v>
      </c>
      <c r="J90" s="63">
        <f>VALUE(點數BO!D4)</f>
        <v>0</v>
      </c>
      <c r="K90" s="63">
        <f>VALUE(點數BO!E4)</f>
        <v>19</v>
      </c>
      <c r="L90" s="63">
        <f>VALUE(點數BO!F4)</f>
        <v>7</v>
      </c>
      <c r="M90" s="63">
        <f>VALUE(點數BO!G4)</f>
        <v>9</v>
      </c>
      <c r="N90" s="63">
        <f>VALUE(點數BO!H4)</f>
        <v>9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2</v>
      </c>
      <c r="T90" s="63">
        <f>VALUE(點數BO!N4)</f>
        <v>16</v>
      </c>
      <c r="U90" s="63">
        <f>VALUE(點數BO!O4)</f>
        <v>7</v>
      </c>
      <c r="V90" s="63">
        <f>VALUE(點數BO!P4)</f>
        <v>3</v>
      </c>
      <c r="W90" s="63">
        <f>VALUE(點數BO!Q4)</f>
        <v>90</v>
      </c>
      <c r="X90" s="63">
        <f>VALUE(點數BO!R4)</f>
        <v>0</v>
      </c>
      <c r="Y90" s="63">
        <f>VALUE(點數BO!S4)</f>
        <v>0</v>
      </c>
      <c r="Z90" s="63">
        <f>VALUE(點數BO!T4)</f>
        <v>1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480">
        <f>VALUE(點數BO!AH4)</f>
        <v>168</v>
      </c>
    </row>
    <row r="91" spans="1:41" s="35" customFormat="1" ht="21.95" customHeight="1">
      <c r="A91" s="553" t="s">
        <v>13</v>
      </c>
      <c r="B91" s="554"/>
      <c r="C91" s="554"/>
      <c r="D91" s="314">
        <f>HLOOKUP(MONTH(日期!$C$2),去年月推移!$D$1:$O$200,147,TRUE)</f>
        <v>40</v>
      </c>
      <c r="E91" s="64" t="s">
        <v>45</v>
      </c>
      <c r="F91" s="64" t="s">
        <v>45</v>
      </c>
      <c r="G91" s="543">
        <f>當年月推移!P149</f>
        <v>28</v>
      </c>
      <c r="H91" s="544"/>
      <c r="I91" s="63">
        <f>VALUE(點數BO!C5)</f>
        <v>2</v>
      </c>
      <c r="J91" s="63">
        <f>VALUE(點數BO!D5)</f>
        <v>0</v>
      </c>
      <c r="K91" s="63">
        <f>VALUE(點數BO!E5)</f>
        <v>3</v>
      </c>
      <c r="L91" s="63">
        <f>VALUE(點數BO!F5)</f>
        <v>1</v>
      </c>
      <c r="M91" s="63">
        <f>VALUE(點數BO!G5)</f>
        <v>2</v>
      </c>
      <c r="N91" s="63">
        <f>VALUE(點數BO!H5)</f>
        <v>0</v>
      </c>
      <c r="O91" s="63">
        <f>VALUE(點數BO!I5)</f>
        <v>0</v>
      </c>
      <c r="P91" s="63">
        <f>VALUE(點數BO!J5)</f>
        <v>1</v>
      </c>
      <c r="Q91" s="63">
        <f>VALUE(點數BO!K5)</f>
        <v>0</v>
      </c>
      <c r="R91" s="63">
        <f>VALUE(點數BO!L5)</f>
        <v>1</v>
      </c>
      <c r="S91" s="63">
        <f>VALUE(點數BO!M5)</f>
        <v>1</v>
      </c>
      <c r="T91" s="63">
        <f>VALUE(點數BO!N5)</f>
        <v>2</v>
      </c>
      <c r="U91" s="63">
        <f>VALUE(點數BO!O5)</f>
        <v>1</v>
      </c>
      <c r="V91" s="63">
        <f>VALUE(點數BO!P5)</f>
        <v>3</v>
      </c>
      <c r="W91" s="63">
        <f>VALUE(點數BO!Q5)</f>
        <v>1</v>
      </c>
      <c r="X91" s="63">
        <f>VALUE(點數BO!R5)</f>
        <v>0</v>
      </c>
      <c r="Y91" s="63">
        <f>VALUE(點數BO!S5)</f>
        <v>3</v>
      </c>
      <c r="Z91" s="63">
        <f>VALUE(點數BO!T5)</f>
        <v>2</v>
      </c>
      <c r="AA91" s="63">
        <f>VALUE(點數BO!U5)</f>
        <v>1</v>
      </c>
      <c r="AB91" s="63">
        <f>VALUE(點數BO!V5)</f>
        <v>0</v>
      </c>
      <c r="AC91" s="63">
        <f>VALUE(點數BO!W5)</f>
        <v>4</v>
      </c>
      <c r="AD91" s="63">
        <f>VALUE(點數BO!X5)</f>
        <v>2</v>
      </c>
      <c r="AE91" s="63">
        <f>VALUE(點數BO!Y5)</f>
        <v>0</v>
      </c>
      <c r="AF91" s="63">
        <f>VALUE(點數BO!Z5)</f>
        <v>1</v>
      </c>
      <c r="AG91" s="63">
        <f>VALUE(點數BO!AA5)</f>
        <v>2</v>
      </c>
      <c r="AH91" s="63">
        <f>VALUE(點數BO!AB5)</f>
        <v>2</v>
      </c>
      <c r="AI91" s="63">
        <f>VALUE(點數BO!AC5)</f>
        <v>1</v>
      </c>
      <c r="AJ91" s="63">
        <f>VALUE(點數BO!AD5)</f>
        <v>1</v>
      </c>
      <c r="AK91" s="63">
        <f>VALUE(點數BO!AE5)</f>
        <v>0</v>
      </c>
      <c r="AL91" s="63">
        <f>VALUE(點數BO!AF5)</f>
        <v>0</v>
      </c>
      <c r="AM91" s="63">
        <f>VALUE(點數BO!AG5)</f>
        <v>0</v>
      </c>
      <c r="AN91" s="480">
        <f>VALUE(點數BO!AH5)</f>
        <v>40</v>
      </c>
    </row>
    <row r="92" spans="1:41" s="35" customFormat="1" ht="21.95" customHeight="1">
      <c r="A92" s="553" t="s">
        <v>14</v>
      </c>
      <c r="B92" s="554"/>
      <c r="C92" s="554"/>
      <c r="D92" s="314">
        <f>HLOOKUP(MONTH(日期!$C$2),去年月推移!$D$1:$O$200,148,TRUE)</f>
        <v>300</v>
      </c>
      <c r="E92" s="64" t="s">
        <v>45</v>
      </c>
      <c r="F92" s="64" t="s">
        <v>45</v>
      </c>
      <c r="G92" s="543">
        <f>當年月推移!P150</f>
        <v>329</v>
      </c>
      <c r="H92" s="544"/>
      <c r="I92" s="63">
        <f>VALUE(點數BO!C6)</f>
        <v>5</v>
      </c>
      <c r="J92" s="63">
        <f>VALUE(點數BO!D6)</f>
        <v>0</v>
      </c>
      <c r="K92" s="63">
        <f>VALUE(點數BO!E6)</f>
        <v>20</v>
      </c>
      <c r="L92" s="63">
        <f>VALUE(點數BO!F6)</f>
        <v>43</v>
      </c>
      <c r="M92" s="63">
        <f>VALUE(點數BO!G6)</f>
        <v>28</v>
      </c>
      <c r="N92" s="63">
        <f>VALUE(點數BO!H6)</f>
        <v>34</v>
      </c>
      <c r="O92" s="63">
        <f>VALUE(點數BO!I6)</f>
        <v>0</v>
      </c>
      <c r="P92" s="63">
        <f>VALUE(點數BO!J6)</f>
        <v>21</v>
      </c>
      <c r="Q92" s="63">
        <f>VALUE(點數BO!K6)</f>
        <v>0</v>
      </c>
      <c r="R92" s="63">
        <f>VALUE(點數BO!L6)</f>
        <v>41</v>
      </c>
      <c r="S92" s="63">
        <f>VALUE(點數BO!M6)</f>
        <v>16</v>
      </c>
      <c r="T92" s="63">
        <f>VALUE(點數BO!N6)</f>
        <v>13</v>
      </c>
      <c r="U92" s="63">
        <f>VALUE(點數BO!O6)</f>
        <v>14</v>
      </c>
      <c r="V92" s="63">
        <f>VALUE(點數BO!P6)</f>
        <v>8</v>
      </c>
      <c r="W92" s="63">
        <f>VALUE(點數BO!Q6)</f>
        <v>5</v>
      </c>
      <c r="X92" s="63">
        <f>VALUE(點數BO!R6)</f>
        <v>0</v>
      </c>
      <c r="Y92" s="63">
        <f>VALUE(點數BO!S6)</f>
        <v>11</v>
      </c>
      <c r="Z92" s="63">
        <f>VALUE(點數BO!T6)</f>
        <v>7</v>
      </c>
      <c r="AA92" s="63">
        <f>VALUE(點數BO!U6)</f>
        <v>11</v>
      </c>
      <c r="AB92" s="63">
        <f>VALUE(點數BO!V6)</f>
        <v>5</v>
      </c>
      <c r="AC92" s="63">
        <f>VALUE(點數BO!W6)</f>
        <v>9</v>
      </c>
      <c r="AD92" s="63">
        <f>VALUE(點數BO!X6)</f>
        <v>1</v>
      </c>
      <c r="AE92" s="63">
        <f>VALUE(點數BO!Y6)</f>
        <v>0</v>
      </c>
      <c r="AF92" s="63">
        <f>VALUE(點數BO!Z6)</f>
        <v>5</v>
      </c>
      <c r="AG92" s="63">
        <f>VALUE(點數BO!AA6)</f>
        <v>5</v>
      </c>
      <c r="AH92" s="63">
        <f>VALUE(點數BO!AB6)</f>
        <v>22</v>
      </c>
      <c r="AI92" s="63">
        <f>VALUE(點數BO!AC6)</f>
        <v>15</v>
      </c>
      <c r="AJ92" s="63">
        <f>VALUE(點數BO!AD6)</f>
        <v>5</v>
      </c>
      <c r="AK92" s="63">
        <f>VALUE(點數BO!AE6)</f>
        <v>10</v>
      </c>
      <c r="AL92" s="63">
        <f>VALUE(點數BO!AF6)</f>
        <v>0</v>
      </c>
      <c r="AM92" s="63">
        <f>VALUE(點數BO!AG6)</f>
        <v>11</v>
      </c>
      <c r="AN92" s="480">
        <f>VALUE(點數BO!AH6)</f>
        <v>383</v>
      </c>
    </row>
    <row r="93" spans="1:41" s="35" customFormat="1" ht="21.95" customHeight="1">
      <c r="A93" s="553" t="s">
        <v>56</v>
      </c>
      <c r="B93" s="554"/>
      <c r="C93" s="554"/>
      <c r="D93" s="314">
        <f>HLOOKUP(MONTH(日期!$C$2),去年月推移!$D$1:$O$200,149,TRUE)</f>
        <v>828</v>
      </c>
      <c r="E93" s="64" t="s">
        <v>45</v>
      </c>
      <c r="F93" s="64" t="s">
        <v>45</v>
      </c>
      <c r="G93" s="543">
        <f>當年月推移!P151</f>
        <v>764</v>
      </c>
      <c r="H93" s="544"/>
      <c r="I93" s="63">
        <f>VALUE(點數BO!C20)</f>
        <v>16</v>
      </c>
      <c r="J93" s="63">
        <f>VALUE(點數BO!D20)</f>
        <v>0</v>
      </c>
      <c r="K93" s="63">
        <f>VALUE(點數BO!E20)</f>
        <v>29</v>
      </c>
      <c r="L93" s="63">
        <f>VALUE(點數BO!F20)</f>
        <v>43</v>
      </c>
      <c r="M93" s="63">
        <f>VALUE(點數BO!G20)</f>
        <v>49</v>
      </c>
      <c r="N93" s="63">
        <f>VALUE(點數BO!H20)</f>
        <v>65</v>
      </c>
      <c r="O93" s="63">
        <f>VALUE(點數BO!I20)</f>
        <v>0</v>
      </c>
      <c r="P93" s="63">
        <f>VALUE(點數BO!J20)</f>
        <v>36</v>
      </c>
      <c r="Q93" s="63">
        <f>VALUE(點數BO!K20)</f>
        <v>0</v>
      </c>
      <c r="R93" s="63">
        <f>VALUE(點數BO!L20)</f>
        <v>48</v>
      </c>
      <c r="S93" s="63">
        <f>VALUE(點數BO!M20)</f>
        <v>54</v>
      </c>
      <c r="T93" s="63">
        <f>VALUE(點數BO!N20)</f>
        <v>41</v>
      </c>
      <c r="U93" s="63">
        <f>VALUE(點數BO!O20)</f>
        <v>39</v>
      </c>
      <c r="V93" s="63">
        <f>VALUE(點數BO!P20)</f>
        <v>25</v>
      </c>
      <c r="W93" s="63">
        <f>VALUE(點數BO!Q20)</f>
        <v>20</v>
      </c>
      <c r="X93" s="63">
        <f>VALUE(點數BO!R20)</f>
        <v>0</v>
      </c>
      <c r="Y93" s="63">
        <f>VALUE(點數BO!S20)</f>
        <v>44</v>
      </c>
      <c r="Z93" s="63">
        <f>VALUE(點數BO!T20)</f>
        <v>36</v>
      </c>
      <c r="AA93" s="63">
        <f>VALUE(點數BO!U20)</f>
        <v>25</v>
      </c>
      <c r="AB93" s="63">
        <f>VALUE(點數BO!V20)</f>
        <v>18</v>
      </c>
      <c r="AC93" s="63">
        <f>VALUE(點數BO!W20)</f>
        <v>22</v>
      </c>
      <c r="AD93" s="63">
        <f>VALUE(點數BO!X20)</f>
        <v>34</v>
      </c>
      <c r="AE93" s="63">
        <f>VALUE(點數BO!Y20)</f>
        <v>0</v>
      </c>
      <c r="AF93" s="63">
        <f>VALUE(點數BO!Z20)</f>
        <v>23</v>
      </c>
      <c r="AG93" s="63">
        <f>VALUE(點數BO!AA20)</f>
        <v>27</v>
      </c>
      <c r="AH93" s="63">
        <f>VALUE(點數BO!AB20)</f>
        <v>14</v>
      </c>
      <c r="AI93" s="63">
        <f>VALUE(點數BO!AC20)</f>
        <v>20</v>
      </c>
      <c r="AJ93" s="63">
        <f>VALUE(點數BO!AD20)</f>
        <v>25</v>
      </c>
      <c r="AK93" s="63">
        <f>VALUE(點數BO!AE20)</f>
        <v>14</v>
      </c>
      <c r="AL93" s="63">
        <f>VALUE(點數BO!AF20)</f>
        <v>0</v>
      </c>
      <c r="AM93" s="63">
        <f>VALUE(點數BO!AG20)</f>
        <v>18</v>
      </c>
      <c r="AN93" s="480">
        <f>VALUE(點數BO!AH20)</f>
        <v>844</v>
      </c>
    </row>
    <row r="94" spans="1:41" s="35" customFormat="1" ht="21.95" customHeight="1">
      <c r="A94" s="553" t="s">
        <v>16</v>
      </c>
      <c r="B94" s="554"/>
      <c r="C94" s="554"/>
      <c r="D94" s="314">
        <f>HLOOKUP(MONTH(日期!$C$2),去年月推移!$D$1:$O$200,150,TRUE)</f>
        <v>145</v>
      </c>
      <c r="E94" s="64" t="s">
        <v>45</v>
      </c>
      <c r="F94" s="64" t="s">
        <v>45</v>
      </c>
      <c r="G94" s="543">
        <f>當年月推移!P152</f>
        <v>117</v>
      </c>
      <c r="H94" s="544"/>
      <c r="I94" s="63">
        <f>VALUE(點數BO!C8)</f>
        <v>3</v>
      </c>
      <c r="J94" s="63">
        <f>VALUE(點數BO!D8)</f>
        <v>0</v>
      </c>
      <c r="K94" s="63">
        <f>VALUE(點數BO!E8)</f>
        <v>2</v>
      </c>
      <c r="L94" s="63">
        <f>VALUE(點數BO!F8)</f>
        <v>4</v>
      </c>
      <c r="M94" s="63">
        <f>VALUE(點數BO!G8)</f>
        <v>6</v>
      </c>
      <c r="N94" s="63">
        <f>VALUE(點數BO!H8)</f>
        <v>0</v>
      </c>
      <c r="O94" s="63">
        <f>VALUE(點數BO!I8)</f>
        <v>0</v>
      </c>
      <c r="P94" s="63">
        <f>VALUE(點數BO!J8)</f>
        <v>1</v>
      </c>
      <c r="Q94" s="63">
        <f>VALUE(點數BO!K8)</f>
        <v>0</v>
      </c>
      <c r="R94" s="63">
        <f>VALUE(點數BO!L8)</f>
        <v>3</v>
      </c>
      <c r="S94" s="63">
        <f>VALUE(點數BO!M8)</f>
        <v>2</v>
      </c>
      <c r="T94" s="63">
        <f>VALUE(點數BO!N8)</f>
        <v>0</v>
      </c>
      <c r="U94" s="63">
        <f>VALUE(點數BO!O8)</f>
        <v>3</v>
      </c>
      <c r="V94" s="63">
        <f>VALUE(點數BO!P8)</f>
        <v>4</v>
      </c>
      <c r="W94" s="63">
        <f>VALUE(點數BO!Q8)</f>
        <v>2</v>
      </c>
      <c r="X94" s="63">
        <f>VALUE(點數BO!R8)</f>
        <v>0</v>
      </c>
      <c r="Y94" s="63">
        <f>VALUE(點數BO!S8)</f>
        <v>2</v>
      </c>
      <c r="Z94" s="63">
        <f>VALUE(點數BO!T8)</f>
        <v>3</v>
      </c>
      <c r="AA94" s="63">
        <f>VALUE(點數BO!U8)</f>
        <v>0</v>
      </c>
      <c r="AB94" s="63">
        <f>VALUE(點數BO!V8)</f>
        <v>1</v>
      </c>
      <c r="AC94" s="63">
        <f>VALUE(點數BO!W8)</f>
        <v>0</v>
      </c>
      <c r="AD94" s="63">
        <f>VALUE(點數BO!X8)</f>
        <v>1</v>
      </c>
      <c r="AE94" s="63">
        <f>VALUE(點數BO!Y8)</f>
        <v>0</v>
      </c>
      <c r="AF94" s="63">
        <f>VALUE(點數BO!Z8)</f>
        <v>1</v>
      </c>
      <c r="AG94" s="63">
        <f>VALUE(點數BO!AA8)</f>
        <v>0</v>
      </c>
      <c r="AH94" s="63">
        <f>VALUE(點數BO!AB8)</f>
        <v>1</v>
      </c>
      <c r="AI94" s="63">
        <f>VALUE(點數BO!AC8)</f>
        <v>1</v>
      </c>
      <c r="AJ94" s="63">
        <f>VALUE(點數BO!AD8)</f>
        <v>1</v>
      </c>
      <c r="AK94" s="63">
        <f>VALUE(點數BO!AE8)</f>
        <v>1</v>
      </c>
      <c r="AL94" s="63">
        <f>VALUE(點數BO!AF8)</f>
        <v>0</v>
      </c>
      <c r="AM94" s="63">
        <f>VALUE(點數BO!AG8)</f>
        <v>1</v>
      </c>
      <c r="AN94" s="480">
        <f>VALUE(點數BO!AH8)</f>
        <v>45</v>
      </c>
    </row>
    <row r="95" spans="1:41" s="35" customFormat="1" ht="21.95" customHeight="1">
      <c r="A95" s="562" t="s">
        <v>17</v>
      </c>
      <c r="B95" s="563"/>
      <c r="C95" s="563"/>
      <c r="D95" s="314">
        <f>HLOOKUP(MONTH(日期!$C$2),去年月推移!$D$1:$O$200,151,TRUE)</f>
        <v>8</v>
      </c>
      <c r="E95" s="65" t="s">
        <v>45</v>
      </c>
      <c r="F95" s="65" t="s">
        <v>45</v>
      </c>
      <c r="G95" s="543">
        <f>當年月推移!P153</f>
        <v>12</v>
      </c>
      <c r="H95" s="544"/>
      <c r="I95" s="63">
        <f>VALUE(點數BO!C9)</f>
        <v>1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0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0</v>
      </c>
      <c r="AA95" s="63">
        <f>VALUE(點數BO!U9)</f>
        <v>0</v>
      </c>
      <c r="AB95" s="63">
        <f>VALUE(點數BO!V9)</f>
        <v>1</v>
      </c>
      <c r="AC95" s="63">
        <f>VALUE(點數BO!W9)</f>
        <v>0</v>
      </c>
      <c r="AD95" s="63">
        <f>VALUE(點數BO!X9)</f>
        <v>0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480">
        <f>VALUE(點數BO!AH9)</f>
        <v>2</v>
      </c>
    </row>
    <row r="96" spans="1:41" s="35" customFormat="1" ht="21.95" customHeight="1">
      <c r="A96" s="564" t="s">
        <v>49</v>
      </c>
      <c r="B96" s="565"/>
      <c r="C96" s="566"/>
      <c r="D96" s="321">
        <f>HLOOKUP(MONTH(日期!$C$2),去年月推移!$D$1:$O$200,152,TRUE)</f>
        <v>6865</v>
      </c>
      <c r="E96" s="248"/>
      <c r="F96" s="248"/>
      <c r="G96" s="558">
        <f>當年月推移!P154</f>
        <v>7258</v>
      </c>
      <c r="H96" s="559"/>
      <c r="I96" s="249">
        <f>SUM(I89:I95)</f>
        <v>244</v>
      </c>
      <c r="J96" s="249">
        <f>SUM(J89:J95)</f>
        <v>0</v>
      </c>
      <c r="K96" s="249">
        <f>SUM(K89:K95)</f>
        <v>357</v>
      </c>
      <c r="L96" s="249">
        <f t="shared" ref="L96:AN96" si="11">SUM(L89:L95)</f>
        <v>466</v>
      </c>
      <c r="M96" s="249">
        <f t="shared" si="11"/>
        <v>432</v>
      </c>
      <c r="N96" s="249">
        <f t="shared" si="11"/>
        <v>418</v>
      </c>
      <c r="O96" s="249">
        <f t="shared" si="11"/>
        <v>0</v>
      </c>
      <c r="P96" s="249">
        <f t="shared" si="11"/>
        <v>232</v>
      </c>
      <c r="Q96" s="249">
        <f t="shared" si="11"/>
        <v>0</v>
      </c>
      <c r="R96" s="249">
        <f t="shared" si="11"/>
        <v>356</v>
      </c>
      <c r="S96" s="249">
        <f t="shared" si="11"/>
        <v>336</v>
      </c>
      <c r="T96" s="249">
        <f t="shared" si="11"/>
        <v>317</v>
      </c>
      <c r="U96" s="249">
        <f t="shared" si="11"/>
        <v>324</v>
      </c>
      <c r="V96" s="249">
        <f t="shared" si="11"/>
        <v>267</v>
      </c>
      <c r="W96" s="249">
        <f t="shared" si="11"/>
        <v>285</v>
      </c>
      <c r="X96" s="249">
        <f t="shared" si="11"/>
        <v>0</v>
      </c>
      <c r="Y96" s="249">
        <f t="shared" si="11"/>
        <v>289</v>
      </c>
      <c r="Z96" s="249">
        <f t="shared" si="11"/>
        <v>388</v>
      </c>
      <c r="AA96" s="249">
        <f t="shared" si="11"/>
        <v>332</v>
      </c>
      <c r="AB96" s="249">
        <f t="shared" si="11"/>
        <v>278</v>
      </c>
      <c r="AC96" s="249">
        <f t="shared" si="11"/>
        <v>249</v>
      </c>
      <c r="AD96" s="249">
        <f t="shared" si="11"/>
        <v>188</v>
      </c>
      <c r="AE96" s="249">
        <f t="shared" si="11"/>
        <v>0</v>
      </c>
      <c r="AF96" s="249">
        <f t="shared" si="11"/>
        <v>282</v>
      </c>
      <c r="AG96" s="249">
        <f t="shared" si="11"/>
        <v>372</v>
      </c>
      <c r="AH96" s="249">
        <f t="shared" si="11"/>
        <v>308</v>
      </c>
      <c r="AI96" s="249">
        <f t="shared" si="11"/>
        <v>248</v>
      </c>
      <c r="AJ96" s="249">
        <f t="shared" si="11"/>
        <v>259</v>
      </c>
      <c r="AK96" s="249">
        <f t="shared" si="11"/>
        <v>201</v>
      </c>
      <c r="AL96" s="249">
        <f t="shared" si="11"/>
        <v>0</v>
      </c>
      <c r="AM96" s="249">
        <f t="shared" si="11"/>
        <v>256</v>
      </c>
      <c r="AN96" s="250">
        <f t="shared" si="11"/>
        <v>7982</v>
      </c>
    </row>
    <row r="97" spans="1:41" s="35" customFormat="1" ht="21.95" customHeight="1">
      <c r="A97" s="553" t="s">
        <v>23</v>
      </c>
      <c r="B97" s="554"/>
      <c r="C97" s="554"/>
      <c r="D97" s="316">
        <f>HLOOKUP(MONTH(日期!$C$2),去年月推移!$D$1:$O$200,153,TRUE)</f>
        <v>829</v>
      </c>
      <c r="E97" s="64" t="s">
        <v>45</v>
      </c>
      <c r="F97" s="64" t="s">
        <v>45</v>
      </c>
      <c r="G97" s="543">
        <f>當年月推移!P155</f>
        <v>1092</v>
      </c>
      <c r="H97" s="544"/>
      <c r="I97" s="63">
        <f>VALUE(點數BO!C3)</f>
        <v>24</v>
      </c>
      <c r="J97" s="63">
        <f>VALUE(點數BO!D3)</f>
        <v>0</v>
      </c>
      <c r="K97" s="63">
        <f>VALUE(點數BO!E3)</f>
        <v>55</v>
      </c>
      <c r="L97" s="63">
        <f>VALUE(點數BO!F3)</f>
        <v>40</v>
      </c>
      <c r="M97" s="63">
        <f>VALUE(點數BO!G3)</f>
        <v>52</v>
      </c>
      <c r="N97" s="63">
        <f>VALUE(點數BO!H3)</f>
        <v>35</v>
      </c>
      <c r="O97" s="63">
        <f>VALUE(點數BO!I3)</f>
        <v>0</v>
      </c>
      <c r="P97" s="63">
        <f>VALUE(點數BO!J3)</f>
        <v>24</v>
      </c>
      <c r="Q97" s="63">
        <f>VALUE(點數BO!K3)</f>
        <v>0</v>
      </c>
      <c r="R97" s="63">
        <f>VALUE(點數BO!L3)</f>
        <v>39</v>
      </c>
      <c r="S97" s="63">
        <f>VALUE(點數BO!M3)</f>
        <v>30</v>
      </c>
      <c r="T97" s="63">
        <f>VALUE(點數BO!N3)</f>
        <v>47</v>
      </c>
      <c r="U97" s="63">
        <f>VALUE(點數BO!O3)</f>
        <v>32</v>
      </c>
      <c r="V97" s="63">
        <f>VALUE(點數BO!P3)</f>
        <v>24</v>
      </c>
      <c r="W97" s="63">
        <f>VALUE(點數BO!Q3)</f>
        <v>25</v>
      </c>
      <c r="X97" s="63">
        <f>VALUE(點數BO!R3)</f>
        <v>0</v>
      </c>
      <c r="Y97" s="63">
        <f>VALUE(點數BO!S3)</f>
        <v>40</v>
      </c>
      <c r="Z97" s="63">
        <f>VALUE(點數BO!T3)</f>
        <v>25</v>
      </c>
      <c r="AA97" s="63">
        <f>VALUE(點數BO!U3)</f>
        <v>33</v>
      </c>
      <c r="AB97" s="63">
        <f>VALUE(點數BO!V3)</f>
        <v>35</v>
      </c>
      <c r="AC97" s="63">
        <f>VALUE(點數BO!W3)</f>
        <v>32</v>
      </c>
      <c r="AD97" s="63">
        <f>VALUE(點數BO!X3)</f>
        <v>22</v>
      </c>
      <c r="AE97" s="63">
        <f>VALUE(點數BO!Y3)</f>
        <v>0</v>
      </c>
      <c r="AF97" s="63">
        <f>VALUE(點數BO!Z3)</f>
        <v>33</v>
      </c>
      <c r="AG97" s="63">
        <f>VALUE(點數BO!AA3)</f>
        <v>50</v>
      </c>
      <c r="AH97" s="63">
        <f>VALUE(點數BO!AB3)</f>
        <v>34</v>
      </c>
      <c r="AI97" s="63">
        <f>VALUE(點數BO!AC3)</f>
        <v>26</v>
      </c>
      <c r="AJ97" s="63">
        <f>VALUE(點數BO!AD3)</f>
        <v>43</v>
      </c>
      <c r="AK97" s="63">
        <f>VALUE(點數BO!AE3)</f>
        <v>17</v>
      </c>
      <c r="AL97" s="63">
        <f>VALUE(點數BO!AF3)</f>
        <v>0</v>
      </c>
      <c r="AM97" s="63">
        <f>VALUE(點數BO!AG3)</f>
        <v>36</v>
      </c>
      <c r="AN97" s="480">
        <f>VALUE(點數BO!AH3)</f>
        <v>896</v>
      </c>
    </row>
    <row r="98" spans="1:41" s="35" customFormat="1" ht="21.95" customHeight="1">
      <c r="A98" s="555" t="s">
        <v>24</v>
      </c>
      <c r="B98" s="556"/>
      <c r="C98" s="557"/>
      <c r="D98" s="314">
        <f>HLOOKUP(MONTH(日期!$C$2),去年月推移!$D$1:$O$200,154,TRUE)</f>
        <v>0</v>
      </c>
      <c r="E98" s="65"/>
      <c r="F98" s="65"/>
      <c r="G98" s="543">
        <f>當年月推移!P156</f>
        <v>0</v>
      </c>
      <c r="H98" s="544"/>
      <c r="I98" s="63">
        <f>VALUE(點數BO!C10)</f>
        <v>2</v>
      </c>
      <c r="J98" s="63">
        <f>VALUE(點數BO!D10)</f>
        <v>0</v>
      </c>
      <c r="K98" s="63">
        <f>VALUE(點數BO!E10)</f>
        <v>3</v>
      </c>
      <c r="L98" s="63">
        <f>VALUE(點數BO!F10)</f>
        <v>1</v>
      </c>
      <c r="M98" s="63">
        <f>VALUE(點數BO!G10)</f>
        <v>0</v>
      </c>
      <c r="N98" s="63">
        <f>VALUE(點數BO!H10)</f>
        <v>1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1</v>
      </c>
      <c r="Z98" s="63">
        <f>VALUE(點數BO!T10)</f>
        <v>0</v>
      </c>
      <c r="AA98" s="63">
        <f>VALUE(點數BO!U10)</f>
        <v>1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480">
        <f>VALUE(點數BO!AH10)</f>
        <v>9</v>
      </c>
    </row>
    <row r="99" spans="1:41" s="35" customFormat="1" ht="21.95" customHeight="1">
      <c r="A99" s="555" t="s">
        <v>25</v>
      </c>
      <c r="B99" s="556"/>
      <c r="C99" s="557"/>
      <c r="D99" s="314">
        <f>HLOOKUP(MONTH(日期!$C$2),去年月推移!$D$1:$O$200,155,TRUE)</f>
        <v>17</v>
      </c>
      <c r="E99" s="65"/>
      <c r="F99" s="65"/>
      <c r="G99" s="543">
        <f>當年月推移!P157</f>
        <v>53</v>
      </c>
      <c r="H99" s="544"/>
      <c r="I99" s="63">
        <f>VALUE(點數BO!C11)</f>
        <v>4</v>
      </c>
      <c r="J99" s="63">
        <f>VALUE(點數BO!D11)</f>
        <v>0</v>
      </c>
      <c r="K99" s="63">
        <f>VALUE(點數BO!E11)</f>
        <v>0</v>
      </c>
      <c r="L99" s="63">
        <f>VALUE(點數BO!F11)</f>
        <v>3</v>
      </c>
      <c r="M99" s="63">
        <f>VALUE(點數BO!G11)</f>
        <v>8</v>
      </c>
      <c r="N99" s="63">
        <f>VALUE(點數BO!H11)</f>
        <v>5</v>
      </c>
      <c r="O99" s="63">
        <f>VALUE(點數BO!I11)</f>
        <v>0</v>
      </c>
      <c r="P99" s="63">
        <f>VALUE(點數BO!J11)</f>
        <v>0</v>
      </c>
      <c r="Q99" s="63">
        <f>VALUE(點數BO!K11)</f>
        <v>0</v>
      </c>
      <c r="R99" s="63">
        <f>VALUE(點數BO!L11)</f>
        <v>2</v>
      </c>
      <c r="S99" s="63">
        <f>VALUE(點數BO!M11)</f>
        <v>2</v>
      </c>
      <c r="T99" s="63">
        <f>VALUE(點數BO!N11)</f>
        <v>6</v>
      </c>
      <c r="U99" s="63">
        <f>VALUE(點數BO!O11)</f>
        <v>3</v>
      </c>
      <c r="V99" s="63">
        <f>VALUE(點數BO!P11)</f>
        <v>3</v>
      </c>
      <c r="W99" s="63">
        <f>VALUE(點數BO!Q11)</f>
        <v>3</v>
      </c>
      <c r="X99" s="63">
        <f>VALUE(點數BO!R11)</f>
        <v>0</v>
      </c>
      <c r="Y99" s="63">
        <f>VALUE(點數BO!S11)</f>
        <v>5</v>
      </c>
      <c r="Z99" s="63">
        <f>VALUE(點數BO!T11)</f>
        <v>10</v>
      </c>
      <c r="AA99" s="63">
        <f>VALUE(點數BO!U11)</f>
        <v>4</v>
      </c>
      <c r="AB99" s="63">
        <f>VALUE(點數BO!V11)</f>
        <v>3</v>
      </c>
      <c r="AC99" s="63">
        <f>VALUE(點數BO!W11)</f>
        <v>2</v>
      </c>
      <c r="AD99" s="63">
        <f>VALUE(點數BO!X11)</f>
        <v>0</v>
      </c>
      <c r="AE99" s="63">
        <f>VALUE(點數BO!Y11)</f>
        <v>0</v>
      </c>
      <c r="AF99" s="63">
        <f>VALUE(點數BO!Z11)</f>
        <v>8</v>
      </c>
      <c r="AG99" s="63">
        <f>VALUE(點數BO!AA11)</f>
        <v>2</v>
      </c>
      <c r="AH99" s="63">
        <f>VALUE(點數BO!AB11)</f>
        <v>5</v>
      </c>
      <c r="AI99" s="63">
        <f>VALUE(點數BO!AC11)</f>
        <v>0</v>
      </c>
      <c r="AJ99" s="63">
        <f>VALUE(點數BO!AD11)</f>
        <v>0</v>
      </c>
      <c r="AK99" s="63">
        <f>VALUE(點數BO!AE11)</f>
        <v>0</v>
      </c>
      <c r="AL99" s="63">
        <f>VALUE(點數BO!AF11)</f>
        <v>0</v>
      </c>
      <c r="AM99" s="63">
        <f>VALUE(點數BO!AG11)</f>
        <v>1</v>
      </c>
      <c r="AN99" s="480">
        <f>VALUE(點數BO!AH11)</f>
        <v>82</v>
      </c>
    </row>
    <row r="100" spans="1:41" s="35" customFormat="1" ht="21.95" customHeight="1">
      <c r="A100" s="555" t="s">
        <v>26</v>
      </c>
      <c r="B100" s="556"/>
      <c r="C100" s="557"/>
      <c r="D100" s="314">
        <f>HLOOKUP(MONTH(日期!$C$2),去年月推移!$D$1:$O$200,156,TRUE)</f>
        <v>383</v>
      </c>
      <c r="E100" s="65"/>
      <c r="F100" s="65"/>
      <c r="G100" s="543">
        <f>當年月推移!P158</f>
        <v>274</v>
      </c>
      <c r="H100" s="544"/>
      <c r="I100" s="63">
        <f>VALUE(點數BO!C12)</f>
        <v>9</v>
      </c>
      <c r="J100" s="63">
        <f>VALUE(點數BO!D12)</f>
        <v>0</v>
      </c>
      <c r="K100" s="63">
        <f>VALUE(點數BO!E12)</f>
        <v>13</v>
      </c>
      <c r="L100" s="63">
        <f>VALUE(點數BO!F12)</f>
        <v>9</v>
      </c>
      <c r="M100" s="63">
        <f>VALUE(點數BO!G12)</f>
        <v>13</v>
      </c>
      <c r="N100" s="63">
        <f>VALUE(點數BO!H12)</f>
        <v>12</v>
      </c>
      <c r="O100" s="63">
        <f>VALUE(點數BO!I12)</f>
        <v>0</v>
      </c>
      <c r="P100" s="63">
        <f>VALUE(點數BO!J12)</f>
        <v>7</v>
      </c>
      <c r="Q100" s="63">
        <f>VALUE(點數BO!K12)</f>
        <v>0</v>
      </c>
      <c r="R100" s="63">
        <f>VALUE(點數BO!L12)</f>
        <v>6</v>
      </c>
      <c r="S100" s="63">
        <f>VALUE(點數BO!M12)</f>
        <v>9</v>
      </c>
      <c r="T100" s="63">
        <f>VALUE(點數BO!N12)</f>
        <v>9</v>
      </c>
      <c r="U100" s="63">
        <f>VALUE(點數BO!O12)</f>
        <v>1</v>
      </c>
      <c r="V100" s="63">
        <f>VALUE(點數BO!P12)</f>
        <v>16</v>
      </c>
      <c r="W100" s="63">
        <f>VALUE(點數BO!Q12)</f>
        <v>6</v>
      </c>
      <c r="X100" s="63">
        <f>VALUE(點數BO!R12)</f>
        <v>0</v>
      </c>
      <c r="Y100" s="63">
        <f>VALUE(點數BO!S12)</f>
        <v>16</v>
      </c>
      <c r="Z100" s="63">
        <f>VALUE(點數BO!T12)</f>
        <v>15</v>
      </c>
      <c r="AA100" s="63">
        <f>VALUE(點數BO!U12)</f>
        <v>11</v>
      </c>
      <c r="AB100" s="63">
        <f>VALUE(點數BO!V12)</f>
        <v>6</v>
      </c>
      <c r="AC100" s="63">
        <f>VALUE(點數BO!W12)</f>
        <v>5</v>
      </c>
      <c r="AD100" s="63">
        <f>VALUE(點數BO!X12)</f>
        <v>24</v>
      </c>
      <c r="AE100" s="63">
        <f>VALUE(點數BO!Y12)</f>
        <v>0</v>
      </c>
      <c r="AF100" s="63">
        <f>VALUE(點數BO!Z12)</f>
        <v>11</v>
      </c>
      <c r="AG100" s="63">
        <f>VALUE(點數BO!AA12)</f>
        <v>3</v>
      </c>
      <c r="AH100" s="63">
        <f>VALUE(點數BO!AB12)</f>
        <v>13</v>
      </c>
      <c r="AI100" s="63">
        <f>VALUE(點數BO!AC12)</f>
        <v>8</v>
      </c>
      <c r="AJ100" s="63">
        <f>VALUE(點數BO!AD12)</f>
        <v>27</v>
      </c>
      <c r="AK100" s="63">
        <f>VALUE(點數BO!AE12)</f>
        <v>20</v>
      </c>
      <c r="AL100" s="63">
        <f>VALUE(點數BO!AF12)</f>
        <v>0</v>
      </c>
      <c r="AM100" s="63">
        <f>VALUE(點數BO!AG12)</f>
        <v>9</v>
      </c>
      <c r="AN100" s="480">
        <f>VALUE(點數BO!AH12)</f>
        <v>287</v>
      </c>
    </row>
    <row r="101" spans="1:41" s="35" customFormat="1" ht="21.95" customHeight="1">
      <c r="A101" s="555" t="s">
        <v>27</v>
      </c>
      <c r="B101" s="556"/>
      <c r="C101" s="557"/>
      <c r="D101" s="314">
        <f>HLOOKUP(MONTH(日期!$C$2),去年月推移!$D$1:$O$200,157,TRUE)</f>
        <v>96</v>
      </c>
      <c r="E101" s="65" t="s">
        <v>45</v>
      </c>
      <c r="F101" s="65" t="s">
        <v>45</v>
      </c>
      <c r="G101" s="543">
        <f>當年月推移!P159</f>
        <v>87</v>
      </c>
      <c r="H101" s="544"/>
      <c r="I101" s="63">
        <f>VALUE(點數BO!C13)</f>
        <v>5</v>
      </c>
      <c r="J101" s="63">
        <f>VALUE(點數BO!D13)</f>
        <v>0</v>
      </c>
      <c r="K101" s="63">
        <f>VALUE(點數BO!E13)</f>
        <v>2</v>
      </c>
      <c r="L101" s="63">
        <f>VALUE(點數BO!F13)</f>
        <v>0</v>
      </c>
      <c r="M101" s="63">
        <f>VALUE(點數BO!G13)</f>
        <v>2</v>
      </c>
      <c r="N101" s="63">
        <f>VALUE(點數BO!H13)</f>
        <v>2</v>
      </c>
      <c r="O101" s="63">
        <f>VALUE(點數BO!I13)</f>
        <v>0</v>
      </c>
      <c r="P101" s="63">
        <f>VALUE(點數BO!J13)</f>
        <v>1</v>
      </c>
      <c r="Q101" s="63">
        <f>VALUE(點數BO!K13)</f>
        <v>0</v>
      </c>
      <c r="R101" s="63">
        <f>VALUE(點數BO!L13)</f>
        <v>0</v>
      </c>
      <c r="S101" s="63">
        <f>VALUE(點數BO!M13)</f>
        <v>3</v>
      </c>
      <c r="T101" s="63">
        <f>VALUE(點數BO!N13)</f>
        <v>0</v>
      </c>
      <c r="U101" s="63">
        <f>VALUE(點數BO!O13)</f>
        <v>0</v>
      </c>
      <c r="V101" s="63">
        <f>VALUE(點數BO!P13)</f>
        <v>2</v>
      </c>
      <c r="W101" s="63">
        <f>VALUE(點數BO!Q13)</f>
        <v>1</v>
      </c>
      <c r="X101" s="63">
        <f>VALUE(點數BO!R13)</f>
        <v>0</v>
      </c>
      <c r="Y101" s="63">
        <f>VALUE(點數BO!S13)</f>
        <v>4</v>
      </c>
      <c r="Z101" s="63">
        <f>VALUE(點數BO!T13)</f>
        <v>2</v>
      </c>
      <c r="AA101" s="63">
        <f>VALUE(點數BO!U13)</f>
        <v>2</v>
      </c>
      <c r="AB101" s="63">
        <f>VALUE(點數BO!V13)</f>
        <v>3</v>
      </c>
      <c r="AC101" s="63">
        <f>VALUE(點數BO!W13)</f>
        <v>1</v>
      </c>
      <c r="AD101" s="63">
        <f>VALUE(點數BO!X13)</f>
        <v>1</v>
      </c>
      <c r="AE101" s="63">
        <f>VALUE(點數BO!Y13)</f>
        <v>0</v>
      </c>
      <c r="AF101" s="63">
        <f>VALUE(點數BO!Z13)</f>
        <v>0</v>
      </c>
      <c r="AG101" s="63">
        <f>VALUE(點數BO!AA13)</f>
        <v>2</v>
      </c>
      <c r="AH101" s="63">
        <f>VALUE(點數BO!AB13)</f>
        <v>1</v>
      </c>
      <c r="AI101" s="63">
        <f>VALUE(點數BO!AC13)</f>
        <v>3</v>
      </c>
      <c r="AJ101" s="63">
        <f>VALUE(點數BO!AD13)</f>
        <v>0</v>
      </c>
      <c r="AK101" s="63">
        <f>VALUE(點數BO!AE13)</f>
        <v>0</v>
      </c>
      <c r="AL101" s="63">
        <f>VALUE(點數BO!AF13)</f>
        <v>0</v>
      </c>
      <c r="AM101" s="63">
        <f>VALUE(點數BO!AG13)</f>
        <v>0</v>
      </c>
      <c r="AN101" s="480">
        <f>VALUE(點數BO!AH13)</f>
        <v>40</v>
      </c>
    </row>
    <row r="102" spans="1:41" s="35" customFormat="1" ht="21.95" customHeight="1">
      <c r="A102" s="555" t="s">
        <v>28</v>
      </c>
      <c r="B102" s="556"/>
      <c r="C102" s="557"/>
      <c r="D102" s="315">
        <f>HLOOKUP(MONTH(日期!$C$2),去年月推移!$D$1:$O$200,158,TRUE)</f>
        <v>0</v>
      </c>
      <c r="E102" s="65"/>
      <c r="F102" s="65"/>
      <c r="G102" s="543">
        <f>當年月推移!P160</f>
        <v>0</v>
      </c>
      <c r="H102" s="544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1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480">
        <f>VALUE(點數BO!AH14)</f>
        <v>1</v>
      </c>
    </row>
    <row r="103" spans="1:41" s="67" customFormat="1" ht="21.95" customHeight="1" thickBot="1">
      <c r="A103" s="560" t="s">
        <v>50</v>
      </c>
      <c r="B103" s="561"/>
      <c r="C103" s="561"/>
      <c r="D103" s="66">
        <f>HLOOKUP(MONTH(日期!$C$2),去年月推移!$D$1:$O$200,159,TRUE)</f>
        <v>1325</v>
      </c>
      <c r="E103" s="66" t="s">
        <v>45</v>
      </c>
      <c r="F103" s="66" t="s">
        <v>45</v>
      </c>
      <c r="G103" s="545">
        <f>當年月推移!P161</f>
        <v>1506</v>
      </c>
      <c r="H103" s="546"/>
      <c r="I103" s="66">
        <f>SUM(I97:I102)</f>
        <v>44</v>
      </c>
      <c r="J103" s="66">
        <f>SUM(J97:J102)</f>
        <v>0</v>
      </c>
      <c r="K103" s="66">
        <f t="shared" ref="K103:AN103" si="12">SUM(K97:K102)</f>
        <v>73</v>
      </c>
      <c r="L103" s="66">
        <f t="shared" si="12"/>
        <v>53</v>
      </c>
      <c r="M103" s="66">
        <f t="shared" si="12"/>
        <v>75</v>
      </c>
      <c r="N103" s="66">
        <f t="shared" si="12"/>
        <v>55</v>
      </c>
      <c r="O103" s="66">
        <f t="shared" si="12"/>
        <v>0</v>
      </c>
      <c r="P103" s="66">
        <f t="shared" si="12"/>
        <v>32</v>
      </c>
      <c r="Q103" s="66">
        <f t="shared" si="12"/>
        <v>0</v>
      </c>
      <c r="R103" s="66">
        <f t="shared" si="12"/>
        <v>48</v>
      </c>
      <c r="S103" s="66">
        <f t="shared" si="12"/>
        <v>44</v>
      </c>
      <c r="T103" s="66">
        <f t="shared" si="12"/>
        <v>62</v>
      </c>
      <c r="U103" s="66">
        <f t="shared" si="12"/>
        <v>36</v>
      </c>
      <c r="V103" s="66">
        <f t="shared" si="12"/>
        <v>45</v>
      </c>
      <c r="W103" s="66">
        <f t="shared" si="12"/>
        <v>35</v>
      </c>
      <c r="X103" s="66">
        <f t="shared" si="12"/>
        <v>0</v>
      </c>
      <c r="Y103" s="66">
        <f t="shared" si="12"/>
        <v>66</v>
      </c>
      <c r="Z103" s="66">
        <f t="shared" si="12"/>
        <v>52</v>
      </c>
      <c r="AA103" s="66">
        <f t="shared" si="12"/>
        <v>51</v>
      </c>
      <c r="AB103" s="66">
        <f t="shared" si="12"/>
        <v>47</v>
      </c>
      <c r="AC103" s="66">
        <f t="shared" si="12"/>
        <v>40</v>
      </c>
      <c r="AD103" s="66">
        <f t="shared" si="12"/>
        <v>47</v>
      </c>
      <c r="AE103" s="66">
        <f t="shared" si="12"/>
        <v>0</v>
      </c>
      <c r="AF103" s="66">
        <f t="shared" si="12"/>
        <v>52</v>
      </c>
      <c r="AG103" s="66">
        <f t="shared" si="12"/>
        <v>57</v>
      </c>
      <c r="AH103" s="66">
        <f t="shared" si="12"/>
        <v>53</v>
      </c>
      <c r="AI103" s="66">
        <f t="shared" si="12"/>
        <v>37</v>
      </c>
      <c r="AJ103" s="66">
        <f t="shared" si="12"/>
        <v>70</v>
      </c>
      <c r="AK103" s="66">
        <f t="shared" si="12"/>
        <v>37</v>
      </c>
      <c r="AL103" s="66">
        <f t="shared" si="12"/>
        <v>0</v>
      </c>
      <c r="AM103" s="66">
        <f t="shared" si="12"/>
        <v>46</v>
      </c>
      <c r="AN103" s="218">
        <f t="shared" si="12"/>
        <v>1315</v>
      </c>
      <c r="AO103" s="16">
        <f>SUM(I103:AM103)</f>
        <v>1257</v>
      </c>
    </row>
    <row r="104" spans="1:41" s="67" customFormat="1" ht="21.95" customHeight="1">
      <c r="A104" s="547" t="s">
        <v>31</v>
      </c>
      <c r="B104" s="548"/>
      <c r="C104" s="549"/>
      <c r="D104" s="316">
        <f>HLOOKUP(MONTH(日期!$C$2),去年月推移!$D$1:$O$200,160,TRUE)</f>
        <v>0</v>
      </c>
      <c r="E104" s="273"/>
      <c r="F104" s="273"/>
      <c r="G104" s="541">
        <f>當年月推移!P162</f>
        <v>0</v>
      </c>
      <c r="H104" s="542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481">
        <f>VALUE(點數BO!AH15)</f>
        <v>0</v>
      </c>
      <c r="AO104" s="16"/>
    </row>
    <row r="105" spans="1:41" s="67" customFormat="1" ht="21.95" customHeight="1">
      <c r="A105" s="550" t="s">
        <v>32</v>
      </c>
      <c r="B105" s="551"/>
      <c r="C105" s="552"/>
      <c r="D105" s="316">
        <f>HLOOKUP(MONTH(日期!$C$2),去年月推移!$D$1:$O$200,161,TRUE)</f>
        <v>0</v>
      </c>
      <c r="E105" s="274"/>
      <c r="F105" s="274"/>
      <c r="G105" s="543">
        <f>當年月推移!P163</f>
        <v>0</v>
      </c>
      <c r="H105" s="544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482">
        <f>VALUE(點數BO!AH16)</f>
        <v>0</v>
      </c>
      <c r="AO105" s="16"/>
    </row>
    <row r="106" spans="1:41" s="67" customFormat="1" ht="21.95" customHeight="1">
      <c r="A106" s="550" t="s">
        <v>33</v>
      </c>
      <c r="B106" s="551"/>
      <c r="C106" s="552"/>
      <c r="D106" s="316">
        <f>HLOOKUP(MONTH(日期!$C$2),去年月推移!$D$1:$O$200,162,TRUE)</f>
        <v>0</v>
      </c>
      <c r="E106" s="274"/>
      <c r="F106" s="274"/>
      <c r="G106" s="543">
        <f>當年月推移!P164</f>
        <v>0</v>
      </c>
      <c r="H106" s="544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482">
        <f>VALUE(點數BO!AH17)</f>
        <v>0</v>
      </c>
      <c r="AO106" s="16"/>
    </row>
    <row r="107" spans="1:41" s="67" customFormat="1" ht="21.95" customHeight="1">
      <c r="A107" s="550" t="s">
        <v>34</v>
      </c>
      <c r="B107" s="551"/>
      <c r="C107" s="552"/>
      <c r="D107" s="316">
        <f>HLOOKUP(MONTH(日期!$C$2),去年月推移!$D$1:$O$200,163,TRUE)</f>
        <v>0</v>
      </c>
      <c r="E107" s="274"/>
      <c r="F107" s="274"/>
      <c r="G107" s="543">
        <f>當年月推移!P165</f>
        <v>0</v>
      </c>
      <c r="H107" s="544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482">
        <f>VALUE(點數BO!AH18)</f>
        <v>0</v>
      </c>
      <c r="AO107" s="16"/>
    </row>
    <row r="108" spans="1:41" s="67" customFormat="1" ht="21.95" customHeight="1">
      <c r="A108" s="550" t="s">
        <v>35</v>
      </c>
      <c r="B108" s="551"/>
      <c r="C108" s="552"/>
      <c r="D108" s="316">
        <f>HLOOKUP(MONTH(日期!$C$2),去年月推移!$D$1:$O$200,164,TRUE)</f>
        <v>0</v>
      </c>
      <c r="E108" s="298"/>
      <c r="F108" s="298"/>
      <c r="G108" s="543">
        <f>當年月推移!P166</f>
        <v>0</v>
      </c>
      <c r="H108" s="544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482">
        <f>VALUE(點數BO!AH19)</f>
        <v>0</v>
      </c>
      <c r="AO108" s="16"/>
    </row>
    <row r="109" spans="1:41" s="67" customFormat="1" ht="21.95" customHeight="1" thickBot="1">
      <c r="A109" s="538" t="s">
        <v>30</v>
      </c>
      <c r="B109" s="539"/>
      <c r="C109" s="540"/>
      <c r="D109" s="66">
        <f>HLOOKUP(MONTH(日期!$C$2),去年月推移!$D$1:$O$200,165,TRUE)</f>
        <v>0</v>
      </c>
      <c r="E109" s="66"/>
      <c r="F109" s="66"/>
      <c r="G109" s="545">
        <f>當年月推移!P167</f>
        <v>0</v>
      </c>
      <c r="H109" s="546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tabSelected="1" zoomScale="70" workbookViewId="0">
      <pane xSplit="3" ySplit="5" topLeftCell="D6" activePane="bottomRight" state="frozen"/>
      <selection pane="bottomRight" activeCell="AI9" sqref="AI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527" t="s">
        <v>1</v>
      </c>
      <c r="B4" s="527" t="s">
        <v>67</v>
      </c>
      <c r="C4" s="507" t="str">
        <f>YEAR(日期!C2)&amp;"年"&amp;MONTH(日期!C2)&amp;"月"</f>
        <v>2026年8月</v>
      </c>
      <c r="D4" s="508" t="str">
        <f>日期!C2</f>
        <v>2026/08/01</v>
      </c>
      <c r="E4" s="508" t="str">
        <f>日期!D2</f>
        <v>2026/08/02</v>
      </c>
      <c r="F4" s="508" t="str">
        <f>日期!E2</f>
        <v>2026/08/03</v>
      </c>
      <c r="G4" s="508" t="str">
        <f>日期!F2</f>
        <v>2026/08/04</v>
      </c>
      <c r="H4" s="508" t="str">
        <f>日期!G2</f>
        <v>2026/08/05</v>
      </c>
      <c r="I4" s="508" t="str">
        <f>日期!H2</f>
        <v>2026/08/06</v>
      </c>
      <c r="J4" s="508" t="str">
        <f>日期!I2</f>
        <v>2026/08/07</v>
      </c>
      <c r="K4" s="508" t="str">
        <f>日期!J2</f>
        <v>2026/08/08</v>
      </c>
      <c r="L4" s="508" t="str">
        <f>日期!K2</f>
        <v>2026/08/09</v>
      </c>
      <c r="M4" s="508" t="str">
        <f>日期!L2</f>
        <v>2026/08/10</v>
      </c>
      <c r="N4" s="508" t="str">
        <f>日期!M2</f>
        <v>2026/08/11</v>
      </c>
      <c r="O4" s="508" t="str">
        <f>日期!N2</f>
        <v>2026/08/12</v>
      </c>
      <c r="P4" s="508" t="str">
        <f>日期!O2</f>
        <v>2026/08/13</v>
      </c>
      <c r="Q4" s="508" t="str">
        <f>日期!P2</f>
        <v>2026/08/14</v>
      </c>
      <c r="R4" s="508" t="str">
        <f>日期!Q2</f>
        <v>2026/08/15</v>
      </c>
      <c r="S4" s="508" t="str">
        <f>日期!R2</f>
        <v>2026/08/16</v>
      </c>
      <c r="T4" s="508" t="str">
        <f>日期!S2</f>
        <v>2026/08/17</v>
      </c>
      <c r="U4" s="508" t="str">
        <f>日期!T2</f>
        <v>2026/08/18</v>
      </c>
      <c r="V4" s="508" t="str">
        <f>日期!U2</f>
        <v>2026/08/19</v>
      </c>
      <c r="W4" s="508" t="str">
        <f>日期!V2</f>
        <v>2026/08/20</v>
      </c>
      <c r="X4" s="508" t="str">
        <f>日期!W2</f>
        <v>2026/08/21</v>
      </c>
      <c r="Y4" s="508" t="str">
        <f>日期!X2</f>
        <v>2026/08/22</v>
      </c>
      <c r="Z4" s="508" t="str">
        <f>日期!Y2</f>
        <v>2026/08/23</v>
      </c>
      <c r="AA4" s="508" t="str">
        <f>日期!Z2</f>
        <v>2026/08/24</v>
      </c>
      <c r="AB4" s="508" t="str">
        <f>日期!AA2</f>
        <v>2026/08/25</v>
      </c>
      <c r="AC4" s="508" t="str">
        <f>日期!AB2</f>
        <v>2026/08/26</v>
      </c>
      <c r="AD4" s="508" t="str">
        <f>日期!AC2</f>
        <v>2026/08/27</v>
      </c>
      <c r="AE4" s="508" t="str">
        <f>日期!AD2</f>
        <v>2026/08/28</v>
      </c>
      <c r="AF4" s="508" t="str">
        <f>日期!AE2</f>
        <v>2026/08/29</v>
      </c>
      <c r="AG4" s="508" t="str">
        <f>日期!AF2</f>
        <v>2026/08/30</v>
      </c>
      <c r="AH4" s="508" t="str">
        <f>日期!AG2</f>
        <v>2026/08/31</v>
      </c>
      <c r="AI4" s="527" t="s">
        <v>68</v>
      </c>
      <c r="AJ4" s="527" t="s">
        <v>69</v>
      </c>
      <c r="AK4" s="507" t="str">
        <f>YEAR(日期!C2)&amp;"年"&amp;MONTH(日期!C2)+1&amp;"月"</f>
        <v>2026年9月</v>
      </c>
    </row>
    <row r="5" spans="1:37" s="77" customFormat="1" ht="27" customHeight="1">
      <c r="A5" s="528"/>
      <c r="B5" s="528"/>
      <c r="C5" s="509" t="s">
        <v>70</v>
      </c>
      <c r="D5" s="510" t="str">
        <f>日期!C3</f>
        <v>Sat</v>
      </c>
      <c r="E5" s="510" t="str">
        <f>日期!D3</f>
        <v>Sun</v>
      </c>
      <c r="F5" s="510" t="str">
        <f>日期!E3</f>
        <v>Mon</v>
      </c>
      <c r="G5" s="510" t="str">
        <f>日期!F3</f>
        <v>Tue</v>
      </c>
      <c r="H5" s="510" t="str">
        <f>日期!G3</f>
        <v>Wed</v>
      </c>
      <c r="I5" s="510" t="str">
        <f>日期!H3</f>
        <v>Thu</v>
      </c>
      <c r="J5" s="510" t="str">
        <f>日期!I3</f>
        <v>Fri</v>
      </c>
      <c r="K5" s="510" t="str">
        <f>日期!J3</f>
        <v>Sat</v>
      </c>
      <c r="L5" s="510" t="str">
        <f>日期!K3</f>
        <v>Sun</v>
      </c>
      <c r="M5" s="510" t="str">
        <f>日期!L3</f>
        <v>Mon</v>
      </c>
      <c r="N5" s="510" t="str">
        <f>日期!M3</f>
        <v>Tue</v>
      </c>
      <c r="O5" s="510" t="str">
        <f>日期!N3</f>
        <v>Wed</v>
      </c>
      <c r="P5" s="510" t="str">
        <f>日期!O3</f>
        <v>Thu</v>
      </c>
      <c r="Q5" s="510" t="str">
        <f>日期!P3</f>
        <v>Fri</v>
      </c>
      <c r="R5" s="510" t="str">
        <f>日期!Q3</f>
        <v>Sat</v>
      </c>
      <c r="S5" s="510" t="str">
        <f>日期!R3</f>
        <v>Sun</v>
      </c>
      <c r="T5" s="510" t="str">
        <f>日期!S3</f>
        <v>Mon</v>
      </c>
      <c r="U5" s="510" t="str">
        <f>日期!T3</f>
        <v>Tue</v>
      </c>
      <c r="V5" s="510" t="str">
        <f>日期!U3</f>
        <v>Wed</v>
      </c>
      <c r="W5" s="510" t="str">
        <f>日期!V3</f>
        <v>Thu</v>
      </c>
      <c r="X5" s="510" t="str">
        <f>日期!W3</f>
        <v>Fri</v>
      </c>
      <c r="Y5" s="510" t="str">
        <f>日期!X3</f>
        <v>Sat</v>
      </c>
      <c r="Z5" s="510" t="str">
        <f>日期!Y3</f>
        <v>Sun</v>
      </c>
      <c r="AA5" s="510" t="str">
        <f>日期!Z3</f>
        <v>Mon</v>
      </c>
      <c r="AB5" s="510" t="str">
        <f>日期!AA3</f>
        <v>Tue</v>
      </c>
      <c r="AC5" s="510" t="str">
        <f>日期!AB3</f>
        <v>Wed</v>
      </c>
      <c r="AD5" s="510" t="str">
        <f>日期!AC3</f>
        <v>Thu</v>
      </c>
      <c r="AE5" s="510" t="str">
        <f>日期!AD3</f>
        <v>Fri</v>
      </c>
      <c r="AF5" s="510" t="str">
        <f>日期!AE3</f>
        <v>Sat</v>
      </c>
      <c r="AG5" s="510" t="str">
        <f>日期!AF3</f>
        <v>Sun</v>
      </c>
      <c r="AH5" s="510" t="str">
        <f>日期!AG3</f>
        <v>Mon</v>
      </c>
      <c r="AI5" s="528"/>
      <c r="AJ5" s="528"/>
      <c r="AK5" s="511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148658836.34660196</v>
      </c>
      <c r="D6" s="88">
        <f>VALUE(庫存金額A類!C2)</f>
        <v>137175698</v>
      </c>
      <c r="E6" s="88">
        <f>VALUE(庫存金額A類!D2)</f>
        <v>137175556</v>
      </c>
      <c r="F6" s="88">
        <f>VALUE(庫存金額A類!E2)</f>
        <v>140806006</v>
      </c>
      <c r="G6" s="88">
        <f>VALUE(庫存金額A類!F2)</f>
        <v>139878567</v>
      </c>
      <c r="H6" s="88">
        <f>VALUE(庫存金額A類!G2)</f>
        <v>142860585</v>
      </c>
      <c r="I6" s="88">
        <f>VALUE(庫存金額A類!H2)</f>
        <v>142486518</v>
      </c>
      <c r="J6" s="88">
        <f>VALUE(庫存金額A類!I2)</f>
        <v>141480636</v>
      </c>
      <c r="K6" s="88">
        <f>VALUE(庫存金額A類!J2)</f>
        <v>139496551</v>
      </c>
      <c r="L6" s="88">
        <f>VALUE(庫存金額A類!K2)</f>
        <v>139483874</v>
      </c>
      <c r="M6" s="88">
        <f>VALUE(庫存金額A類!L2)</f>
        <v>140899258</v>
      </c>
      <c r="N6" s="88">
        <f>VALUE(庫存金額A類!M2)</f>
        <v>140173533</v>
      </c>
      <c r="O6" s="88">
        <f>VALUE(庫存金額A類!N2)</f>
        <v>143953620</v>
      </c>
      <c r="P6" s="88">
        <f>VALUE(庫存金額A類!O2)</f>
        <v>145193428</v>
      </c>
      <c r="Q6" s="88">
        <f>VALUE(庫存金額A類!P2)</f>
        <v>146685867</v>
      </c>
      <c r="R6" s="88">
        <f>VALUE(庫存金額A類!Q2)</f>
        <v>144672256</v>
      </c>
      <c r="S6" s="88">
        <f>VALUE(庫存金額A類!R2)</f>
        <v>144666077</v>
      </c>
      <c r="T6" s="88">
        <f>VALUE(庫存金額A類!S2)</f>
        <v>146759237</v>
      </c>
      <c r="U6" s="88">
        <f>VALUE(庫存金額A類!T2)</f>
        <v>146029083</v>
      </c>
      <c r="V6" s="88">
        <f>VALUE(庫存金額A類!U2)</f>
        <v>148574439</v>
      </c>
      <c r="W6" s="88">
        <f>VALUE(庫存金額A類!V2)</f>
        <v>147140310</v>
      </c>
      <c r="X6" s="88">
        <f>VALUE(庫存金額A類!W2)</f>
        <v>146980146</v>
      </c>
      <c r="Y6" s="88">
        <f>VALUE(庫存金額A類!X2)</f>
        <v>145789036</v>
      </c>
      <c r="Z6" s="88">
        <f>VALUE(庫存金額A類!Y2)</f>
        <v>145789036</v>
      </c>
      <c r="AA6" s="88">
        <f>VALUE(庫存金額A類!Z2)</f>
        <v>145953141</v>
      </c>
      <c r="AB6" s="88">
        <f>VALUE(庫存金額A類!AA2)</f>
        <v>144938761</v>
      </c>
      <c r="AC6" s="88">
        <f>VALUE(庫存金額A類!AB2)</f>
        <v>146692551</v>
      </c>
      <c r="AD6" s="88">
        <f>VALUE(庫存金額A類!AC2)</f>
        <v>147348751</v>
      </c>
      <c r="AE6" s="88">
        <f>VALUE(庫存金額A類!AD2)</f>
        <v>146279128</v>
      </c>
      <c r="AF6" s="88">
        <f>VALUE(庫存金額A類!AE2)</f>
        <v>144668278</v>
      </c>
      <c r="AG6" s="88">
        <f>VALUE(庫存金額A類!AF2)</f>
        <v>144673938</v>
      </c>
      <c r="AH6" s="88">
        <f>VALUE(庫存金額A類!AG2)</f>
        <v>145520147</v>
      </c>
      <c r="AI6" s="88">
        <f>VALUE(庫存金額A類!AH2)</f>
        <v>143878193.94</v>
      </c>
      <c r="AJ6" s="512">
        <f>AI6/AI9</f>
        <v>0.45861810664871167</v>
      </c>
      <c r="AK6" s="82">
        <f>HLOOKUP(MONTH(日期!$C$2)+1,A類各進口別庫存金額目標!$B$2:$M$7,4,TRUE)</f>
        <v>136538554.22801971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127651285.04631273</v>
      </c>
      <c r="D7" s="88">
        <f>VALUE(庫存金額A類!C3)</f>
        <v>124767737</v>
      </c>
      <c r="E7" s="88">
        <f>VALUE(庫存金額A類!D3)</f>
        <v>124766003</v>
      </c>
      <c r="F7" s="88">
        <f>VALUE(庫存金額A類!E3)</f>
        <v>125268040</v>
      </c>
      <c r="G7" s="88">
        <f>VALUE(庫存金額A類!F3)</f>
        <v>124987878</v>
      </c>
      <c r="H7" s="88">
        <f>VALUE(庫存金額A類!G3)</f>
        <v>127581412</v>
      </c>
      <c r="I7" s="88">
        <f>VALUE(庫存金額A類!H3)</f>
        <v>128376930</v>
      </c>
      <c r="J7" s="88">
        <f>VALUE(庫存金額A類!I3)</f>
        <v>129536048</v>
      </c>
      <c r="K7" s="88">
        <f>VALUE(庫存金額A類!J3)</f>
        <v>129304235</v>
      </c>
      <c r="L7" s="88">
        <f>VALUE(庫存金額A類!K3)</f>
        <v>129296562</v>
      </c>
      <c r="M7" s="88">
        <f>VALUE(庫存金額A類!L3)</f>
        <v>134058240</v>
      </c>
      <c r="N7" s="88">
        <f>VALUE(庫存金額A類!M3)</f>
        <v>134629525</v>
      </c>
      <c r="O7" s="88">
        <f>VALUE(庫存金額A類!N3)</f>
        <v>135194250</v>
      </c>
      <c r="P7" s="88">
        <f>VALUE(庫存金額A類!O3)</f>
        <v>137363437</v>
      </c>
      <c r="Q7" s="88">
        <f>VALUE(庫存金額A類!P3)</f>
        <v>137844292</v>
      </c>
      <c r="R7" s="88">
        <f>VALUE(庫存金額A類!Q3)</f>
        <v>135690004</v>
      </c>
      <c r="S7" s="88">
        <f>VALUE(庫存金額A類!R3)</f>
        <v>135690004</v>
      </c>
      <c r="T7" s="88">
        <f>VALUE(庫存金額A類!S3)</f>
        <v>135203579</v>
      </c>
      <c r="U7" s="88">
        <f>VALUE(庫存金額A類!T3)</f>
        <v>132704494</v>
      </c>
      <c r="V7" s="88">
        <f>VALUE(庫存金額A類!U3)</f>
        <v>129902206</v>
      </c>
      <c r="W7" s="88">
        <f>VALUE(庫存金額A類!V3)</f>
        <v>126649510</v>
      </c>
      <c r="X7" s="88">
        <f>VALUE(庫存金額A類!W3)</f>
        <v>123112156</v>
      </c>
      <c r="Y7" s="88">
        <f>VALUE(庫存金額A類!X3)</f>
        <v>121232294</v>
      </c>
      <c r="Z7" s="88">
        <f>VALUE(庫存金額A類!Y3)</f>
        <v>121233579</v>
      </c>
      <c r="AA7" s="88">
        <f>VALUE(庫存金額A類!Z3)</f>
        <v>120578870</v>
      </c>
      <c r="AB7" s="88">
        <f>VALUE(庫存金額A類!AA3)</f>
        <v>119563196</v>
      </c>
      <c r="AC7" s="88">
        <f>VALUE(庫存金額A類!AB3)</f>
        <v>120057090</v>
      </c>
      <c r="AD7" s="88">
        <f>VALUE(庫存金額A類!AC3)</f>
        <v>120870497</v>
      </c>
      <c r="AE7" s="88">
        <f>VALUE(庫存金額A類!AD3)</f>
        <v>121040069</v>
      </c>
      <c r="AF7" s="88">
        <f>VALUE(庫存金額A類!AE3)</f>
        <v>121465878</v>
      </c>
      <c r="AG7" s="88">
        <f>VALUE(庫存金額A類!AF3)</f>
        <v>121792070</v>
      </c>
      <c r="AH7" s="88">
        <f>VALUE(庫存金額A類!AG3)</f>
        <v>120606558</v>
      </c>
      <c r="AI7" s="88">
        <f>VALUE(庫存金額A類!AH3)</f>
        <v>127431182.03</v>
      </c>
      <c r="AJ7" s="512">
        <f>AI7/AI9</f>
        <v>0.4061925287648348</v>
      </c>
      <c r="AK7" s="82">
        <f>HLOOKUP(MONTH(日期!$C$2)+1,A類各進口別庫存金額目標!$B$2:$M$7,5,TRUE)</f>
        <v>123272259.53525174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34761203.597042754</v>
      </c>
      <c r="D8" s="88">
        <f>VALUE(庫存金額A類!C4)</f>
        <v>31527227</v>
      </c>
      <c r="E8" s="88">
        <f>VALUE(庫存金額A類!D4)</f>
        <v>31527227</v>
      </c>
      <c r="F8" s="88">
        <f>VALUE(庫存金額A類!E4)</f>
        <v>30942862</v>
      </c>
      <c r="G8" s="88">
        <f>VALUE(庫存金額A類!F4)</f>
        <v>33720094</v>
      </c>
      <c r="H8" s="88">
        <f>VALUE(庫存金額A類!G4)</f>
        <v>33912772</v>
      </c>
      <c r="I8" s="88">
        <f>VALUE(庫存金額A類!H4)</f>
        <v>38058814</v>
      </c>
      <c r="J8" s="88">
        <f>VALUE(庫存金額A類!I4)</f>
        <v>39925879</v>
      </c>
      <c r="K8" s="88">
        <f>VALUE(庫存金額A類!J4)</f>
        <v>39448971</v>
      </c>
      <c r="L8" s="88">
        <f>VALUE(庫存金額A類!K4)</f>
        <v>39448971</v>
      </c>
      <c r="M8" s="88">
        <f>VALUE(庫存金額A類!L4)</f>
        <v>40639131</v>
      </c>
      <c r="N8" s="88">
        <f>VALUE(庫存金額A類!M4)</f>
        <v>44401711</v>
      </c>
      <c r="O8" s="88">
        <f>VALUE(庫存金額A類!N4)</f>
        <v>45958434</v>
      </c>
      <c r="P8" s="88">
        <f>VALUE(庫存金額A類!O4)</f>
        <v>45988616</v>
      </c>
      <c r="Q8" s="88">
        <f>VALUE(庫存金額A類!P4)</f>
        <v>44785015</v>
      </c>
      <c r="R8" s="88">
        <f>VALUE(庫存金額A類!Q4)</f>
        <v>43764881</v>
      </c>
      <c r="S8" s="88">
        <f>VALUE(庫存金額A類!R4)</f>
        <v>43764881</v>
      </c>
      <c r="T8" s="88">
        <f>VALUE(庫存金額A類!S4)</f>
        <v>47118587</v>
      </c>
      <c r="U8" s="88">
        <f>VALUE(庫存金額A類!T4)</f>
        <v>46019461</v>
      </c>
      <c r="V8" s="88">
        <f>VALUE(庫存金額A類!U4)</f>
        <v>45140291</v>
      </c>
      <c r="W8" s="88">
        <f>VALUE(庫存金額A類!V4)</f>
        <v>45373665</v>
      </c>
      <c r="X8" s="88">
        <f>VALUE(庫存金額A類!W4)</f>
        <v>45202780</v>
      </c>
      <c r="Y8" s="88">
        <f>VALUE(庫存金額A類!X4)</f>
        <v>44679515</v>
      </c>
      <c r="Z8" s="88">
        <f>VALUE(庫存金額A類!Y4)</f>
        <v>44679515</v>
      </c>
      <c r="AA8" s="88">
        <f>VALUE(庫存金額A類!Z4)</f>
        <v>45027784</v>
      </c>
      <c r="AB8" s="88">
        <f>VALUE(庫存金額A類!AA4)</f>
        <v>47080195</v>
      </c>
      <c r="AC8" s="88">
        <f>VALUE(庫存金額A類!AB4)</f>
        <v>47881311</v>
      </c>
      <c r="AD8" s="88">
        <f>VALUE(庫存金額A類!AC4)</f>
        <v>47426026</v>
      </c>
      <c r="AE8" s="88">
        <f>VALUE(庫存金額A類!AD4)</f>
        <v>46317947</v>
      </c>
      <c r="AF8" s="88">
        <f>VALUE(庫存金額A類!AE4)</f>
        <v>45285236</v>
      </c>
      <c r="AG8" s="88">
        <f>VALUE(庫存金額A類!AF4)</f>
        <v>45285236</v>
      </c>
      <c r="AH8" s="88">
        <f>VALUE(庫存金額A類!AG4)</f>
        <v>44431562</v>
      </c>
      <c r="AI8" s="88">
        <f>VALUE(庫存金額A類!AH4)</f>
        <v>42411761.189999998</v>
      </c>
      <c r="AJ8" s="512">
        <f>AI8/AI9</f>
        <v>0.13518936458645339</v>
      </c>
      <c r="AK8" s="82">
        <f>HLOOKUP(MONTH(日期!$C$2)+1,A類各進口別庫存金額目標!$B$2:$M$7,6,TRUE)</f>
        <v>34457897.774730757</v>
      </c>
    </row>
    <row r="9" spans="1:37" ht="19.5">
      <c r="A9" s="537" t="s">
        <v>73</v>
      </c>
      <c r="B9" s="537"/>
      <c r="C9" s="83">
        <f>SUM(C6:C8)</f>
        <v>311071324.98995745</v>
      </c>
      <c r="D9" s="84">
        <f t="shared" ref="D9:AH9" si="0">SUM(D6:D8)</f>
        <v>293470662</v>
      </c>
      <c r="E9" s="84">
        <f t="shared" si="0"/>
        <v>293468786</v>
      </c>
      <c r="F9" s="84">
        <f t="shared" si="0"/>
        <v>297016908</v>
      </c>
      <c r="G9" s="84">
        <f t="shared" si="0"/>
        <v>298586539</v>
      </c>
      <c r="H9" s="84">
        <f t="shared" si="0"/>
        <v>304354769</v>
      </c>
      <c r="I9" s="84">
        <f t="shared" si="0"/>
        <v>308922262</v>
      </c>
      <c r="J9" s="84">
        <f t="shared" si="0"/>
        <v>310942563</v>
      </c>
      <c r="K9" s="84">
        <f t="shared" si="0"/>
        <v>308249757</v>
      </c>
      <c r="L9" s="84">
        <f t="shared" si="0"/>
        <v>308229407</v>
      </c>
      <c r="M9" s="84">
        <f t="shared" si="0"/>
        <v>315596629</v>
      </c>
      <c r="N9" s="84">
        <f t="shared" si="0"/>
        <v>319204769</v>
      </c>
      <c r="O9" s="84">
        <f t="shared" si="0"/>
        <v>325106304</v>
      </c>
      <c r="P9" s="84">
        <f t="shared" si="0"/>
        <v>328545481</v>
      </c>
      <c r="Q9" s="84">
        <f>SUM(Q6:Q8)</f>
        <v>329315174</v>
      </c>
      <c r="R9" s="84">
        <f t="shared" si="0"/>
        <v>324127141</v>
      </c>
      <c r="S9" s="84">
        <f t="shared" si="0"/>
        <v>324120962</v>
      </c>
      <c r="T9" s="84">
        <f t="shared" si="0"/>
        <v>329081403</v>
      </c>
      <c r="U9" s="84">
        <f t="shared" si="0"/>
        <v>324753038</v>
      </c>
      <c r="V9" s="84">
        <f t="shared" si="0"/>
        <v>323616936</v>
      </c>
      <c r="W9" s="84">
        <f t="shared" si="0"/>
        <v>319163485</v>
      </c>
      <c r="X9" s="84">
        <f t="shared" si="0"/>
        <v>315295082</v>
      </c>
      <c r="Y9" s="84">
        <f t="shared" si="0"/>
        <v>311700845</v>
      </c>
      <c r="Z9" s="84">
        <f t="shared" si="0"/>
        <v>311702130</v>
      </c>
      <c r="AA9" s="84">
        <f t="shared" si="0"/>
        <v>311559795</v>
      </c>
      <c r="AB9" s="84">
        <f>SUM(AB6:AB8)</f>
        <v>311582152</v>
      </c>
      <c r="AC9" s="84">
        <f t="shared" si="0"/>
        <v>314630952</v>
      </c>
      <c r="AD9" s="84">
        <f t="shared" si="0"/>
        <v>315645274</v>
      </c>
      <c r="AE9" s="84">
        <f t="shared" si="0"/>
        <v>313637144</v>
      </c>
      <c r="AF9" s="84">
        <f t="shared" si="0"/>
        <v>311419392</v>
      </c>
      <c r="AG9" s="84">
        <f t="shared" si="0"/>
        <v>311751244</v>
      </c>
      <c r="AH9" s="84">
        <f t="shared" si="0"/>
        <v>310558267</v>
      </c>
      <c r="AI9" s="84">
        <f>SUM(AI6:AI8)</f>
        <v>313721137.16000003</v>
      </c>
      <c r="AJ9" s="513">
        <f>AI9/AI$9</f>
        <v>1</v>
      </c>
      <c r="AK9" s="83">
        <f>SUM(AK6:AK8)</f>
        <v>294268711.53800219</v>
      </c>
    </row>
    <row r="10" spans="1:37">
      <c r="AI10" s="98">
        <f>AI9-C9</f>
        <v>2649812.1700425744</v>
      </c>
    </row>
    <row r="14" spans="1:37" s="77" customFormat="1" ht="18" hidden="1" customHeight="1">
      <c r="A14" s="529" t="s">
        <v>1</v>
      </c>
      <c r="B14" s="531" t="s">
        <v>67</v>
      </c>
      <c r="C14" s="533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535" t="s">
        <v>68</v>
      </c>
      <c r="AJ14" s="525" t="s">
        <v>69</v>
      </c>
    </row>
    <row r="15" spans="1:37" s="77" customFormat="1" ht="18" hidden="1" thickBot="1">
      <c r="A15" s="530"/>
      <c r="B15" s="532"/>
      <c r="C15" s="534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536"/>
      <c r="AJ15" s="526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529" t="s">
        <v>1</v>
      </c>
      <c r="B24" s="531" t="s">
        <v>67</v>
      </c>
      <c r="C24" s="533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535" t="s">
        <v>68</v>
      </c>
      <c r="AJ24" s="525" t="s">
        <v>69</v>
      </c>
    </row>
    <row r="25" spans="1:36" s="77" customFormat="1" ht="18" hidden="1" thickBot="1">
      <c r="A25" s="530"/>
      <c r="B25" s="532"/>
      <c r="C25" s="534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536"/>
      <c r="AJ25" s="526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529" t="s">
        <v>1</v>
      </c>
      <c r="B34" s="531" t="s">
        <v>67</v>
      </c>
      <c r="C34" s="533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530"/>
      <c r="B35" s="532"/>
      <c r="C35" s="534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529" t="s">
        <v>1</v>
      </c>
      <c r="B44" s="531" t="s">
        <v>67</v>
      </c>
      <c r="C44" s="533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530"/>
      <c r="B45" s="532"/>
      <c r="C45" s="534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529" t="s">
        <v>1</v>
      </c>
      <c r="B54" s="531" t="s">
        <v>67</v>
      </c>
      <c r="C54" s="533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530"/>
      <c r="B55" s="532"/>
      <c r="C55" s="534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I24:AI25"/>
    <mergeCell ref="A4:A5"/>
    <mergeCell ref="B4:B5"/>
    <mergeCell ref="A14:A15"/>
    <mergeCell ref="B14:B15"/>
    <mergeCell ref="AI14:AI15"/>
    <mergeCell ref="C14:C15"/>
    <mergeCell ref="A9:B9"/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55" t="s">
        <v>1</v>
      </c>
      <c r="B4" s="657" t="s">
        <v>67</v>
      </c>
      <c r="C4" s="491" t="str">
        <f>日期!C2</f>
        <v>2026/08/01</v>
      </c>
      <c r="D4" s="491" t="str">
        <f>日期!D2</f>
        <v>2026/08/02</v>
      </c>
      <c r="E4" s="491" t="str">
        <f>日期!E2</f>
        <v>2026/08/03</v>
      </c>
      <c r="F4" s="491" t="str">
        <f>日期!F2</f>
        <v>2026/08/04</v>
      </c>
      <c r="G4" s="491" t="str">
        <f>日期!G2</f>
        <v>2026/08/05</v>
      </c>
      <c r="H4" s="491" t="str">
        <f>日期!H2</f>
        <v>2026/08/06</v>
      </c>
      <c r="I4" s="491" t="str">
        <f>日期!I2</f>
        <v>2026/08/07</v>
      </c>
      <c r="J4" s="491" t="str">
        <f>日期!J2</f>
        <v>2026/08/08</v>
      </c>
      <c r="K4" s="491" t="str">
        <f>日期!K2</f>
        <v>2026/08/09</v>
      </c>
      <c r="L4" s="491" t="str">
        <f>日期!L2</f>
        <v>2026/08/10</v>
      </c>
      <c r="M4" s="491" t="str">
        <f>日期!M2</f>
        <v>2026/08/11</v>
      </c>
      <c r="N4" s="491" t="str">
        <f>日期!N2</f>
        <v>2026/08/12</v>
      </c>
      <c r="O4" s="491" t="str">
        <f>日期!O2</f>
        <v>2026/08/13</v>
      </c>
      <c r="P4" s="491" t="str">
        <f>日期!P2</f>
        <v>2026/08/14</v>
      </c>
      <c r="Q4" s="491" t="str">
        <f>日期!Q2</f>
        <v>2026/08/15</v>
      </c>
      <c r="R4" s="491" t="str">
        <f>日期!R2</f>
        <v>2026/08/16</v>
      </c>
      <c r="S4" s="491" t="str">
        <f>日期!S2</f>
        <v>2026/08/17</v>
      </c>
      <c r="T4" s="491" t="str">
        <f>日期!T2</f>
        <v>2026/08/18</v>
      </c>
      <c r="U4" s="491" t="str">
        <f>日期!U2</f>
        <v>2026/08/19</v>
      </c>
      <c r="V4" s="491" t="str">
        <f>日期!V2</f>
        <v>2026/08/20</v>
      </c>
      <c r="W4" s="491" t="str">
        <f>日期!W2</f>
        <v>2026/08/21</v>
      </c>
      <c r="X4" s="491" t="str">
        <f>日期!X2</f>
        <v>2026/08/22</v>
      </c>
      <c r="Y4" s="491" t="str">
        <f>日期!Y2</f>
        <v>2026/08/23</v>
      </c>
      <c r="Z4" s="491" t="str">
        <f>日期!Z2</f>
        <v>2026/08/24</v>
      </c>
      <c r="AA4" s="491" t="str">
        <f>日期!AA2</f>
        <v>2026/08/25</v>
      </c>
      <c r="AB4" s="491" t="str">
        <f>日期!AB2</f>
        <v>2026/08/26</v>
      </c>
      <c r="AC4" s="491" t="str">
        <f>日期!AC2</f>
        <v>2026/08/27</v>
      </c>
      <c r="AD4" s="491" t="str">
        <f>日期!AD2</f>
        <v>2026/08/28</v>
      </c>
      <c r="AE4" s="491" t="str">
        <f>日期!AE2</f>
        <v>2026/08/29</v>
      </c>
      <c r="AF4" s="491" t="str">
        <f>日期!AF2</f>
        <v>2026/08/30</v>
      </c>
      <c r="AG4" s="491" t="str">
        <f>日期!AG2</f>
        <v>2026/08/31</v>
      </c>
      <c r="AH4" s="483" t="s">
        <v>68</v>
      </c>
      <c r="AI4" s="108" t="s">
        <v>69</v>
      </c>
    </row>
    <row r="5" spans="1:35" s="77" customFormat="1" ht="18" thickBot="1">
      <c r="A5" s="656"/>
      <c r="B5" s="658"/>
      <c r="C5" s="485" t="str">
        <f>日期!C3</f>
        <v>Sat</v>
      </c>
      <c r="D5" s="485" t="str">
        <f>日期!D3</f>
        <v>Sun</v>
      </c>
      <c r="E5" s="485" t="str">
        <f>日期!E3</f>
        <v>Mon</v>
      </c>
      <c r="F5" s="485" t="str">
        <f>日期!F3</f>
        <v>Tue</v>
      </c>
      <c r="G5" s="485" t="str">
        <f>日期!G3</f>
        <v>Wed</v>
      </c>
      <c r="H5" s="485" t="str">
        <f>日期!H3</f>
        <v>Thu</v>
      </c>
      <c r="I5" s="485" t="str">
        <f>日期!I3</f>
        <v>Fri</v>
      </c>
      <c r="J5" s="485" t="str">
        <f>日期!J3</f>
        <v>Sat</v>
      </c>
      <c r="K5" s="485" t="str">
        <f>日期!K3</f>
        <v>Sun</v>
      </c>
      <c r="L5" s="485" t="str">
        <f>日期!L3</f>
        <v>Mon</v>
      </c>
      <c r="M5" s="485" t="str">
        <f>日期!M3</f>
        <v>Tue</v>
      </c>
      <c r="N5" s="485" t="str">
        <f>日期!N3</f>
        <v>Wed</v>
      </c>
      <c r="O5" s="485" t="str">
        <f>日期!O3</f>
        <v>Thu</v>
      </c>
      <c r="P5" s="485" t="str">
        <f>日期!P3</f>
        <v>Fri</v>
      </c>
      <c r="Q5" s="485" t="str">
        <f>日期!Q3</f>
        <v>Sat</v>
      </c>
      <c r="R5" s="485" t="str">
        <f>日期!R3</f>
        <v>Sun</v>
      </c>
      <c r="S5" s="485" t="str">
        <f>日期!S3</f>
        <v>Mon</v>
      </c>
      <c r="T5" s="485" t="str">
        <f>日期!T3</f>
        <v>Tue</v>
      </c>
      <c r="U5" s="485" t="str">
        <f>日期!U3</f>
        <v>Wed</v>
      </c>
      <c r="V5" s="485" t="str">
        <f>日期!V3</f>
        <v>Thu</v>
      </c>
      <c r="W5" s="485" t="str">
        <f>日期!W3</f>
        <v>Fri</v>
      </c>
      <c r="X5" s="485" t="str">
        <f>日期!X3</f>
        <v>Sat</v>
      </c>
      <c r="Y5" s="485" t="str">
        <f>日期!Y3</f>
        <v>Sun</v>
      </c>
      <c r="Z5" s="485" t="str">
        <f>日期!Z3</f>
        <v>Mon</v>
      </c>
      <c r="AA5" s="485" t="str">
        <f>日期!AA3</f>
        <v>Tue</v>
      </c>
      <c r="AB5" s="485" t="str">
        <f>日期!AB3</f>
        <v>Wed</v>
      </c>
      <c r="AC5" s="485" t="str">
        <f>日期!AC3</f>
        <v>Thu</v>
      </c>
      <c r="AD5" s="485" t="str">
        <f>日期!AD3</f>
        <v>Fri</v>
      </c>
      <c r="AE5" s="485" t="str">
        <f>日期!AE3</f>
        <v>Sat</v>
      </c>
      <c r="AF5" s="485" t="str">
        <f>日期!AF3</f>
        <v>Sun</v>
      </c>
      <c r="AG5" s="485" t="str">
        <f>日期!AG3</f>
        <v>Mon</v>
      </c>
      <c r="AH5" s="484"/>
      <c r="AI5" s="109"/>
    </row>
    <row r="6" spans="1:35" ht="17.45">
      <c r="A6" s="101" t="s">
        <v>72</v>
      </c>
      <c r="B6" s="102" t="s">
        <v>236</v>
      </c>
      <c r="C6" s="103">
        <f>VALUE(期貨金額!D2)</f>
        <v>7279797</v>
      </c>
      <c r="D6" s="103">
        <f>VALUE(期貨金額!E2)</f>
        <v>7279797</v>
      </c>
      <c r="E6" s="103">
        <f>VALUE(期貨金額!F2)</f>
        <v>7440794</v>
      </c>
      <c r="F6" s="103">
        <f>VALUE(期貨金額!G2)</f>
        <v>7005679</v>
      </c>
      <c r="G6" s="103">
        <f>VALUE(期貨金額!H2)</f>
        <v>6991283</v>
      </c>
      <c r="H6" s="103">
        <f>VALUE(期貨金額!I2)</f>
        <v>6888690</v>
      </c>
      <c r="I6" s="103">
        <f>VALUE(期貨金額!J2)</f>
        <v>6907461</v>
      </c>
      <c r="J6" s="103">
        <f>VALUE(期貨金額!K2)</f>
        <v>6921351</v>
      </c>
      <c r="K6" s="103">
        <f>VALUE(期貨金額!L2)</f>
        <v>6921351</v>
      </c>
      <c r="L6" s="103">
        <f>VALUE(期貨金額!M2)</f>
        <v>7048698</v>
      </c>
      <c r="M6" s="103">
        <f>VALUE(期貨金額!N2)</f>
        <v>7106545</v>
      </c>
      <c r="N6" s="103">
        <f>VALUE(期貨金額!O2)</f>
        <v>7341334</v>
      </c>
      <c r="O6" s="103">
        <f>VALUE(期貨金額!P2)</f>
        <v>7425412</v>
      </c>
      <c r="P6" s="103">
        <f>VALUE(期貨金額!Q2)</f>
        <v>7627271</v>
      </c>
      <c r="Q6" s="103">
        <f>VALUE(期貨金額!R2)</f>
        <v>7666241</v>
      </c>
      <c r="R6" s="103">
        <f>VALUE(期貨金額!S2)</f>
        <v>7666241</v>
      </c>
      <c r="S6" s="103">
        <f>VALUE(期貨金額!T2)</f>
        <v>7784710</v>
      </c>
      <c r="T6" s="103">
        <f>VALUE(期貨金額!U2)</f>
        <v>7045268</v>
      </c>
      <c r="U6" s="103">
        <f>VALUE(期貨金額!V2)</f>
        <v>7159070</v>
      </c>
      <c r="V6" s="103">
        <f>VALUE(期貨金額!W2)</f>
        <v>7075883</v>
      </c>
      <c r="W6" s="103">
        <f>VALUE(期貨金額!X2)</f>
        <v>7134600</v>
      </c>
      <c r="X6" s="103">
        <f>VALUE(期貨金額!Y2)</f>
        <v>7150735</v>
      </c>
      <c r="Y6" s="103">
        <f>VALUE(期貨金額!Z2)</f>
        <v>7150735</v>
      </c>
      <c r="Z6" s="103">
        <f>VALUE(期貨金額!AA2)</f>
        <v>7165093</v>
      </c>
      <c r="AA6" s="103">
        <f>VALUE(期貨金額!AB2)</f>
        <v>7100066</v>
      </c>
      <c r="AB6" s="103">
        <f>VALUE(期貨金額!AC2)</f>
        <v>6909465</v>
      </c>
      <c r="AC6" s="103">
        <f>VALUE(期貨金額!AD2)</f>
        <v>6701003</v>
      </c>
      <c r="AD6" s="103">
        <f>VALUE(期貨金額!AE2)</f>
        <v>6376977</v>
      </c>
      <c r="AE6" s="103">
        <f>VALUE(期貨金額!AF2)</f>
        <v>6403368</v>
      </c>
      <c r="AF6" s="103">
        <f>VALUE(期貨金額!AG2)</f>
        <v>6403406</v>
      </c>
      <c r="AG6" s="103">
        <f>VALUE(期貨金額!AH2)</f>
        <v>6374746</v>
      </c>
      <c r="AH6" s="103">
        <f>VALUE(期貨金額!AI2)</f>
        <v>7079131.29</v>
      </c>
      <c r="AI6" s="467">
        <f>AH6/$AH$19</f>
        <v>0.47838305070292186</v>
      </c>
    </row>
    <row r="7" spans="1:35" ht="17.45">
      <c r="A7" s="105" t="s">
        <v>72</v>
      </c>
      <c r="B7" s="106" t="s">
        <v>237</v>
      </c>
      <c r="C7" s="103">
        <f>VALUE(期貨金額!D3)</f>
        <v>8322605</v>
      </c>
      <c r="D7" s="103">
        <f>VALUE(期貨金額!E3)</f>
        <v>8322605</v>
      </c>
      <c r="E7" s="103">
        <f>VALUE(期貨金額!F3)</f>
        <v>8676180</v>
      </c>
      <c r="F7" s="103">
        <f>VALUE(期貨金額!G3)</f>
        <v>8683385</v>
      </c>
      <c r="G7" s="103">
        <f>VALUE(期貨金額!H3)</f>
        <v>8703888</v>
      </c>
      <c r="H7" s="103">
        <f>VALUE(期貨金額!I3)</f>
        <v>8422060</v>
      </c>
      <c r="I7" s="103">
        <f>VALUE(期貨金額!J3)</f>
        <v>8045043</v>
      </c>
      <c r="J7" s="103">
        <f>VALUE(期貨金額!K3)</f>
        <v>8134729</v>
      </c>
      <c r="K7" s="103">
        <f>VALUE(期貨金額!L3)</f>
        <v>8134729</v>
      </c>
      <c r="L7" s="103">
        <f>VALUE(期貨金額!M3)</f>
        <v>8157516</v>
      </c>
      <c r="M7" s="103">
        <f>VALUE(期貨金額!N3)</f>
        <v>7857852</v>
      </c>
      <c r="N7" s="103">
        <f>VALUE(期貨金額!O3)</f>
        <v>7880862</v>
      </c>
      <c r="O7" s="103">
        <f>VALUE(期貨金額!P3)</f>
        <v>7795248</v>
      </c>
      <c r="P7" s="103">
        <f>VALUE(期貨金額!Q3)</f>
        <v>7764671</v>
      </c>
      <c r="Q7" s="103">
        <f>VALUE(期貨金額!R3)</f>
        <v>7764817</v>
      </c>
      <c r="R7" s="103">
        <f>VALUE(期貨金額!S3)</f>
        <v>7764817</v>
      </c>
      <c r="S7" s="103">
        <f>VALUE(期貨金額!T3)</f>
        <v>7707920</v>
      </c>
      <c r="T7" s="103">
        <f>VALUE(期貨金額!U3)</f>
        <v>7658012</v>
      </c>
      <c r="U7" s="103">
        <f>VALUE(期貨金額!V3)</f>
        <v>7419328</v>
      </c>
      <c r="V7" s="103">
        <f>VALUE(期貨金額!W3)</f>
        <v>7291143</v>
      </c>
      <c r="W7" s="103">
        <f>VALUE(期貨金額!X3)</f>
        <v>7244370</v>
      </c>
      <c r="X7" s="103">
        <f>VALUE(期貨金額!Y3)</f>
        <v>7253255</v>
      </c>
      <c r="Y7" s="103">
        <f>VALUE(期貨金額!Z3)</f>
        <v>7253255</v>
      </c>
      <c r="Z7" s="103">
        <f>VALUE(期貨金額!AA3)</f>
        <v>6942269</v>
      </c>
      <c r="AA7" s="103">
        <f>VALUE(期貨金額!AB3)</f>
        <v>6620274</v>
      </c>
      <c r="AB7" s="103">
        <f>VALUE(期貨金額!AC3)</f>
        <v>6569348</v>
      </c>
      <c r="AC7" s="103">
        <f>VALUE(期貨金額!AD3)</f>
        <v>6534200</v>
      </c>
      <c r="AD7" s="103">
        <f>VALUE(期貨金額!AE3)</f>
        <v>6503118</v>
      </c>
      <c r="AE7" s="103">
        <f>VALUE(期貨金額!AF3)</f>
        <v>6548686</v>
      </c>
      <c r="AF7" s="103">
        <f>VALUE(期貨金額!AG3)</f>
        <v>6550179</v>
      </c>
      <c r="AG7" s="103">
        <f>VALUE(期貨金額!AH3)</f>
        <v>6544894</v>
      </c>
      <c r="AH7" s="103">
        <f>VALUE(期貨金額!AI3)</f>
        <v>7582943.8099999996</v>
      </c>
      <c r="AI7" s="467">
        <f t="shared" ref="AI7:AI17" si="0">AH7/$AH$19</f>
        <v>0.5124289470744704</v>
      </c>
    </row>
    <row r="8" spans="1:35" ht="17.45">
      <c r="A8" s="105" t="s">
        <v>72</v>
      </c>
      <c r="B8" s="106">
        <v>4</v>
      </c>
      <c r="C8" s="103">
        <f>VALUE(期貨金額!D4)</f>
        <v>19783</v>
      </c>
      <c r="D8" s="103">
        <f>VALUE(期貨金額!E4)</f>
        <v>19783</v>
      </c>
      <c r="E8" s="103">
        <f>VALUE(期貨金額!F4)</f>
        <v>20136</v>
      </c>
      <c r="F8" s="103">
        <f>VALUE(期貨金額!G4)</f>
        <v>21596</v>
      </c>
      <c r="G8" s="103">
        <f>VALUE(期貨金額!H4)</f>
        <v>21878</v>
      </c>
      <c r="H8" s="103">
        <f>VALUE(期貨金額!I4)</f>
        <v>18192</v>
      </c>
      <c r="I8" s="103">
        <f>VALUE(期貨金額!J4)</f>
        <v>9306</v>
      </c>
      <c r="J8" s="103">
        <f>VALUE(期貨金額!K4)</f>
        <v>9311</v>
      </c>
      <c r="K8" s="103">
        <f>VALUE(期貨金額!L4)</f>
        <v>9311</v>
      </c>
      <c r="L8" s="103">
        <f>VALUE(期貨金額!M4)</f>
        <v>10198</v>
      </c>
      <c r="M8" s="103">
        <f>VALUE(期貨金額!N4)</f>
        <v>10597</v>
      </c>
      <c r="N8" s="103">
        <f>VALUE(期貨金額!O4)</f>
        <v>13068</v>
      </c>
      <c r="O8" s="103">
        <f>VALUE(期貨金額!P4)</f>
        <v>9727</v>
      </c>
      <c r="P8" s="103">
        <f>VALUE(期貨金額!Q4)</f>
        <v>5915</v>
      </c>
      <c r="Q8" s="103">
        <f>VALUE(期貨金額!R4)</f>
        <v>5915</v>
      </c>
      <c r="R8" s="103">
        <f>VALUE(期貨金額!S4)</f>
        <v>5915</v>
      </c>
      <c r="S8" s="103">
        <f>VALUE(期貨金額!T4)</f>
        <v>5915</v>
      </c>
      <c r="T8" s="103">
        <f>VALUE(期貨金額!U4)</f>
        <v>185235</v>
      </c>
      <c r="U8" s="103">
        <f>VALUE(期貨金額!V4)</f>
        <v>185235</v>
      </c>
      <c r="V8" s="103">
        <f>VALUE(期貨金額!W4)</f>
        <v>187640</v>
      </c>
      <c r="W8" s="103">
        <f>VALUE(期貨金額!X4)</f>
        <v>195114</v>
      </c>
      <c r="X8" s="103">
        <f>VALUE(期貨金額!Y4)</f>
        <v>195114</v>
      </c>
      <c r="Y8" s="103">
        <f>VALUE(期貨金額!Z4)</f>
        <v>195114</v>
      </c>
      <c r="Z8" s="103">
        <f>VALUE(期貨金額!AA4)</f>
        <v>198141</v>
      </c>
      <c r="AA8" s="103">
        <f>VALUE(期貨金額!AB4)</f>
        <v>199974</v>
      </c>
      <c r="AB8" s="103">
        <f>VALUE(期貨金額!AC4)</f>
        <v>200005</v>
      </c>
      <c r="AC8" s="103">
        <f>VALUE(期貨金額!AD4)</f>
        <v>199753</v>
      </c>
      <c r="AD8" s="103">
        <f>VALUE(期貨金額!AE4)</f>
        <v>199758</v>
      </c>
      <c r="AE8" s="103">
        <f>VALUE(期貨金額!AF4)</f>
        <v>199758</v>
      </c>
      <c r="AF8" s="103">
        <f>VALUE(期貨金額!AG4)</f>
        <v>199758</v>
      </c>
      <c r="AG8" s="103">
        <f>VALUE(期貨金額!AH4)</f>
        <v>20391</v>
      </c>
      <c r="AH8" s="103">
        <f>VALUE(期貨金額!AI4)</f>
        <v>89597.94</v>
      </c>
      <c r="AI8" s="467">
        <f t="shared" si="0"/>
        <v>6.0547169021211008E-3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467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467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467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467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467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467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467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467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86899</v>
      </c>
      <c r="D17" s="103">
        <f>VALUE(期貨金額!E15)</f>
        <v>86899</v>
      </c>
      <c r="E17" s="103">
        <f>VALUE(期貨金額!F15)</f>
        <v>86899</v>
      </c>
      <c r="F17" s="103">
        <f>VALUE(期貨金額!G15)</f>
        <v>89319</v>
      </c>
      <c r="G17" s="103">
        <f>VALUE(期貨金額!H15)</f>
        <v>89319</v>
      </c>
      <c r="H17" s="103">
        <f>VALUE(期貨金額!I15)</f>
        <v>89319</v>
      </c>
      <c r="I17" s="103">
        <f>VALUE(期貨金額!J15)</f>
        <v>89319</v>
      </c>
      <c r="J17" s="103">
        <f>VALUE(期貨金額!K15)</f>
        <v>89319</v>
      </c>
      <c r="K17" s="103">
        <f>VALUE(期貨金額!L15)</f>
        <v>89319</v>
      </c>
      <c r="L17" s="103">
        <f>VALUE(期貨金額!M15)</f>
        <v>82060</v>
      </c>
      <c r="M17" s="103">
        <f>VALUE(期貨金額!N15)</f>
        <v>82059</v>
      </c>
      <c r="N17" s="103">
        <f>VALUE(期貨金額!O15)</f>
        <v>83884</v>
      </c>
      <c r="O17" s="103">
        <f>VALUE(期貨金額!P15)</f>
        <v>21464</v>
      </c>
      <c r="P17" s="103">
        <f>VALUE(期貨金額!Q15)</f>
        <v>21464</v>
      </c>
      <c r="Q17" s="103">
        <f>VALUE(期貨金額!R15)</f>
        <v>21464</v>
      </c>
      <c r="R17" s="103">
        <f>VALUE(期貨金額!S15)</f>
        <v>21464</v>
      </c>
      <c r="S17" s="103">
        <f>VALUE(期貨金額!T15)</f>
        <v>23024</v>
      </c>
      <c r="T17" s="103">
        <f>VALUE(期貨金額!U15)</f>
        <v>23024</v>
      </c>
      <c r="U17" s="103">
        <f>VALUE(期貨金額!V15)</f>
        <v>23024</v>
      </c>
      <c r="V17" s="103">
        <f>VALUE(期貨金額!W15)</f>
        <v>23024</v>
      </c>
      <c r="W17" s="103">
        <f>VALUE(期貨金額!X15)</f>
        <v>14825</v>
      </c>
      <c r="X17" s="103">
        <f>VALUE(期貨金額!Y15)</f>
        <v>14825</v>
      </c>
      <c r="Y17" s="103">
        <f>VALUE(期貨金額!Z15)</f>
        <v>14825</v>
      </c>
      <c r="Z17" s="103">
        <f>VALUE(期貨金額!AA15)</f>
        <v>14825</v>
      </c>
      <c r="AA17" s="103">
        <f>VALUE(期貨金額!AB15)</f>
        <v>22085</v>
      </c>
      <c r="AB17" s="103">
        <f>VALUE(期貨金額!AC15)</f>
        <v>22085</v>
      </c>
      <c r="AC17" s="103">
        <f>VALUE(期貨金額!AD15)</f>
        <v>22085</v>
      </c>
      <c r="AD17" s="103">
        <f>VALUE(期貨金額!AE15)</f>
        <v>22085</v>
      </c>
      <c r="AE17" s="103">
        <f>VALUE(期貨金額!AF15)</f>
        <v>22085</v>
      </c>
      <c r="AF17" s="103">
        <f>VALUE(期貨金額!AG15)</f>
        <v>22085</v>
      </c>
      <c r="AG17" s="103">
        <f>VALUE(期貨金額!AH15)</f>
        <v>22085</v>
      </c>
      <c r="AH17" s="103">
        <f>VALUE(期貨金額!AI15)</f>
        <v>46337.45</v>
      </c>
      <c r="AI17" s="467">
        <f t="shared" si="0"/>
        <v>3.1313235741378806E-3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900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29.03</v>
      </c>
      <c r="AI18" s="467">
        <f>AH18/$AH$19</f>
        <v>1.9617463489514998E-6</v>
      </c>
    </row>
    <row r="19" spans="1:35" ht="19.5">
      <c r="A19" s="653" t="s">
        <v>42</v>
      </c>
      <c r="B19" s="654"/>
      <c r="C19" s="107">
        <f t="shared" ref="C19:AH19" si="1">SUM(C6:C18)</f>
        <v>15709084</v>
      </c>
      <c r="D19" s="107">
        <f t="shared" si="1"/>
        <v>15709084</v>
      </c>
      <c r="E19" s="107">
        <f t="shared" si="1"/>
        <v>16224909</v>
      </c>
      <c r="F19" s="107">
        <f t="shared" si="1"/>
        <v>15799979</v>
      </c>
      <c r="G19" s="107">
        <f t="shared" si="1"/>
        <v>15806368</v>
      </c>
      <c r="H19" s="107">
        <f t="shared" si="1"/>
        <v>15418261</v>
      </c>
      <c r="I19" s="107">
        <f t="shared" si="1"/>
        <v>15051129</v>
      </c>
      <c r="J19" s="107">
        <f t="shared" si="1"/>
        <v>15154710</v>
      </c>
      <c r="K19" s="107">
        <f t="shared" si="1"/>
        <v>15154710</v>
      </c>
      <c r="L19" s="107">
        <f t="shared" si="1"/>
        <v>15298472</v>
      </c>
      <c r="M19" s="107">
        <f t="shared" si="1"/>
        <v>15057053</v>
      </c>
      <c r="N19" s="107">
        <f t="shared" si="1"/>
        <v>15319148</v>
      </c>
      <c r="O19" s="107">
        <f t="shared" si="1"/>
        <v>15251851</v>
      </c>
      <c r="P19" s="107">
        <f t="shared" si="1"/>
        <v>15419321</v>
      </c>
      <c r="Q19" s="107">
        <f t="shared" si="1"/>
        <v>15458437</v>
      </c>
      <c r="R19" s="107">
        <f t="shared" si="1"/>
        <v>15458437</v>
      </c>
      <c r="S19" s="107">
        <f t="shared" si="1"/>
        <v>15521569</v>
      </c>
      <c r="T19" s="107">
        <f t="shared" si="1"/>
        <v>14911539</v>
      </c>
      <c r="U19" s="107">
        <f t="shared" si="1"/>
        <v>14786657</v>
      </c>
      <c r="V19" s="107">
        <f t="shared" si="1"/>
        <v>14577690</v>
      </c>
      <c r="W19" s="107">
        <f t="shared" si="1"/>
        <v>14588909</v>
      </c>
      <c r="X19" s="107">
        <f>SUM(X6:X18)</f>
        <v>14613929</v>
      </c>
      <c r="Y19" s="107">
        <f t="shared" si="1"/>
        <v>14613929</v>
      </c>
      <c r="Z19" s="107">
        <f t="shared" si="1"/>
        <v>14320328</v>
      </c>
      <c r="AA19" s="107">
        <f t="shared" si="1"/>
        <v>13942399</v>
      </c>
      <c r="AB19" s="107">
        <f t="shared" si="1"/>
        <v>13700903</v>
      </c>
      <c r="AC19" s="107">
        <f t="shared" si="1"/>
        <v>13457041</v>
      </c>
      <c r="AD19" s="107">
        <f t="shared" si="1"/>
        <v>13101938</v>
      </c>
      <c r="AE19" s="107">
        <f t="shared" si="1"/>
        <v>13173897</v>
      </c>
      <c r="AF19" s="107">
        <f t="shared" si="1"/>
        <v>13175428</v>
      </c>
      <c r="AG19" s="107">
        <f t="shared" si="1"/>
        <v>12962116</v>
      </c>
      <c r="AH19" s="107">
        <f t="shared" si="1"/>
        <v>14798039.519999998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7587709</v>
      </c>
      <c r="D20" s="103">
        <f>VALUE(期貨金額!E7)</f>
        <v>7587709</v>
      </c>
      <c r="E20" s="103">
        <f>VALUE(期貨金額!F7)</f>
        <v>7829382</v>
      </c>
      <c r="F20" s="103">
        <f>VALUE(期貨金額!G7)</f>
        <v>7855116</v>
      </c>
      <c r="G20" s="103">
        <f>VALUE(期貨金額!H7)</f>
        <v>7880294</v>
      </c>
      <c r="H20" s="103">
        <f>VALUE(期貨金額!I7)</f>
        <v>8056055</v>
      </c>
      <c r="I20" s="103">
        <f>VALUE(期貨金額!J7)</f>
        <v>8067539</v>
      </c>
      <c r="J20" s="103">
        <f>VALUE(期貨金額!K7)</f>
        <v>8075285</v>
      </c>
      <c r="K20" s="103">
        <f>VALUE(期貨金額!L7)</f>
        <v>8075285</v>
      </c>
      <c r="L20" s="103">
        <f>VALUE(期貨金額!M7)</f>
        <v>8042309</v>
      </c>
      <c r="M20" s="103">
        <f>VALUE(期貨金額!N7)</f>
        <v>8142465</v>
      </c>
      <c r="N20" s="103">
        <f>VALUE(期貨金額!O7)</f>
        <v>8055644</v>
      </c>
      <c r="O20" s="103">
        <f>VALUE(期貨金額!P7)</f>
        <v>7964073</v>
      </c>
      <c r="P20" s="103">
        <f>VALUE(期貨金額!Q7)</f>
        <v>7985395</v>
      </c>
      <c r="Q20" s="103">
        <f>VALUE(期貨金額!R7)</f>
        <v>8106231</v>
      </c>
      <c r="R20" s="103">
        <f>VALUE(期貨金額!S7)</f>
        <v>8106231</v>
      </c>
      <c r="S20" s="103">
        <f>VALUE(期貨金額!T7)</f>
        <v>8127393</v>
      </c>
      <c r="T20" s="103">
        <f>VALUE(期貨金額!U7)</f>
        <v>8007180</v>
      </c>
      <c r="U20" s="103">
        <f>VALUE(期貨金額!V7)</f>
        <v>7976209</v>
      </c>
      <c r="V20" s="103">
        <f>VALUE(期貨金額!W7)</f>
        <v>7961024</v>
      </c>
      <c r="W20" s="103">
        <f>VALUE(期貨金額!X7)</f>
        <v>7860723</v>
      </c>
      <c r="X20" s="103">
        <f>VALUE(期貨金額!Y7)</f>
        <v>7864268</v>
      </c>
      <c r="Y20" s="103">
        <f>VALUE(期貨金額!Z7)</f>
        <v>7864268</v>
      </c>
      <c r="Z20" s="103">
        <f>VALUE(期貨金額!AA7)</f>
        <v>7786203</v>
      </c>
      <c r="AA20" s="103">
        <f>VALUE(期貨金額!AB7)</f>
        <v>7700083</v>
      </c>
      <c r="AB20" s="103">
        <f>VALUE(期貨金額!AC7)</f>
        <v>7811912</v>
      </c>
      <c r="AC20" s="103">
        <f>VALUE(期貨金額!AD7)</f>
        <v>7912500</v>
      </c>
      <c r="AD20" s="103">
        <f>VALUE(期貨金額!AE7)</f>
        <v>7897086</v>
      </c>
      <c r="AE20" s="103">
        <f>VALUE(期貨金額!AF7)</f>
        <v>7900984</v>
      </c>
      <c r="AF20" s="103">
        <f>VALUE(期貨金額!AG7)</f>
        <v>7900985</v>
      </c>
      <c r="AG20" s="103">
        <f>VALUE(期貨金額!AH7)</f>
        <v>7870461</v>
      </c>
      <c r="AH20" s="103">
        <f>VALUE(期貨金額!AI7)</f>
        <v>7930903.2599999998</v>
      </c>
      <c r="AI20" s="467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467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467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467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467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467">
        <f t="shared" si="2"/>
        <v>0</v>
      </c>
    </row>
    <row r="26" spans="1:35" ht="19.5">
      <c r="A26" s="653" t="s">
        <v>42</v>
      </c>
      <c r="B26" s="654"/>
      <c r="C26" s="107">
        <f>SUM(C20:C25)</f>
        <v>7587709</v>
      </c>
      <c r="D26" s="107">
        <f>SUM(D20:D25)</f>
        <v>7587709</v>
      </c>
      <c r="E26" s="107">
        <f>SUM(E20:E25)</f>
        <v>7829382</v>
      </c>
      <c r="F26" s="107">
        <f t="shared" ref="F26:AH26" si="3">SUM(F20:F25)</f>
        <v>7855116</v>
      </c>
      <c r="G26" s="107">
        <f t="shared" si="3"/>
        <v>7880294</v>
      </c>
      <c r="H26" s="107">
        <f t="shared" si="3"/>
        <v>8056055</v>
      </c>
      <c r="I26" s="107">
        <f t="shared" si="3"/>
        <v>8067539</v>
      </c>
      <c r="J26" s="107">
        <f t="shared" si="3"/>
        <v>8075285</v>
      </c>
      <c r="K26" s="107">
        <f t="shared" si="3"/>
        <v>8075285</v>
      </c>
      <c r="L26" s="107">
        <f t="shared" si="3"/>
        <v>8042309</v>
      </c>
      <c r="M26" s="107">
        <f t="shared" si="3"/>
        <v>8142465</v>
      </c>
      <c r="N26" s="107">
        <f t="shared" si="3"/>
        <v>8055644</v>
      </c>
      <c r="O26" s="107">
        <f t="shared" si="3"/>
        <v>7964073</v>
      </c>
      <c r="P26" s="107">
        <f t="shared" si="3"/>
        <v>7985395</v>
      </c>
      <c r="Q26" s="107">
        <f t="shared" si="3"/>
        <v>8106231</v>
      </c>
      <c r="R26" s="107">
        <f t="shared" si="3"/>
        <v>8106231</v>
      </c>
      <c r="S26" s="107">
        <f t="shared" si="3"/>
        <v>8127393</v>
      </c>
      <c r="T26" s="107">
        <f t="shared" si="3"/>
        <v>8007180</v>
      </c>
      <c r="U26" s="107">
        <f t="shared" si="3"/>
        <v>7976209</v>
      </c>
      <c r="V26" s="107">
        <f t="shared" si="3"/>
        <v>7961024</v>
      </c>
      <c r="W26" s="107">
        <f t="shared" si="3"/>
        <v>7860723</v>
      </c>
      <c r="X26" s="107">
        <f t="shared" si="3"/>
        <v>7864268</v>
      </c>
      <c r="Y26" s="107">
        <f t="shared" si="3"/>
        <v>7864268</v>
      </c>
      <c r="Z26" s="107">
        <f t="shared" si="3"/>
        <v>7786203</v>
      </c>
      <c r="AA26" s="107">
        <f t="shared" si="3"/>
        <v>7700083</v>
      </c>
      <c r="AB26" s="107">
        <f t="shared" si="3"/>
        <v>7811912</v>
      </c>
      <c r="AC26" s="107">
        <f t="shared" si="3"/>
        <v>7912500</v>
      </c>
      <c r="AD26" s="107">
        <f t="shared" si="3"/>
        <v>7897086</v>
      </c>
      <c r="AE26" s="107">
        <f t="shared" si="3"/>
        <v>7900984</v>
      </c>
      <c r="AF26" s="107">
        <f t="shared" si="3"/>
        <v>7900985</v>
      </c>
      <c r="AG26" s="107">
        <f t="shared" si="3"/>
        <v>7870461</v>
      </c>
      <c r="AH26" s="107">
        <f t="shared" si="3"/>
        <v>7930903.2599999998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zoomScale="90" workbookViewId="0">
      <selection activeCell="S24" sqref="S24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671" t="s">
        <v>1</v>
      </c>
      <c r="B2" s="672"/>
      <c r="C2" s="672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499" t="s">
        <v>265</v>
      </c>
    </row>
    <row r="3" spans="1:17" s="122" customFormat="1" ht="13.5">
      <c r="A3" s="673" t="s">
        <v>9</v>
      </c>
      <c r="B3" s="674"/>
      <c r="C3" s="675"/>
      <c r="D3" s="119">
        <f>D4+D11+D16</f>
        <v>527868102.07000005</v>
      </c>
      <c r="E3" s="119">
        <f>E4+E11+E16</f>
        <v>542115557.49999988</v>
      </c>
      <c r="F3" s="119">
        <f>F4+F11+F16</f>
        <v>539987138.64999998</v>
      </c>
      <c r="G3" s="119">
        <f t="shared" ref="G3:P3" si="0">G4+G11+G16</f>
        <v>570065528.70000005</v>
      </c>
      <c r="H3" s="119">
        <f t="shared" si="0"/>
        <v>564984026.57000005</v>
      </c>
      <c r="I3" s="119">
        <f t="shared" si="0"/>
        <v>555413062.01999998</v>
      </c>
      <c r="J3" s="119">
        <f t="shared" si="0"/>
        <v>534959781.35000002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547913315</v>
      </c>
      <c r="Q3" s="492">
        <v>464677576.2836622</v>
      </c>
    </row>
    <row r="4" spans="1:17" ht="13.5">
      <c r="A4" s="123"/>
      <c r="B4" s="669" t="s">
        <v>10</v>
      </c>
      <c r="C4" s="670"/>
      <c r="D4" s="124">
        <f>SUM(D5:D10)</f>
        <v>350975852.75000006</v>
      </c>
      <c r="E4" s="124">
        <f t="shared" ref="E4:P4" si="1">SUM(E5:E10)</f>
        <v>357955084.41999996</v>
      </c>
      <c r="F4" s="124">
        <f t="shared" si="1"/>
        <v>343248245.62</v>
      </c>
      <c r="G4" s="124">
        <f t="shared" si="1"/>
        <v>356557512.46000004</v>
      </c>
      <c r="H4" s="124">
        <f t="shared" si="1"/>
        <v>356058381.37000006</v>
      </c>
      <c r="I4" s="124">
        <f t="shared" si="1"/>
        <v>349670318.33000004</v>
      </c>
      <c r="J4" s="124">
        <f t="shared" si="1"/>
        <v>338930531.44999999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350485133</v>
      </c>
      <c r="Q4" s="493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299834672.31999999</v>
      </c>
      <c r="E5" s="129">
        <f>VALUE(月庫存金額!D2)</f>
        <v>307225013.70999998</v>
      </c>
      <c r="F5" s="129">
        <f>VALUE(月庫存金額!E2)</f>
        <v>294153684.23000002</v>
      </c>
      <c r="G5" s="129">
        <f>VALUE(月庫存金額!F2)</f>
        <v>303615613.60000002</v>
      </c>
      <c r="H5" s="129">
        <f>VALUE(月庫存金額!G2)</f>
        <v>303089170.68000001</v>
      </c>
      <c r="I5" s="129">
        <f>VALUE(月庫存金額!H2)</f>
        <v>293058162.43000001</v>
      </c>
      <c r="J5" s="129">
        <f>VALUE(月庫存金額!I2)</f>
        <v>280660315.44999999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297376662</v>
      </c>
      <c r="Q5" s="494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5684437.1600000001</v>
      </c>
      <c r="E6" s="129">
        <f>VALUE(月庫存金額!D4)</f>
        <v>7322154.3200000003</v>
      </c>
      <c r="F6" s="129">
        <f>VALUE(月庫存金額!E4)</f>
        <v>5630647.5800000001</v>
      </c>
      <c r="G6" s="129">
        <f>VALUE(月庫存金額!F4)</f>
        <v>7013262.9299999997</v>
      </c>
      <c r="H6" s="129">
        <f>VALUE(月庫存金額!G4)</f>
        <v>5414422.3899999997</v>
      </c>
      <c r="I6" s="129">
        <f>VALUE(月庫存金額!H4)</f>
        <v>4738664.43</v>
      </c>
      <c r="J6" s="129">
        <f>VALUE(月庫存金額!I4)</f>
        <v>4285839.87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5727061</v>
      </c>
      <c r="Q6" s="494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4773461.9400000004</v>
      </c>
      <c r="E7" s="129">
        <f>VALUE(月庫存金額!D5)</f>
        <v>4462656.46</v>
      </c>
      <c r="F7" s="129">
        <f>VALUE(月庫存金額!E5)</f>
        <v>4174818.16</v>
      </c>
      <c r="G7" s="129">
        <f>VALUE(月庫存金額!F5)</f>
        <v>5699307.2000000002</v>
      </c>
      <c r="H7" s="129">
        <f>VALUE(月庫存金額!G5)</f>
        <v>7986887.9699999997</v>
      </c>
      <c r="I7" s="129">
        <f>VALUE(月庫存金額!H5)</f>
        <v>12898206.300000001</v>
      </c>
      <c r="J7" s="129">
        <f>VALUE(月庫存金額!I5)</f>
        <v>15315525.48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7901552</v>
      </c>
      <c r="Q7" s="494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28706641.23</v>
      </c>
      <c r="E8" s="129">
        <f>VALUE(月庫存金額!D6)</f>
        <v>26607421</v>
      </c>
      <c r="F8" s="129">
        <f>VALUE(月庫存金額!E6)</f>
        <v>27847352.649999999</v>
      </c>
      <c r="G8" s="129">
        <f>VALUE(月庫存金額!F6)</f>
        <v>28707950.100000001</v>
      </c>
      <c r="H8" s="129">
        <f>VALUE(月庫存金額!G6)</f>
        <v>27835093.100000001</v>
      </c>
      <c r="I8" s="129">
        <f>VALUE(月庫存金額!H6)</f>
        <v>28109129.100000001</v>
      </c>
      <c r="J8" s="129">
        <f>VALUE(月庫存金額!I6)</f>
        <v>26860135.649999999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27810532</v>
      </c>
      <c r="Q8" s="494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494">
        <v>0</v>
      </c>
    </row>
    <row r="10" spans="1:17" ht="13.5">
      <c r="A10" s="126"/>
      <c r="B10" s="132"/>
      <c r="C10" s="128" t="s">
        <v>16</v>
      </c>
      <c r="D10" s="129">
        <f>VALUE(月庫存金額!C8)</f>
        <v>11976640.1</v>
      </c>
      <c r="E10" s="129">
        <f>VALUE(月庫存金額!D8)</f>
        <v>12337838.93</v>
      </c>
      <c r="F10" s="129">
        <f>VALUE(月庫存金額!E8)</f>
        <v>11441743</v>
      </c>
      <c r="G10" s="129">
        <f>VALUE(月庫存金額!F8)</f>
        <v>11521378.630000001</v>
      </c>
      <c r="H10" s="129">
        <f>VALUE(月庫存金額!G8)</f>
        <v>11732807.23</v>
      </c>
      <c r="I10" s="129">
        <f>VALUE(月庫存金額!H8)</f>
        <v>10866156.07</v>
      </c>
      <c r="J10" s="129">
        <f>VALUE(月庫存金額!I8)</f>
        <v>11808715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11669326</v>
      </c>
      <c r="Q10" s="494">
        <v>7409428.2792333327</v>
      </c>
    </row>
    <row r="11" spans="1:17" ht="13.5">
      <c r="A11" s="126"/>
      <c r="B11" s="676" t="s">
        <v>17</v>
      </c>
      <c r="C11" s="677"/>
      <c r="D11" s="133">
        <f>SUM(D12:D15)</f>
        <v>1650470.32</v>
      </c>
      <c r="E11" s="133">
        <f>SUM(E12:E15)</f>
        <v>1911612.1500000001</v>
      </c>
      <c r="F11" s="133">
        <f>SUM(F12:F15)</f>
        <v>2013508.6099999999</v>
      </c>
      <c r="G11" s="133">
        <f t="shared" ref="G11:P11" si="2">SUM(G12:G15)</f>
        <v>2501567.17</v>
      </c>
      <c r="H11" s="133">
        <f t="shared" si="2"/>
        <v>2954051.71</v>
      </c>
      <c r="I11" s="133">
        <f t="shared" si="2"/>
        <v>2871359.56</v>
      </c>
      <c r="J11" s="133">
        <f t="shared" si="2"/>
        <v>3944894.6799999997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2549638</v>
      </c>
      <c r="Q11" s="495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494">
        <v>0</v>
      </c>
    </row>
    <row r="13" spans="1:17" ht="13.5">
      <c r="A13" s="126"/>
      <c r="B13" s="127"/>
      <c r="C13" s="134" t="s">
        <v>19</v>
      </c>
      <c r="D13" s="129">
        <f>VALUE(月庫存金額!C10)</f>
        <v>1497237.48</v>
      </c>
      <c r="E13" s="129">
        <f>VALUE(月庫存金額!D10)</f>
        <v>1489814.86</v>
      </c>
      <c r="F13" s="129">
        <f>VALUE(月庫存金額!E10)</f>
        <v>1555533.19</v>
      </c>
      <c r="G13" s="129">
        <f>VALUE(月庫存金額!F10)</f>
        <v>2110874.17</v>
      </c>
      <c r="H13" s="129">
        <f>VALUE(月庫存金額!G10)</f>
        <v>2594700.48</v>
      </c>
      <c r="I13" s="129">
        <f>VALUE(月庫存金額!H10)</f>
        <v>2536582.23</v>
      </c>
      <c r="J13" s="129">
        <f>VALUE(月庫存金額!I10)</f>
        <v>3609860.55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2199229</v>
      </c>
      <c r="Q13" s="494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806.45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163.87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139</v>
      </c>
      <c r="Q14" s="494">
        <v>0</v>
      </c>
    </row>
    <row r="15" spans="1:17" ht="13.5">
      <c r="A15" s="126"/>
      <c r="B15" s="127"/>
      <c r="C15" s="233" t="s">
        <v>20</v>
      </c>
      <c r="D15" s="129">
        <f>VALUE(月庫存金額!C14)</f>
        <v>153232.84</v>
      </c>
      <c r="E15" s="129">
        <f>VALUE(月庫存金額!D14)</f>
        <v>421797.29</v>
      </c>
      <c r="F15" s="129">
        <f>VALUE(月庫存金額!E14)</f>
        <v>457168.97</v>
      </c>
      <c r="G15" s="129">
        <f>VALUE(月庫存金額!F14)</f>
        <v>390693</v>
      </c>
      <c r="H15" s="129">
        <f>VALUE(月庫存金額!G14)</f>
        <v>359351.23</v>
      </c>
      <c r="I15" s="129">
        <f>VALUE(月庫存金額!H14)</f>
        <v>334777.33</v>
      </c>
      <c r="J15" s="129">
        <f>VALUE(月庫存金額!I14)</f>
        <v>334870.26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350270</v>
      </c>
      <c r="Q15" s="494">
        <v>410834.40910555562</v>
      </c>
    </row>
    <row r="16" spans="1:17" ht="14.25" customHeight="1">
      <c r="A16" s="126"/>
      <c r="B16" s="669" t="s">
        <v>22</v>
      </c>
      <c r="C16" s="670"/>
      <c r="D16" s="133">
        <f>SUM(D17:D23)</f>
        <v>175241779</v>
      </c>
      <c r="E16" s="133">
        <f>SUM(E17:E23)</f>
        <v>182248860.92999998</v>
      </c>
      <c r="F16" s="133">
        <f>SUM(F17:F23)</f>
        <v>194725384.41999999</v>
      </c>
      <c r="G16" s="133">
        <f t="shared" ref="G16:O16" si="3">SUM(G17:G23)</f>
        <v>211006449.06999999</v>
      </c>
      <c r="H16" s="133">
        <f t="shared" si="3"/>
        <v>205971593.49000001</v>
      </c>
      <c r="I16" s="133">
        <f t="shared" si="3"/>
        <v>202871384.13</v>
      </c>
      <c r="J16" s="133">
        <f t="shared" si="3"/>
        <v>192084355.22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194878544</v>
      </c>
      <c r="Q16" s="495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165227363.52000001</v>
      </c>
      <c r="E17" s="129">
        <f>VALUE(月庫存金額!D3)</f>
        <v>171806418.88999999</v>
      </c>
      <c r="F17" s="129">
        <f>VALUE(月庫存金額!E3)</f>
        <v>185142109.58000001</v>
      </c>
      <c r="G17" s="129">
        <f>VALUE(月庫存金額!F3)</f>
        <v>201494393.80000001</v>
      </c>
      <c r="H17" s="129">
        <f>VALUE(月庫存金額!G3)</f>
        <v>197100209.52000001</v>
      </c>
      <c r="I17" s="129">
        <f>VALUE(月庫存金額!H3)</f>
        <v>194109777.83000001</v>
      </c>
      <c r="J17" s="129">
        <f>VALUE(月庫存金額!I3)</f>
        <v>183427224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185472500</v>
      </c>
      <c r="Q17" s="494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1654288.48</v>
      </c>
      <c r="E18" s="129">
        <f>VALUE(月庫存金額!D13)</f>
        <v>2191549.54</v>
      </c>
      <c r="F18" s="129">
        <f>VALUE(月庫存金額!E13)</f>
        <v>1575862.94</v>
      </c>
      <c r="G18" s="129">
        <f>VALUE(月庫存金額!F13)</f>
        <v>1918721.6</v>
      </c>
      <c r="H18" s="129">
        <f>VALUE(月庫存金額!G13)</f>
        <v>1492150.32</v>
      </c>
      <c r="I18" s="129">
        <f>VALUE(月庫存金額!H13)</f>
        <v>1677135.1</v>
      </c>
      <c r="J18" s="129">
        <f>VALUE(月庫存金額!I13)</f>
        <v>1705742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1745064</v>
      </c>
      <c r="Q18" s="494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14160</v>
      </c>
      <c r="E19" s="129">
        <f>VALUE(月庫存金額!D21)</f>
        <v>14160</v>
      </c>
      <c r="F19" s="129">
        <f>VALUE(月庫存金額!E21)</f>
        <v>14160</v>
      </c>
      <c r="G19" s="129">
        <f>VALUE(月庫存金額!F21)</f>
        <v>14160</v>
      </c>
      <c r="H19" s="129">
        <f>VALUE(月庫存金額!G21)</f>
        <v>14160</v>
      </c>
      <c r="I19" s="129">
        <f>VALUE(月庫存金額!H21)</f>
        <v>14160</v>
      </c>
      <c r="J19" s="129">
        <f>VALUE(月庫存金額!I21)</f>
        <v>14160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14160</v>
      </c>
      <c r="Q19" s="494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162800</v>
      </c>
      <c r="J20" s="129">
        <f>VALUE(月庫存金額!I20)</f>
        <v>162800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494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7942536.9000000004</v>
      </c>
      <c r="E21" s="129">
        <f>VALUE(月庫存金額!D19)</f>
        <v>7788290.9299999997</v>
      </c>
      <c r="F21" s="129">
        <f>VALUE(月庫存金額!E19)</f>
        <v>7577748.4500000002</v>
      </c>
      <c r="G21" s="129">
        <f>VALUE(月庫存金額!F19)</f>
        <v>7170796.0700000003</v>
      </c>
      <c r="H21" s="129">
        <f>VALUE(月庫存金額!G19)</f>
        <v>6985512.0999999996</v>
      </c>
      <c r="I21" s="129">
        <f>VALUE(月庫存金額!H19)</f>
        <v>6688836.2000000002</v>
      </c>
      <c r="J21" s="129">
        <f>VALUE(月庫存金額!I19)</f>
        <v>6513543.9000000004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7238181</v>
      </c>
      <c r="Q21" s="494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114968.03</v>
      </c>
      <c r="G22" s="129">
        <f>VALUE(月庫存金額!F11)</f>
        <v>106839</v>
      </c>
      <c r="H22" s="129">
        <f>VALUE(月庫存金額!G11)</f>
        <v>106839</v>
      </c>
      <c r="I22" s="129">
        <f>VALUE(月庫存金額!H11)</f>
        <v>106839</v>
      </c>
      <c r="J22" s="129">
        <f>VALUE(月庫存金額!I11)</f>
        <v>106839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108000</v>
      </c>
      <c r="Q22" s="494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133791.1</v>
      </c>
      <c r="E23" s="129">
        <f>VALUE(月庫存金額!D22)</f>
        <v>178802.57</v>
      </c>
      <c r="F23" s="129">
        <f>VALUE(月庫存金額!E22)</f>
        <v>137735.42000000001</v>
      </c>
      <c r="G23" s="129">
        <f>VALUE(月庫存金額!F22)</f>
        <v>138738.6</v>
      </c>
      <c r="H23" s="129">
        <f>VALUE(月庫存金額!G22)</f>
        <v>109922.55</v>
      </c>
      <c r="I23" s="129">
        <f>VALUE(月庫存金額!H22)</f>
        <v>111836</v>
      </c>
      <c r="J23" s="129">
        <f>VALUE(月庫存金額!I22)</f>
        <v>154046.32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137839</v>
      </c>
      <c r="Q23" s="494">
        <v>446571.5</v>
      </c>
    </row>
    <row r="24" spans="1:17" ht="14.25" customHeight="1">
      <c r="A24" s="126"/>
      <c r="B24" s="669" t="s">
        <v>30</v>
      </c>
      <c r="C24" s="670"/>
      <c r="D24" s="133">
        <f>SUM(D25:D28)</f>
        <v>9638377.6400000006</v>
      </c>
      <c r="E24" s="133">
        <f t="shared" ref="E24:P24" si="4">SUM(E25:E28)</f>
        <v>10193654.859999999</v>
      </c>
      <c r="F24" s="133">
        <f t="shared" si="4"/>
        <v>10578766.289999999</v>
      </c>
      <c r="G24" s="133">
        <f t="shared" si="4"/>
        <v>11860233.49</v>
      </c>
      <c r="H24" s="133">
        <f t="shared" si="4"/>
        <v>12719432.030000001</v>
      </c>
      <c r="I24" s="133">
        <f t="shared" si="4"/>
        <v>13893757.6</v>
      </c>
      <c r="J24" s="133">
        <f t="shared" si="4"/>
        <v>15333193.42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12031060</v>
      </c>
      <c r="Q24" s="495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494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494"/>
    </row>
    <row r="27" spans="1:17" ht="13.5">
      <c r="A27" s="126"/>
      <c r="B27" s="254"/>
      <c r="C27" s="134" t="s">
        <v>269</v>
      </c>
      <c r="D27" s="129">
        <f>VALUE(月庫存金額!C25)</f>
        <v>5295736.9000000004</v>
      </c>
      <c r="E27" s="129">
        <f>VALUE(月庫存金額!D25)</f>
        <v>5008243.6399999997</v>
      </c>
      <c r="F27" s="129">
        <f>VALUE(月庫存金額!E25)</f>
        <v>5099825.03</v>
      </c>
      <c r="G27" s="129">
        <f>VALUE(月庫存金額!F25)</f>
        <v>5251707.63</v>
      </c>
      <c r="H27" s="129">
        <f>VALUE(月庫存金額!G25)</f>
        <v>5529716.3200000003</v>
      </c>
      <c r="I27" s="129">
        <f>VALUE(月庫存金額!H25)</f>
        <v>6030730.6699999999</v>
      </c>
      <c r="J27" s="129">
        <f>VALUE(月庫存金額!I25)</f>
        <v>6861396.2599999998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5582480</v>
      </c>
      <c r="Q27" s="494"/>
    </row>
    <row r="28" spans="1:17" ht="13.5">
      <c r="A28" s="126"/>
      <c r="B28" s="266"/>
      <c r="C28" s="134" t="s">
        <v>270</v>
      </c>
      <c r="D28" s="129">
        <f>VALUE(月庫存金額!C26)</f>
        <v>4342640.74</v>
      </c>
      <c r="E28" s="129">
        <f>VALUE(月庫存金額!D26)</f>
        <v>5185411.22</v>
      </c>
      <c r="F28" s="129">
        <f>VALUE(月庫存金額!E26)</f>
        <v>5478941.2599999998</v>
      </c>
      <c r="G28" s="129">
        <f>VALUE(月庫存金額!F26)</f>
        <v>6608525.8600000003</v>
      </c>
      <c r="H28" s="129">
        <f>VALUE(月庫存金額!G26)</f>
        <v>7189715.71</v>
      </c>
      <c r="I28" s="129">
        <f>VALUE(月庫存金額!H26)</f>
        <v>7863026.9299999997</v>
      </c>
      <c r="J28" s="129">
        <f>VALUE(月庫存金額!I26)</f>
        <v>8471797.1600000001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6448580</v>
      </c>
      <c r="Q28" s="494"/>
    </row>
    <row r="29" spans="1:17" ht="13.5">
      <c r="A29" s="659" t="s">
        <v>36</v>
      </c>
      <c r="B29" s="660"/>
      <c r="C29" s="139" t="s">
        <v>37</v>
      </c>
      <c r="D29" s="140">
        <f>VALUE(月庫存金額!C15)</f>
        <v>92028.65</v>
      </c>
      <c r="E29" s="140">
        <f>VALUE(月庫存金額!D15)</f>
        <v>115688.5</v>
      </c>
      <c r="F29" s="140">
        <f>VALUE(月庫存金額!E15)</f>
        <v>86948.1</v>
      </c>
      <c r="G29" s="140">
        <f>VALUE(月庫存金額!F15)</f>
        <v>110244.03</v>
      </c>
      <c r="H29" s="140">
        <f>VALUE(月庫存金額!G15)</f>
        <v>86659.26</v>
      </c>
      <c r="I29" s="140">
        <f>VALUE(月庫存金額!H15)</f>
        <v>29406.83</v>
      </c>
      <c r="J29" s="140">
        <f>VALUE(月庫存金額!I15)</f>
        <v>3827.77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74972</v>
      </c>
      <c r="Q29" s="496"/>
    </row>
    <row r="30" spans="1:17" ht="13.5">
      <c r="A30" s="661"/>
      <c r="B30" s="662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497"/>
    </row>
    <row r="31" spans="1:17" ht="13.5">
      <c r="A31" s="661"/>
      <c r="B31" s="662"/>
      <c r="C31" s="239" t="s">
        <v>39</v>
      </c>
      <c r="D31" s="143">
        <f>VALUE(月庫存金額!C17)</f>
        <v>6144143.0999999996</v>
      </c>
      <c r="E31" s="143">
        <f>VALUE(月庫存金額!D17)</f>
        <v>6624502.46</v>
      </c>
      <c r="F31" s="143">
        <f>VALUE(月庫存金額!E17)</f>
        <v>5900638.8399999999</v>
      </c>
      <c r="G31" s="143">
        <f>VALUE(月庫存金額!F17)</f>
        <v>5102363.83</v>
      </c>
      <c r="H31" s="143">
        <f>VALUE(月庫存金額!G17)</f>
        <v>5888874.71</v>
      </c>
      <c r="I31" s="143">
        <f>VALUE(月庫存金額!H17)</f>
        <v>7610703.3700000001</v>
      </c>
      <c r="J31" s="143">
        <f>VALUE(月庫存金額!I17)</f>
        <v>6994164.6500000004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6323627</v>
      </c>
      <c r="Q31" s="497"/>
    </row>
    <row r="32" spans="1:17" ht="14.1" thickBot="1">
      <c r="A32" s="663"/>
      <c r="B32" s="664"/>
      <c r="C32" s="146" t="s">
        <v>40</v>
      </c>
      <c r="D32" s="147">
        <f>VALUE(月庫存金額!C18)</f>
        <v>10283834.970000001</v>
      </c>
      <c r="E32" s="147">
        <f>VALUE(月庫存金額!D18)</f>
        <v>10074047.82</v>
      </c>
      <c r="F32" s="147">
        <f>VALUE(月庫存金額!E18)</f>
        <v>11570067.810000001</v>
      </c>
      <c r="G32" s="147">
        <f>VALUE(月庫存金額!F18)</f>
        <v>11090298.630000001</v>
      </c>
      <c r="H32" s="147">
        <f>VALUE(月庫存金額!G18)</f>
        <v>10872506.970000001</v>
      </c>
      <c r="I32" s="147">
        <f>VALUE(月庫存金額!H18)</f>
        <v>11056667.4</v>
      </c>
      <c r="J32" s="147">
        <f>VALUE(月庫存金額!I18)</f>
        <v>10095650.58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10720439</v>
      </c>
      <c r="Q32" s="498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671" t="s">
        <v>1</v>
      </c>
      <c r="B36" s="672"/>
      <c r="C36" s="672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673" t="s">
        <v>9</v>
      </c>
      <c r="B37" s="674"/>
      <c r="C37" s="675"/>
      <c r="D37" s="119">
        <f>D38+D45+D50</f>
        <v>516365597</v>
      </c>
      <c r="E37" s="119">
        <f>E38+E45+E50</f>
        <v>550721127</v>
      </c>
      <c r="F37" s="119">
        <f>F38+F45+F50</f>
        <v>568098801</v>
      </c>
      <c r="G37" s="119">
        <f t="shared" ref="G37:P37" si="5">G38+G45+G50</f>
        <v>595813671</v>
      </c>
      <c r="H37" s="119">
        <f t="shared" si="5"/>
        <v>563416742</v>
      </c>
      <c r="I37" s="119">
        <f t="shared" si="5"/>
        <v>547479215</v>
      </c>
      <c r="J37" s="119">
        <f t="shared" si="5"/>
        <v>569276284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558738777</v>
      </c>
      <c r="Q37" s="121"/>
    </row>
    <row r="38" spans="1:17" ht="13.5">
      <c r="A38" s="123"/>
      <c r="B38" s="669" t="s">
        <v>10</v>
      </c>
      <c r="C38" s="670"/>
      <c r="D38" s="124">
        <f>SUM(D39:D44)</f>
        <v>346741620</v>
      </c>
      <c r="E38" s="124">
        <f t="shared" ref="E38:P38" si="6">SUM(E39:E44)</f>
        <v>362799895</v>
      </c>
      <c r="F38" s="124">
        <f t="shared" si="6"/>
        <v>357763091</v>
      </c>
      <c r="G38" s="124">
        <f t="shared" si="6"/>
        <v>373031611</v>
      </c>
      <c r="H38" s="124">
        <f t="shared" si="6"/>
        <v>357296639</v>
      </c>
      <c r="I38" s="124">
        <f t="shared" si="6"/>
        <v>349963042</v>
      </c>
      <c r="J38" s="124">
        <f t="shared" si="6"/>
        <v>371493882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359869969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302224799</v>
      </c>
      <c r="E39" s="130">
        <f>VALUE(月庫存金額!Q2)</f>
        <v>305116846</v>
      </c>
      <c r="F39" s="130">
        <f>VALUE(月庫存金額!R2)</f>
        <v>306852591</v>
      </c>
      <c r="G39" s="130">
        <f>VALUE(月庫存金額!S2)</f>
        <v>307882720</v>
      </c>
      <c r="H39" s="130">
        <f>VALUE(月庫存金額!T2)</f>
        <v>293635390</v>
      </c>
      <c r="I39" s="130">
        <f>VALUE(月庫存金額!U2)</f>
        <v>290574147</v>
      </c>
      <c r="J39" s="130">
        <f>VALUE(月庫存金額!V2)</f>
        <v>296341017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300375359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5317956</v>
      </c>
      <c r="E40" s="130">
        <f>VALUE(月庫存金額!Q4)</f>
        <v>8522669</v>
      </c>
      <c r="F40" s="130">
        <f>VALUE(月庫存金額!R4)</f>
        <v>7237880</v>
      </c>
      <c r="G40" s="130">
        <f>VALUE(月庫存金額!S4)</f>
        <v>10936543</v>
      </c>
      <c r="H40" s="130">
        <f>VALUE(月庫存金額!T4)</f>
        <v>4908536</v>
      </c>
      <c r="I40" s="130">
        <f>VALUE(月庫存金額!U4)</f>
        <v>5477175</v>
      </c>
      <c r="J40" s="130">
        <f>VALUE(月庫存金額!V4)</f>
        <v>6087974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6926962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4695532</v>
      </c>
      <c r="E41" s="130">
        <f>VALUE(月庫存金額!Q5)</f>
        <v>4160961</v>
      </c>
      <c r="F41" s="130">
        <f>VALUE(月庫存金額!R5)</f>
        <v>4257263</v>
      </c>
      <c r="G41" s="130">
        <f>VALUE(月庫存金額!S5)</f>
        <v>6915946</v>
      </c>
      <c r="H41" s="130">
        <f>VALUE(月庫存金額!T5)</f>
        <v>12077872</v>
      </c>
      <c r="I41" s="130">
        <f>VALUE(月庫存金額!U5)</f>
        <v>14155845</v>
      </c>
      <c r="J41" s="130">
        <f>VALUE(月庫存金額!V5)</f>
        <v>15707947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8853052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26144769</v>
      </c>
      <c r="E42" s="130">
        <f>VALUE(月庫存金額!Q6)</f>
        <v>30327158</v>
      </c>
      <c r="F42" s="130">
        <f>VALUE(月庫存金額!R6)</f>
        <v>27847957</v>
      </c>
      <c r="G42" s="130">
        <f>VALUE(月庫存金額!S6)</f>
        <v>30729681</v>
      </c>
      <c r="H42" s="130">
        <f>VALUE(月庫存金額!T6)</f>
        <v>31184822</v>
      </c>
      <c r="I42" s="130">
        <f>VALUE(月庫存金額!U6)</f>
        <v>28714327</v>
      </c>
      <c r="J42" s="130">
        <f>VALUE(月庫存金額!V6)</f>
        <v>30654529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29371892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8358564</v>
      </c>
      <c r="E44" s="130">
        <f>VALUE(月庫存金額!Q8)</f>
        <v>14672261</v>
      </c>
      <c r="F44" s="130">
        <f>VALUE(月庫存金額!R8)</f>
        <v>11567400</v>
      </c>
      <c r="G44" s="130">
        <f>VALUE(月庫存金額!S8)</f>
        <v>16566721</v>
      </c>
      <c r="H44" s="130">
        <f>VALUE(月庫存金額!T8)</f>
        <v>15490019</v>
      </c>
      <c r="I44" s="130">
        <f>VALUE(月庫存金額!U8)</f>
        <v>11041548</v>
      </c>
      <c r="J44" s="130">
        <f>VALUE(月庫存金額!V8)</f>
        <v>22702415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14342704</v>
      </c>
      <c r="Q44" s="121"/>
    </row>
    <row r="45" spans="1:17" ht="13.5">
      <c r="A45" s="126"/>
      <c r="B45" s="676" t="s">
        <v>17</v>
      </c>
      <c r="C45" s="677"/>
      <c r="D45" s="124">
        <f>SUM(D46:D49)</f>
        <v>1405135</v>
      </c>
      <c r="E45" s="124">
        <f>SUM(E46:E49)</f>
        <v>1888565</v>
      </c>
      <c r="F45" s="124">
        <f>SUM(F46:F49)</f>
        <v>2213248</v>
      </c>
      <c r="G45" s="124">
        <f t="shared" ref="G45:P45" si="7">SUM(G46:G49)</f>
        <v>3115958</v>
      </c>
      <c r="H45" s="124">
        <f t="shared" si="7"/>
        <v>2542253</v>
      </c>
      <c r="I45" s="124">
        <f t="shared" si="7"/>
        <v>3937851</v>
      </c>
      <c r="J45" s="124">
        <f t="shared" si="7"/>
        <v>4256045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2765579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1289077</v>
      </c>
      <c r="E47" s="130">
        <f>VALUE(月庫存金額!Q10)</f>
        <v>1374367</v>
      </c>
      <c r="F47" s="130">
        <f>VALUE(月庫存金額!R10)</f>
        <v>1808940</v>
      </c>
      <c r="G47" s="130">
        <f>VALUE(月庫存金額!S10)</f>
        <v>2724770</v>
      </c>
      <c r="H47" s="130">
        <f>VALUE(月庫存金額!T10)</f>
        <v>2219395</v>
      </c>
      <c r="I47" s="130">
        <f>VALUE(月庫存金額!U10)</f>
        <v>3550243</v>
      </c>
      <c r="J47" s="130">
        <f>VALUE(月庫存金額!V10)</f>
        <v>3966257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2419007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2540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363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116058</v>
      </c>
      <c r="E49" s="130">
        <f>VALUE(月庫存金額!Q14)</f>
        <v>514198</v>
      </c>
      <c r="F49" s="130">
        <f>VALUE(月庫存金額!R14)</f>
        <v>404308</v>
      </c>
      <c r="G49" s="130">
        <f>VALUE(月庫存金額!S14)</f>
        <v>391188</v>
      </c>
      <c r="H49" s="130">
        <f>VALUE(月庫存金額!T14)</f>
        <v>322858</v>
      </c>
      <c r="I49" s="130">
        <f>VALUE(月庫存金額!U14)</f>
        <v>387608</v>
      </c>
      <c r="J49" s="130">
        <f>VALUE(月庫存金額!V14)</f>
        <v>287248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346209</v>
      </c>
      <c r="Q49" s="121"/>
    </row>
    <row r="50" spans="1:17" ht="16.5" customHeight="1">
      <c r="A50" s="126"/>
      <c r="B50" s="676" t="s">
        <v>22</v>
      </c>
      <c r="C50" s="677"/>
      <c r="D50" s="124">
        <f>SUM(D51:D57)</f>
        <v>168218842</v>
      </c>
      <c r="E50" s="124">
        <f>SUM(E51:E57)</f>
        <v>186032667</v>
      </c>
      <c r="F50" s="124">
        <f>SUM(F51:F57)</f>
        <v>208122462</v>
      </c>
      <c r="G50" s="124">
        <f t="shared" ref="G50:P50" si="8">SUM(G51:G57)</f>
        <v>219666102</v>
      </c>
      <c r="H50" s="124">
        <f t="shared" si="8"/>
        <v>203577850</v>
      </c>
      <c r="I50" s="124">
        <f t="shared" si="8"/>
        <v>193578322</v>
      </c>
      <c r="J50" s="124">
        <f t="shared" si="8"/>
        <v>193526357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196103229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158651008</v>
      </c>
      <c r="E51" s="130">
        <f>VALUE(月庫存金額!Q3)</f>
        <v>175318749</v>
      </c>
      <c r="F51" s="130">
        <f>VALUE(月庫存金額!R3)</f>
        <v>199041123</v>
      </c>
      <c r="G51" s="130">
        <f>VALUE(月庫存金額!S3)</f>
        <v>210284655</v>
      </c>
      <c r="H51" s="130">
        <f>VALUE(月庫存金額!T3)</f>
        <v>194361294</v>
      </c>
      <c r="I51" s="130">
        <f>VALUE(月庫存金額!U3)</f>
        <v>184619899</v>
      </c>
      <c r="J51" s="130">
        <f>VALUE(月庫存金額!V3)</f>
        <v>185881792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186879789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1395237</v>
      </c>
      <c r="E52" s="130">
        <f>VALUE(月庫存金額!Q13)</f>
        <v>2518152</v>
      </c>
      <c r="F52" s="130">
        <f>VALUE(月庫存金額!R13)</f>
        <v>1225378</v>
      </c>
      <c r="G52" s="130">
        <f>VALUE(月庫存金額!S13)</f>
        <v>1804630</v>
      </c>
      <c r="H52" s="130">
        <f>VALUE(月庫存金額!T13)</f>
        <v>2070317</v>
      </c>
      <c r="I52" s="130">
        <f>VALUE(月庫存金額!U13)</f>
        <v>1954838</v>
      </c>
      <c r="J52" s="130">
        <f>VALUE(月庫存金額!V13)</f>
        <v>734679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1671890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14160</v>
      </c>
      <c r="E53" s="130">
        <f>VALUE(月庫存金額!Q21)</f>
        <v>14160</v>
      </c>
      <c r="F53" s="130">
        <f>VALUE(月庫存金額!R21)</f>
        <v>14160</v>
      </c>
      <c r="G53" s="130">
        <f>VALUE(月庫存金額!S21)</f>
        <v>14160</v>
      </c>
      <c r="H53" s="130">
        <f>VALUE(月庫存金額!T21)</f>
        <v>14160</v>
      </c>
      <c r="I53" s="130">
        <f>VALUE(月庫存金額!U21)</f>
        <v>14160</v>
      </c>
      <c r="J53" s="130">
        <f>VALUE(月庫存金額!V21)</f>
        <v>14160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14160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162800</v>
      </c>
      <c r="J54" s="130">
        <f>VALUE(月庫存金額!V20)</f>
        <v>162800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7730794</v>
      </c>
      <c r="E55" s="130">
        <f>VALUE(月庫存金額!Q19)</f>
        <v>7745653</v>
      </c>
      <c r="F55" s="130">
        <f>VALUE(月庫存金額!R19)</f>
        <v>7350084</v>
      </c>
      <c r="G55" s="130">
        <f>VALUE(月庫存金額!S19)</f>
        <v>7162266</v>
      </c>
      <c r="H55" s="130">
        <f>VALUE(月庫存金額!T19)</f>
        <v>6786336</v>
      </c>
      <c r="I55" s="130">
        <f>VALUE(月庫存金額!U19)</f>
        <v>6614678</v>
      </c>
      <c r="J55" s="130">
        <f>VALUE(月庫存金額!V19)</f>
        <v>6439211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7118432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106839</v>
      </c>
      <c r="G56" s="130">
        <f>VALUE(月庫存金額!S11)</f>
        <v>106839</v>
      </c>
      <c r="H56" s="130">
        <f>VALUE(月庫存金額!T11)</f>
        <v>106839</v>
      </c>
      <c r="I56" s="130">
        <f>VALUE(月庫存金額!U11)</f>
        <v>106839</v>
      </c>
      <c r="J56" s="130">
        <f>VALUE(月庫存金額!V11)</f>
        <v>106839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106839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158004</v>
      </c>
      <c r="E57" s="130">
        <f>VALUE(月庫存金額!Q22)</f>
        <v>166314</v>
      </c>
      <c r="F57" s="130">
        <f>VALUE(月庫存金額!R22)</f>
        <v>222078</v>
      </c>
      <c r="G57" s="130">
        <f>VALUE(月庫存金額!S22)</f>
        <v>130752</v>
      </c>
      <c r="H57" s="130">
        <f>VALUE(月庫存金額!T22)</f>
        <v>76104</v>
      </c>
      <c r="I57" s="130">
        <f>VALUE(月庫存金額!U22)</f>
        <v>105108</v>
      </c>
      <c r="J57" s="130">
        <f>VALUE(月庫存金額!V22)</f>
        <v>186876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149319</v>
      </c>
      <c r="Q57" s="121"/>
    </row>
    <row r="58" spans="1:17" ht="14.25" customHeight="1">
      <c r="A58" s="126"/>
      <c r="B58" s="669" t="s">
        <v>30</v>
      </c>
      <c r="C58" s="670"/>
      <c r="D58" s="124">
        <f>SUM(D59:D62)</f>
        <v>10418360</v>
      </c>
      <c r="E58" s="124">
        <f t="shared" ref="E58:P58" si="9">SUM(E59:E62)</f>
        <v>11460343</v>
      </c>
      <c r="F58" s="124">
        <f t="shared" si="9"/>
        <v>14628566</v>
      </c>
      <c r="G58" s="124">
        <f t="shared" si="9"/>
        <v>13177893</v>
      </c>
      <c r="H58" s="124">
        <f t="shared" si="9"/>
        <v>13972624</v>
      </c>
      <c r="I58" s="124">
        <f t="shared" si="9"/>
        <v>14036731</v>
      </c>
      <c r="J58" s="124">
        <f t="shared" si="9"/>
        <v>15999103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13384803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5577439</v>
      </c>
      <c r="E61" s="130">
        <f>VALUE(月庫存金額!Q25)</f>
        <v>5423970</v>
      </c>
      <c r="F61" s="130">
        <f>VALUE(月庫存金額!R25)</f>
        <v>5718016</v>
      </c>
      <c r="G61" s="130">
        <f>VALUE(月庫存金額!S25)</f>
        <v>5664986</v>
      </c>
      <c r="H61" s="130">
        <f>VALUE(月庫存金額!T25)</f>
        <v>6199447</v>
      </c>
      <c r="I61" s="130">
        <f>VALUE(月庫存金額!U25)</f>
        <v>5066832</v>
      </c>
      <c r="J61" s="130">
        <f>VALUE(月庫存金額!V25)</f>
        <v>6851508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5786028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4840921</v>
      </c>
      <c r="E62" s="130">
        <f>VALUE(月庫存金額!Q26)</f>
        <v>6036373</v>
      </c>
      <c r="F62" s="130">
        <f>VALUE(月庫存金額!R26)</f>
        <v>8910550</v>
      </c>
      <c r="G62" s="130">
        <f>VALUE(月庫存金額!S26)</f>
        <v>7512907</v>
      </c>
      <c r="H62" s="130">
        <f>VALUE(月庫存金額!T26)</f>
        <v>7773177</v>
      </c>
      <c r="I62" s="130">
        <f>VALUE(月庫存金額!U26)</f>
        <v>8969899</v>
      </c>
      <c r="J62" s="130">
        <f>VALUE(月庫存金額!V26)</f>
        <v>9147595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7598775</v>
      </c>
      <c r="Q62" s="121"/>
    </row>
    <row r="63" spans="1:17" ht="13.5">
      <c r="A63" s="659" t="s">
        <v>36</v>
      </c>
      <c r="B63" s="660"/>
      <c r="C63" s="139" t="s">
        <v>37</v>
      </c>
      <c r="D63" s="140">
        <f>VALUE(月庫存金額!P15)</f>
        <v>102712</v>
      </c>
      <c r="E63" s="140">
        <f>VALUE(月庫存金額!Q15)</f>
        <v>102612</v>
      </c>
      <c r="F63" s="140">
        <f>VALUE(月庫存金額!R15)</f>
        <v>83222</v>
      </c>
      <c r="G63" s="140">
        <f>VALUE(月庫存金額!S15)</f>
        <v>119184</v>
      </c>
      <c r="H63" s="140">
        <f>VALUE(月庫存金額!T15)</f>
        <v>56169</v>
      </c>
      <c r="I63" s="140">
        <f>VALUE(月庫存金額!U15)</f>
        <v>2773</v>
      </c>
      <c r="J63" s="140">
        <f>VALUE(月庫存金額!V15)</f>
        <v>2773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67064</v>
      </c>
      <c r="Q63" s="121"/>
    </row>
    <row r="64" spans="1:17" ht="14.25" customHeight="1">
      <c r="A64" s="661"/>
      <c r="B64" s="662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661"/>
      <c r="B65" s="662"/>
      <c r="C65" s="239" t="s">
        <v>39</v>
      </c>
      <c r="D65" s="143">
        <f>VALUE(月庫存金額!P17)</f>
        <v>6589897</v>
      </c>
      <c r="E65" s="143">
        <f>VALUE(月庫存金額!Q17)</f>
        <v>7851229</v>
      </c>
      <c r="F65" s="143">
        <f>VALUE(月庫存金額!R17)</f>
        <v>6149577</v>
      </c>
      <c r="G65" s="143">
        <f>VALUE(月庫存金額!S17)</f>
        <v>7515941</v>
      </c>
      <c r="H65" s="143">
        <f>VALUE(月庫存金額!T17)</f>
        <v>7306682</v>
      </c>
      <c r="I65" s="143">
        <f>VALUE(月庫存金額!U17)</f>
        <v>9051165</v>
      </c>
      <c r="J65" s="143">
        <f>VALUE(月庫存金額!V17)</f>
        <v>10098360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7794693</v>
      </c>
      <c r="Q65" s="121"/>
    </row>
    <row r="66" spans="1:17" ht="14.1" thickBot="1">
      <c r="A66" s="663"/>
      <c r="B66" s="664"/>
      <c r="C66" s="146" t="s">
        <v>40</v>
      </c>
      <c r="D66" s="147">
        <f>VALUE(月庫存金額!P18)</f>
        <v>10038829</v>
      </c>
      <c r="E66" s="147">
        <f>VALUE(月庫存金額!Q18)</f>
        <v>11733146</v>
      </c>
      <c r="F66" s="147">
        <f>VALUE(月庫存金額!R18)</f>
        <v>10843853</v>
      </c>
      <c r="G66" s="147">
        <f>VALUE(月庫存金額!S18)</f>
        <v>11814297</v>
      </c>
      <c r="H66" s="147">
        <f>VALUE(月庫存金額!T18)</f>
        <v>12096175</v>
      </c>
      <c r="I66" s="147">
        <f>VALUE(月庫存金額!U18)</f>
        <v>11281946</v>
      </c>
      <c r="J66" s="147">
        <f>VALUE(月庫存金額!V18)</f>
        <v>11631121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11348481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671" t="s">
        <v>1</v>
      </c>
      <c r="B70" s="672"/>
      <c r="C70" s="672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673" t="s">
        <v>9</v>
      </c>
      <c r="B71" s="674"/>
      <c r="C71" s="675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669" t="s">
        <v>10</v>
      </c>
      <c r="C72" s="670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676" t="s">
        <v>17</v>
      </c>
      <c r="C79" s="678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669" t="s">
        <v>22</v>
      </c>
      <c r="C84" s="670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659" t="s">
        <v>36</v>
      </c>
      <c r="B92" s="660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661"/>
      <c r="B93" s="662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661"/>
      <c r="B94" s="662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663"/>
      <c r="B95" s="664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671" t="s">
        <v>1</v>
      </c>
      <c r="B98" s="672"/>
      <c r="C98" s="672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679" t="s">
        <v>11</v>
      </c>
      <c r="B99" s="680"/>
      <c r="C99" s="680"/>
      <c r="D99" s="187" t="str">
        <f>月供應率ALL!C2</f>
        <v>97.9</v>
      </c>
      <c r="E99" s="187" t="str">
        <f>月供應率ALL!D2</f>
        <v>98.2</v>
      </c>
      <c r="F99" s="187" t="str">
        <f>月供應率ALL!E2</f>
        <v>97.9</v>
      </c>
      <c r="G99" s="187" t="str">
        <f>月供應率ALL!F2</f>
        <v>97.7</v>
      </c>
      <c r="H99" s="187" t="str">
        <f>月供應率ALL!G2</f>
        <v>97.5</v>
      </c>
      <c r="I99" s="187" t="str">
        <f>月供應率ALL!H2</f>
        <v>97.3</v>
      </c>
      <c r="J99" s="187" t="str">
        <f>月供應率ALL!I2</f>
        <v>97.2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97.6</v>
      </c>
      <c r="Q99" s="500">
        <v>97.9</v>
      </c>
      <c r="R99" s="681"/>
      <c r="S99" s="682"/>
    </row>
    <row r="100" spans="1:19" ht="13.5">
      <c r="A100" s="667" t="s">
        <v>12</v>
      </c>
      <c r="B100" s="668"/>
      <c r="C100" s="668"/>
      <c r="D100" s="187" t="str">
        <f>月供應率ALL!C4</f>
        <v>100</v>
      </c>
      <c r="E100" s="187" t="str">
        <f>月供應率ALL!D4</f>
        <v>100</v>
      </c>
      <c r="F100" s="187" t="str">
        <f>月供應率ALL!E4</f>
        <v>100</v>
      </c>
      <c r="G100" s="187" t="str">
        <f>月供應率ALL!F4</f>
        <v>99.8</v>
      </c>
      <c r="H100" s="187" t="str">
        <f>月供應率ALL!G4</f>
        <v>99.8</v>
      </c>
      <c r="I100" s="187" t="str">
        <f>月供應率ALL!H4</f>
        <v>99.9</v>
      </c>
      <c r="J100" s="187" t="str">
        <f>月供應率ALL!I4</f>
        <v>99.9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99.9</v>
      </c>
      <c r="Q100" s="500">
        <v>99</v>
      </c>
      <c r="R100" s="681"/>
      <c r="S100" s="682"/>
    </row>
    <row r="101" spans="1:19" ht="13.5">
      <c r="A101" s="667" t="s">
        <v>13</v>
      </c>
      <c r="B101" s="668"/>
      <c r="C101" s="668"/>
      <c r="D101" s="187" t="str">
        <f>月供應率ALL!C5</f>
        <v>89.1</v>
      </c>
      <c r="E101" s="187" t="str">
        <f>月供應率ALL!D5</f>
        <v>96.7</v>
      </c>
      <c r="F101" s="187" t="str">
        <f>月供應率ALL!E5</f>
        <v>83.4</v>
      </c>
      <c r="G101" s="187" t="str">
        <f>月供應率ALL!F5</f>
        <v>80.9</v>
      </c>
      <c r="H101" s="187" t="str">
        <f>月供應率ALL!G5</f>
        <v>89.8</v>
      </c>
      <c r="I101" s="187" t="str">
        <f>月供應率ALL!H5</f>
        <v>82.5</v>
      </c>
      <c r="J101" s="187" t="str">
        <f>月供應率ALL!I5</f>
        <v>67.1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84.2</v>
      </c>
      <c r="Q101" s="500">
        <v>75</v>
      </c>
      <c r="R101" s="681"/>
      <c r="S101" s="682"/>
    </row>
    <row r="102" spans="1:19" ht="13.5">
      <c r="A102" s="667" t="s">
        <v>14</v>
      </c>
      <c r="B102" s="668"/>
      <c r="C102" s="668"/>
      <c r="D102" s="187" t="str">
        <f>月供應率ALL!C6</f>
        <v>99.3</v>
      </c>
      <c r="E102" s="187" t="str">
        <f>月供應率ALL!D6</f>
        <v>99.3</v>
      </c>
      <c r="F102" s="187" t="str">
        <f>月供應率ALL!E6</f>
        <v>99.4</v>
      </c>
      <c r="G102" s="187" t="str">
        <f>月供應率ALL!F6</f>
        <v>99.4</v>
      </c>
      <c r="H102" s="187" t="str">
        <f>月供應率ALL!G6</f>
        <v>99.6</v>
      </c>
      <c r="I102" s="187" t="str">
        <f>月供應率ALL!H6</f>
        <v>99</v>
      </c>
      <c r="J102" s="187" t="str">
        <f>月供應率ALL!I6</f>
        <v>99.5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99.3</v>
      </c>
      <c r="Q102" s="500">
        <v>99</v>
      </c>
      <c r="R102" s="681"/>
      <c r="S102" s="682"/>
    </row>
    <row r="103" spans="1:19" ht="13.5">
      <c r="A103" s="667" t="s">
        <v>21</v>
      </c>
      <c r="B103" s="668"/>
      <c r="C103" s="668"/>
      <c r="D103" s="187" t="str">
        <f>月供應率ALL!C23</f>
        <v>93.1</v>
      </c>
      <c r="E103" s="187" t="str">
        <f>月供應率ALL!D23</f>
        <v>93.9</v>
      </c>
      <c r="F103" s="187" t="str">
        <f>月供應率ALL!E23</f>
        <v>91.7</v>
      </c>
      <c r="G103" s="187" t="str">
        <f>月供應率ALL!F23</f>
        <v>92.7</v>
      </c>
      <c r="H103" s="187" t="str">
        <f>月供應率ALL!G23</f>
        <v>92</v>
      </c>
      <c r="I103" s="187" t="str">
        <f>月供應率ALL!H23</f>
        <v>89.5</v>
      </c>
      <c r="J103" s="187" t="str">
        <f>月供應率ALL!I23</f>
        <v>89.9</v>
      </c>
      <c r="K103" s="187" t="str">
        <f>月供應率ALL!J23</f>
        <v>0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91.8</v>
      </c>
      <c r="Q103" s="500">
        <v>92</v>
      </c>
      <c r="R103" s="681"/>
      <c r="S103" s="682"/>
    </row>
    <row r="104" spans="1:19" ht="13.5">
      <c r="A104" s="667" t="s">
        <v>16</v>
      </c>
      <c r="B104" s="668"/>
      <c r="C104" s="668"/>
      <c r="D104" s="187" t="str">
        <f>月供應率ALL!C8</f>
        <v>97.7</v>
      </c>
      <c r="E104" s="187" t="str">
        <f>月供應率ALL!D8</f>
        <v>98.6</v>
      </c>
      <c r="F104" s="187" t="str">
        <f>月供應率ALL!E8</f>
        <v>98.9</v>
      </c>
      <c r="G104" s="187" t="str">
        <f>月供應率ALL!F8</f>
        <v>99.3</v>
      </c>
      <c r="H104" s="187" t="str">
        <f>月供應率ALL!G8</f>
        <v>99.2</v>
      </c>
      <c r="I104" s="187" t="str">
        <f>月供應率ALL!H8</f>
        <v>98.9</v>
      </c>
      <c r="J104" s="187" t="str">
        <f>月供應率ALL!I8</f>
        <v>99.4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98.8</v>
      </c>
      <c r="Q104" s="500">
        <v>95</v>
      </c>
      <c r="R104" s="681"/>
      <c r="S104" s="682"/>
    </row>
    <row r="105" spans="1:19" ht="13.5">
      <c r="A105" s="665" t="s">
        <v>17</v>
      </c>
      <c r="B105" s="666"/>
      <c r="C105" s="666"/>
      <c r="D105" s="187" t="str">
        <f>月供應率ALL!C9</f>
        <v>95.8</v>
      </c>
      <c r="E105" s="187" t="str">
        <f>月供應率ALL!D9</f>
        <v>95.8</v>
      </c>
      <c r="F105" s="187" t="str">
        <f>月供應率ALL!E9</f>
        <v>91.6</v>
      </c>
      <c r="G105" s="187" t="str">
        <f>月供應率ALL!F9</f>
        <v>96.1</v>
      </c>
      <c r="H105" s="187" t="str">
        <f>月供應率ALL!G9</f>
        <v>98.9</v>
      </c>
      <c r="I105" s="187" t="str">
        <f>月供應率ALL!H9</f>
        <v>93.1</v>
      </c>
      <c r="J105" s="187" t="str">
        <f>月供應率ALL!I9</f>
        <v>99.6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95.8</v>
      </c>
      <c r="Q105" s="500">
        <v>95</v>
      </c>
      <c r="R105" s="681"/>
      <c r="S105" s="682"/>
    </row>
    <row r="106" spans="1:19" ht="13.5">
      <c r="A106" s="690" t="s">
        <v>49</v>
      </c>
      <c r="B106" s="691"/>
      <c r="C106" s="692"/>
      <c r="D106" s="256" t="str">
        <f>月供應率ALL!C10</f>
        <v>98</v>
      </c>
      <c r="E106" s="256" t="str">
        <f>月供應率ALL!D10</f>
        <v>98.3</v>
      </c>
      <c r="F106" s="256" t="str">
        <f>月供應率ALL!E10</f>
        <v>98</v>
      </c>
      <c r="G106" s="256" t="str">
        <f>月供應率ALL!F10</f>
        <v>97.9</v>
      </c>
      <c r="H106" s="256" t="str">
        <f>月供應率ALL!G10</f>
        <v>97.8</v>
      </c>
      <c r="I106" s="256" t="str">
        <f>月供應率ALL!H10</f>
        <v>97.4</v>
      </c>
      <c r="J106" s="256" t="str">
        <f>月供應率ALL!I10</f>
        <v>97.5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97.8</v>
      </c>
      <c r="Q106" s="501">
        <v>97.8</v>
      </c>
      <c r="R106" s="240"/>
      <c r="S106" s="241"/>
    </row>
    <row r="107" spans="1:19" ht="13.5">
      <c r="A107" s="667" t="s">
        <v>276</v>
      </c>
      <c r="B107" s="668"/>
      <c r="C107" s="668"/>
      <c r="D107" s="187" t="str">
        <f>月供應率ALL!C3</f>
        <v>96.8</v>
      </c>
      <c r="E107" s="187" t="str">
        <f>月供應率ALL!D3</f>
        <v>97.2</v>
      </c>
      <c r="F107" s="187" t="str">
        <f>月供應率ALL!E3</f>
        <v>97.4</v>
      </c>
      <c r="G107" s="187" t="str">
        <f>月供應率ALL!F3</f>
        <v>98</v>
      </c>
      <c r="H107" s="187" t="str">
        <f>月供應率ALL!G3</f>
        <v>98.1</v>
      </c>
      <c r="I107" s="187" t="str">
        <f>月供應率ALL!H3</f>
        <v>97.5</v>
      </c>
      <c r="J107" s="187" t="str">
        <f>月供應率ALL!I3</f>
        <v>97.6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97.5</v>
      </c>
      <c r="Q107" s="500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99.7</v>
      </c>
      <c r="E108" s="189" t="str">
        <f>月供應率ALL!D11</f>
        <v>100</v>
      </c>
      <c r="F108" s="189" t="str">
        <f>月供應率ALL!E11</f>
        <v>100</v>
      </c>
      <c r="G108" s="189" t="str">
        <f>月供應率ALL!F11</f>
        <v>99.8</v>
      </c>
      <c r="H108" s="189" t="str">
        <f>月供應率ALL!G11</f>
        <v>100</v>
      </c>
      <c r="I108" s="189" t="str">
        <f>月供應率ALL!H11</f>
        <v>100</v>
      </c>
      <c r="J108" s="189" t="str">
        <f>月供應率ALL!I11</f>
        <v>100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99.9</v>
      </c>
      <c r="Q108" s="502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94.1</v>
      </c>
      <c r="E109" s="189" t="str">
        <f>月供應率ALL!D12</f>
        <v>94.6</v>
      </c>
      <c r="F109" s="189" t="str">
        <f>月供應率ALL!E12</f>
        <v>96.3</v>
      </c>
      <c r="G109" s="189" t="str">
        <f>月供應率ALL!F12</f>
        <v>93.2</v>
      </c>
      <c r="H109" s="189" t="str">
        <f>月供應率ALL!G12</f>
        <v>83.3</v>
      </c>
      <c r="I109" s="189" t="str">
        <f>月供應率ALL!H12</f>
        <v>57.3</v>
      </c>
      <c r="J109" s="189" t="str">
        <f>月供應率ALL!I12</f>
        <v>53.8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81.8</v>
      </c>
      <c r="Q109" s="502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97.1</v>
      </c>
      <c r="E110" s="189" t="str">
        <f>月供應率ALL!D13</f>
        <v>96.4</v>
      </c>
      <c r="F110" s="189" t="str">
        <f>月供應率ALL!E13</f>
        <v>95.8</v>
      </c>
      <c r="G110" s="189" t="str">
        <f>月供應率ALL!F13</f>
        <v>97.6</v>
      </c>
      <c r="H110" s="189" t="str">
        <f>月供應率ALL!G13</f>
        <v>97.1</v>
      </c>
      <c r="I110" s="189" t="str">
        <f>月供應率ALL!H13</f>
        <v>96.9</v>
      </c>
      <c r="J110" s="189" t="str">
        <f>月供應率ALL!I13</f>
        <v>97.2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96.8</v>
      </c>
      <c r="Q110" s="502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95.7</v>
      </c>
      <c r="E111" s="189" t="str">
        <f>月供應率ALL!D14</f>
        <v>92.9</v>
      </c>
      <c r="F111" s="189" t="str">
        <f>月供應率ALL!E14</f>
        <v>94.1</v>
      </c>
      <c r="G111" s="189" t="str">
        <f>月供應率ALL!F14</f>
        <v>94.2</v>
      </c>
      <c r="H111" s="189" t="str">
        <f>月供應率ALL!G14</f>
        <v>93.9</v>
      </c>
      <c r="I111" s="189" t="str">
        <f>月供應率ALL!H14</f>
        <v>96.6</v>
      </c>
      <c r="J111" s="189" t="str">
        <f>月供應率ALL!I14</f>
        <v>93.1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94.3</v>
      </c>
      <c r="Q111" s="502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0</v>
      </c>
      <c r="G112" s="189" t="str">
        <f>月供應率ALL!F15</f>
        <v>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0</v>
      </c>
      <c r="Q112" s="502"/>
      <c r="R112" s="240"/>
      <c r="S112" s="241"/>
    </row>
    <row r="113" spans="1:21" ht="14.1" thickBot="1">
      <c r="A113" s="693" t="s">
        <v>50</v>
      </c>
      <c r="B113" s="694"/>
      <c r="C113" s="694"/>
      <c r="D113" s="190" t="str">
        <f>月供應率ALL!C16</f>
        <v>96.6</v>
      </c>
      <c r="E113" s="190" t="str">
        <f>月供應率ALL!D16</f>
        <v>97</v>
      </c>
      <c r="F113" s="190" t="str">
        <f>月供應率ALL!E16</f>
        <v>97.1</v>
      </c>
      <c r="G113" s="190" t="str">
        <f>月供應率ALL!F16</f>
        <v>97.9</v>
      </c>
      <c r="H113" s="190" t="str">
        <f>月供應率ALL!G16</f>
        <v>97.7</v>
      </c>
      <c r="I113" s="190" t="str">
        <f>月供應率ALL!H16</f>
        <v>97.2</v>
      </c>
      <c r="J113" s="190" t="str">
        <f>月供應率ALL!I16</f>
        <v>97.3</v>
      </c>
      <c r="K113" s="190" t="str">
        <f>月供應率ALL!J16</f>
        <v>0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97.2</v>
      </c>
      <c r="Q113" s="503"/>
      <c r="R113" s="681"/>
      <c r="S113" s="682"/>
    </row>
    <row r="114" spans="1:21" ht="16.5" customHeight="1">
      <c r="A114" s="695" t="s">
        <v>31</v>
      </c>
      <c r="B114" s="696"/>
      <c r="C114" s="697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04"/>
      <c r="R114" s="240"/>
      <c r="S114" s="241"/>
    </row>
    <row r="115" spans="1:21" ht="13.5">
      <c r="A115" s="687" t="s">
        <v>32</v>
      </c>
      <c r="B115" s="688"/>
      <c r="C115" s="689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00"/>
      <c r="R115" s="240"/>
      <c r="S115" s="241"/>
    </row>
    <row r="116" spans="1:21" ht="13.5">
      <c r="A116" s="687" t="s">
        <v>33</v>
      </c>
      <c r="B116" s="688"/>
      <c r="C116" s="689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00"/>
      <c r="R116" s="240"/>
      <c r="S116" s="241"/>
    </row>
    <row r="117" spans="1:21" ht="13.5">
      <c r="A117" s="687" t="s">
        <v>34</v>
      </c>
      <c r="B117" s="688"/>
      <c r="C117" s="689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00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00"/>
      <c r="R118" s="240"/>
      <c r="S118" s="241"/>
    </row>
    <row r="119" spans="1:21" ht="15" customHeight="1" thickBot="1">
      <c r="A119" s="704" t="s">
        <v>30</v>
      </c>
      <c r="B119" s="705"/>
      <c r="C119" s="706"/>
      <c r="D119" s="190" t="str">
        <f>月供應率ALL!C21</f>
        <v>77.4</v>
      </c>
      <c r="E119" s="190" t="str">
        <f>月供應率ALL!D21</f>
        <v>97.9</v>
      </c>
      <c r="F119" s="190" t="str">
        <f>月供應率ALL!E21</f>
        <v>99.9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100</v>
      </c>
      <c r="J119" s="190" t="str">
        <f>月供應率ALL!I21</f>
        <v>100</v>
      </c>
      <c r="K119" s="190" t="str">
        <f>月供應率ALL!J21</f>
        <v>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96.4</v>
      </c>
      <c r="Q119" s="503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671" t="s">
        <v>1</v>
      </c>
      <c r="B123" s="672"/>
      <c r="C123" s="672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681"/>
      <c r="S123" s="682"/>
    </row>
    <row r="124" spans="1:21" s="198" customFormat="1">
      <c r="A124" s="685" t="s">
        <v>52</v>
      </c>
      <c r="B124" s="686"/>
      <c r="C124" s="686"/>
      <c r="D124" s="195" t="str">
        <f>月供應率!D2</f>
        <v>97.8</v>
      </c>
      <c r="E124" s="195" t="str">
        <f>月供應率!E2</f>
        <v>98</v>
      </c>
      <c r="F124" s="195" t="str">
        <f>月供應率!F2</f>
        <v>97.6</v>
      </c>
      <c r="G124" s="195" t="str">
        <f>月供應率!G2</f>
        <v>97.7</v>
      </c>
      <c r="H124" s="195" t="str">
        <f>月供應率!H2</f>
        <v>97.3</v>
      </c>
      <c r="I124" s="195" t="str">
        <f>月供應率!I2</f>
        <v>97.2</v>
      </c>
      <c r="J124" s="195" t="str">
        <f>月供應率!J2</f>
        <v>96.5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97.5</v>
      </c>
      <c r="Q124" s="197"/>
      <c r="R124" s="681"/>
      <c r="S124" s="682"/>
      <c r="T124" s="114"/>
      <c r="U124" s="114"/>
    </row>
    <row r="125" spans="1:21" s="198" customFormat="1">
      <c r="A125" s="683" t="s">
        <v>53</v>
      </c>
      <c r="B125" s="684"/>
      <c r="C125" s="684"/>
      <c r="D125" s="195" t="str">
        <f>月供應率!D3</f>
        <v>98.2</v>
      </c>
      <c r="E125" s="195" t="str">
        <f>月供應率!E3</f>
        <v>98.7</v>
      </c>
      <c r="F125" s="195" t="str">
        <f>月供應率!F3</f>
        <v>98.3</v>
      </c>
      <c r="G125" s="195" t="str">
        <f>月供應率!G3</f>
        <v>98.2</v>
      </c>
      <c r="H125" s="195" t="str">
        <f>月供應率!H3</f>
        <v>97.8</v>
      </c>
      <c r="I125" s="195" t="str">
        <f>月供應率!I3</f>
        <v>97.6</v>
      </c>
      <c r="J125" s="195" t="str">
        <f>月供應率!J3</f>
        <v>98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98.1</v>
      </c>
      <c r="Q125" s="197"/>
      <c r="R125" s="681"/>
      <c r="S125" s="682"/>
      <c r="T125" s="114"/>
      <c r="U125" s="114"/>
    </row>
    <row r="126" spans="1:21" s="198" customFormat="1">
      <c r="A126" s="683" t="s">
        <v>54</v>
      </c>
      <c r="B126" s="684"/>
      <c r="C126" s="684"/>
      <c r="D126" s="195" t="str">
        <f>月供應率!D4</f>
        <v>98.9</v>
      </c>
      <c r="E126" s="195" t="str">
        <f>月供應率!E4</f>
        <v>99.4</v>
      </c>
      <c r="F126" s="195" t="str">
        <f>月供應率!F4</f>
        <v>98.9</v>
      </c>
      <c r="G126" s="195" t="str">
        <f>月供應率!G4</f>
        <v>98.8</v>
      </c>
      <c r="H126" s="195" t="str">
        <f>月供應率!H4</f>
        <v>99.1</v>
      </c>
      <c r="I126" s="195" t="str">
        <f>月供應率!I4</f>
        <v>98.9</v>
      </c>
      <c r="J126" s="195" t="str">
        <f>月供應率!J4</f>
        <v>98.9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</v>
      </c>
      <c r="Q126" s="197"/>
      <c r="R126" s="681"/>
      <c r="S126" s="682"/>
      <c r="T126" s="114"/>
      <c r="U126" s="114"/>
    </row>
    <row r="127" spans="1:21" s="198" customFormat="1">
      <c r="A127" s="709" t="s">
        <v>55</v>
      </c>
      <c r="B127" s="710"/>
      <c r="C127" s="711"/>
      <c r="D127" s="199" t="str">
        <f>月供應率!D5</f>
        <v>98.1</v>
      </c>
      <c r="E127" s="199" t="str">
        <f>月供應率!E5</f>
        <v>98.5</v>
      </c>
      <c r="F127" s="199" t="str">
        <f>月供應率!F5</f>
        <v>98.1</v>
      </c>
      <c r="G127" s="199" t="str">
        <f>月供應率!G5</f>
        <v>98.1</v>
      </c>
      <c r="H127" s="199" t="str">
        <f>月供應率!H5</f>
        <v>97.8</v>
      </c>
      <c r="I127" s="199" t="str">
        <f>月供應率!I5</f>
        <v>97.6</v>
      </c>
      <c r="J127" s="199" t="str">
        <f>月供應率!J5</f>
        <v>97.5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97.9</v>
      </c>
      <c r="Q127" s="197"/>
      <c r="R127" s="681"/>
      <c r="S127" s="682"/>
      <c r="T127" s="114"/>
      <c r="U127" s="114"/>
    </row>
    <row r="128" spans="1:21" s="198" customFormat="1">
      <c r="A128" s="683" t="s">
        <v>12</v>
      </c>
      <c r="B128" s="684"/>
      <c r="C128" s="684"/>
      <c r="D128" s="195" t="str">
        <f>月供應率!D7</f>
        <v>99.9</v>
      </c>
      <c r="E128" s="195" t="str">
        <f>月供應率!E7</f>
        <v>100</v>
      </c>
      <c r="F128" s="195" t="str">
        <f>月供應率!F7</f>
        <v>99.9</v>
      </c>
      <c r="G128" s="195" t="str">
        <f>月供應率!G7</f>
        <v>99.8</v>
      </c>
      <c r="H128" s="195" t="str">
        <f>月供應率!H7</f>
        <v>99.8</v>
      </c>
      <c r="I128" s="195" t="str">
        <f>月供應率!I7</f>
        <v>99.8</v>
      </c>
      <c r="J128" s="195" t="str">
        <f>月供應率!J7</f>
        <v>99.9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99.9</v>
      </c>
      <c r="Q128" s="197"/>
      <c r="R128" s="681"/>
      <c r="S128" s="682"/>
      <c r="T128" s="114"/>
      <c r="U128" s="114"/>
    </row>
    <row r="129" spans="1:21" s="198" customFormat="1">
      <c r="A129" s="683" t="s">
        <v>13</v>
      </c>
      <c r="B129" s="684"/>
      <c r="C129" s="684"/>
      <c r="D129" s="195" t="str">
        <f>月供應率!D8</f>
        <v>91.1</v>
      </c>
      <c r="E129" s="195" t="str">
        <f>月供應率!E8</f>
        <v>94.4</v>
      </c>
      <c r="F129" s="195" t="str">
        <f>月供應率!F8</f>
        <v>86</v>
      </c>
      <c r="G129" s="195" t="str">
        <f>月供應率!G8</f>
        <v>84.2</v>
      </c>
      <c r="H129" s="195" t="str">
        <f>月供應率!H8</f>
        <v>70.7</v>
      </c>
      <c r="I129" s="195" t="str">
        <f>月供應率!I8</f>
        <v>84.4</v>
      </c>
      <c r="J129" s="195" t="str">
        <f>月供應率!J8</f>
        <v>70.4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83.1</v>
      </c>
      <c r="Q129" s="197"/>
      <c r="R129" s="681"/>
      <c r="S129" s="682"/>
      <c r="T129" s="114"/>
      <c r="U129" s="114"/>
    </row>
    <row r="130" spans="1:21" s="198" customFormat="1">
      <c r="A130" s="683" t="s">
        <v>14</v>
      </c>
      <c r="B130" s="684"/>
      <c r="C130" s="684"/>
      <c r="D130" s="195" t="str">
        <f>月供應率!D9</f>
        <v>99.4</v>
      </c>
      <c r="E130" s="195" t="str">
        <f>月供應率!E9</f>
        <v>99.3</v>
      </c>
      <c r="F130" s="195" t="str">
        <f>月供應率!F9</f>
        <v>99.5</v>
      </c>
      <c r="G130" s="195" t="str">
        <f>月供應率!G9</f>
        <v>99.4</v>
      </c>
      <c r="H130" s="195" t="str">
        <f>月供應率!H9</f>
        <v>99.6</v>
      </c>
      <c r="I130" s="195" t="str">
        <f>月供應率!I9</f>
        <v>99</v>
      </c>
      <c r="J130" s="195" t="str">
        <f>月供應率!J9</f>
        <v>99.5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99.4</v>
      </c>
      <c r="Q130" s="197"/>
      <c r="R130" s="681"/>
      <c r="S130" s="682"/>
      <c r="T130" s="114"/>
      <c r="U130" s="114"/>
    </row>
    <row r="131" spans="1:21" s="198" customFormat="1">
      <c r="A131" s="683" t="s">
        <v>21</v>
      </c>
      <c r="B131" s="684"/>
      <c r="C131" s="684"/>
      <c r="D131" s="195" t="str">
        <f>月供應率!D22</f>
        <v>94.3</v>
      </c>
      <c r="E131" s="195" t="str">
        <f>月供應率!E22</f>
        <v>95.1</v>
      </c>
      <c r="F131" s="195" t="str">
        <f>月供應率!F22</f>
        <v>93.2</v>
      </c>
      <c r="G131" s="195" t="str">
        <f>月供應率!G22</f>
        <v>94.4</v>
      </c>
      <c r="H131" s="195" t="str">
        <f>月供應率!H22</f>
        <v>93.1</v>
      </c>
      <c r="I131" s="195" t="str">
        <f>月供應率!I22</f>
        <v>91.2</v>
      </c>
      <c r="J131" s="195" t="str">
        <f>月供應率!J22</f>
        <v>91.8</v>
      </c>
      <c r="K131" s="195" t="str">
        <f>月供應率!K22</f>
        <v>0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93.3</v>
      </c>
      <c r="Q131" s="197"/>
      <c r="R131" s="681"/>
      <c r="S131" s="682"/>
      <c r="T131" s="114"/>
      <c r="U131" s="114"/>
    </row>
    <row r="132" spans="1:21" s="198" customFormat="1" ht="12.95" thickBot="1">
      <c r="A132" s="702" t="s">
        <v>16</v>
      </c>
      <c r="B132" s="703"/>
      <c r="C132" s="703"/>
      <c r="D132" s="201" t="str">
        <f>月供應率!D11</f>
        <v>97.7</v>
      </c>
      <c r="E132" s="201" t="str">
        <f>月供應率!E11</f>
        <v>98.6</v>
      </c>
      <c r="F132" s="201" t="str">
        <f>月供應率!F11</f>
        <v>98.8</v>
      </c>
      <c r="G132" s="201" t="str">
        <f>月供應率!G11</f>
        <v>99.2</v>
      </c>
      <c r="H132" s="201" t="str">
        <f>月供應率!H11</f>
        <v>99.2</v>
      </c>
      <c r="I132" s="201" t="str">
        <f>月供應率!I11</f>
        <v>98.8</v>
      </c>
      <c r="J132" s="201" t="str">
        <f>月供應率!J11</f>
        <v>99.4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98.8</v>
      </c>
      <c r="Q132" s="197"/>
      <c r="R132" s="240"/>
      <c r="S132" s="241"/>
      <c r="T132" s="114"/>
      <c r="U132" s="114"/>
    </row>
    <row r="133" spans="1:21" s="198" customFormat="1">
      <c r="A133" s="683" t="s">
        <v>23</v>
      </c>
      <c r="B133" s="684"/>
      <c r="C133" s="684"/>
      <c r="D133" s="195" t="str">
        <f>月供應率!D6</f>
        <v>97.2</v>
      </c>
      <c r="E133" s="195" t="str">
        <f>月供應率!E6</f>
        <v>97.8</v>
      </c>
      <c r="F133" s="195" t="str">
        <f>月供應率!F6</f>
        <v>97.9</v>
      </c>
      <c r="G133" s="195" t="str">
        <f>月供應率!G6</f>
        <v>98.6</v>
      </c>
      <c r="H133" s="195" t="str">
        <f>月供應率!H6</f>
        <v>98.6</v>
      </c>
      <c r="I133" s="195" t="str">
        <f>月供應率!I6</f>
        <v>98.1</v>
      </c>
      <c r="J133" s="195" t="str">
        <f>月供應率!J6</f>
        <v>98.1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98.1</v>
      </c>
      <c r="Q133" s="197"/>
      <c r="R133" s="240"/>
      <c r="S133" s="241"/>
      <c r="T133" s="114"/>
      <c r="U133" s="114"/>
    </row>
    <row r="134" spans="1:21" s="198" customFormat="1">
      <c r="A134" s="712" t="s">
        <v>24</v>
      </c>
      <c r="B134" s="713"/>
      <c r="C134" s="714"/>
      <c r="D134" s="260" t="str">
        <f>月供應率!D12</f>
        <v>99.6</v>
      </c>
      <c r="E134" s="260" t="str">
        <f>月供應率!E12</f>
        <v>100</v>
      </c>
      <c r="F134" s="260" t="str">
        <f>月供應率!F12</f>
        <v>100</v>
      </c>
      <c r="G134" s="260" t="str">
        <f>月供應率!G12</f>
        <v>99.7</v>
      </c>
      <c r="H134" s="260" t="str">
        <f>月供應率!H12</f>
        <v>100</v>
      </c>
      <c r="I134" s="260" t="str">
        <f>月供應率!I12</f>
        <v>100</v>
      </c>
      <c r="J134" s="260" t="str">
        <f>月供應率!J12</f>
        <v>100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99.9</v>
      </c>
      <c r="Q134" s="197"/>
      <c r="R134" s="240"/>
      <c r="S134" s="241"/>
      <c r="T134" s="114"/>
      <c r="U134" s="114"/>
    </row>
    <row r="135" spans="1:21" s="198" customFormat="1">
      <c r="A135" s="712" t="s">
        <v>25</v>
      </c>
      <c r="B135" s="713"/>
      <c r="C135" s="714"/>
      <c r="D135" s="260" t="str">
        <f>月供應率!D13</f>
        <v>94.9</v>
      </c>
      <c r="E135" s="260" t="str">
        <f>月供應率!E13</f>
        <v>95.7</v>
      </c>
      <c r="F135" s="260" t="str">
        <f>月供應率!F13</f>
        <v>96.7</v>
      </c>
      <c r="G135" s="260" t="str">
        <f>月供應率!G13</f>
        <v>94.6</v>
      </c>
      <c r="H135" s="260" t="str">
        <f>月供應率!H13</f>
        <v>83.5</v>
      </c>
      <c r="I135" s="260" t="str">
        <f>月供應率!I13</f>
        <v>56.8</v>
      </c>
      <c r="J135" s="260" t="str">
        <f>月供應率!J13</f>
        <v>52.1</v>
      </c>
      <c r="K135" s="260" t="str">
        <f>月供應率!K13</f>
        <v>0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82</v>
      </c>
      <c r="Q135" s="197"/>
      <c r="R135" s="240"/>
      <c r="S135" s="241"/>
      <c r="T135" s="114"/>
      <c r="U135" s="114"/>
    </row>
    <row r="136" spans="1:21" s="198" customFormat="1">
      <c r="A136" s="712" t="s">
        <v>26</v>
      </c>
      <c r="B136" s="713"/>
      <c r="C136" s="714"/>
      <c r="D136" s="260" t="str">
        <f>月供應率!D14</f>
        <v>97.5</v>
      </c>
      <c r="E136" s="260" t="str">
        <f>月供應率!E14</f>
        <v>96.7</v>
      </c>
      <c r="F136" s="260" t="str">
        <f>月供應率!F14</f>
        <v>96.4</v>
      </c>
      <c r="G136" s="260" t="str">
        <f>月供應率!G14</f>
        <v>97.9</v>
      </c>
      <c r="H136" s="260" t="str">
        <f>月供應率!H14</f>
        <v>97.6</v>
      </c>
      <c r="I136" s="260" t="str">
        <f>月供應率!I14</f>
        <v>97.4</v>
      </c>
      <c r="J136" s="260" t="str">
        <f>月供應率!J14</f>
        <v>97.5</v>
      </c>
      <c r="K136" s="260" t="str">
        <f>月供應率!K14</f>
        <v>0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97.3</v>
      </c>
      <c r="Q136" s="197"/>
      <c r="R136" s="240"/>
      <c r="S136" s="241"/>
      <c r="T136" s="114"/>
      <c r="U136" s="114"/>
    </row>
    <row r="137" spans="1:21" s="198" customFormat="1">
      <c r="A137" s="712" t="s">
        <v>27</v>
      </c>
      <c r="B137" s="713"/>
      <c r="C137" s="714"/>
      <c r="D137" s="260" t="str">
        <f>月供應率!D15</f>
        <v>96</v>
      </c>
      <c r="E137" s="260" t="str">
        <f>月供應率!E15</f>
        <v>92.9</v>
      </c>
      <c r="F137" s="260" t="str">
        <f>月供應率!F15</f>
        <v>94.1</v>
      </c>
      <c r="G137" s="260" t="str">
        <f>月供應率!G15</f>
        <v>94.2</v>
      </c>
      <c r="H137" s="260" t="str">
        <f>月供應率!H15</f>
        <v>93.9</v>
      </c>
      <c r="I137" s="260" t="str">
        <f>月供應率!I15</f>
        <v>97.6</v>
      </c>
      <c r="J137" s="260" t="str">
        <f>月供應率!J15</f>
        <v>93.1</v>
      </c>
      <c r="K137" s="260" t="str">
        <f>月供應率!K15</f>
        <v>0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94.6</v>
      </c>
      <c r="Q137" s="197"/>
      <c r="R137" s="240"/>
      <c r="S137" s="241"/>
      <c r="T137" s="114"/>
      <c r="U137" s="114"/>
    </row>
    <row r="138" spans="1:21" s="198" customFormat="1" ht="12.95" thickBot="1">
      <c r="A138" s="717" t="s">
        <v>28</v>
      </c>
      <c r="B138" s="718"/>
      <c r="C138" s="719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20" t="s">
        <v>31</v>
      </c>
      <c r="B139" s="721"/>
      <c r="C139" s="721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698" t="s">
        <v>32</v>
      </c>
      <c r="B140" s="699"/>
      <c r="C140" s="699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698" t="s">
        <v>33</v>
      </c>
      <c r="B141" s="699"/>
      <c r="C141" s="699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698" t="s">
        <v>34</v>
      </c>
      <c r="B142" s="699"/>
      <c r="C142" s="699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00" t="s">
        <v>35</v>
      </c>
      <c r="B143" s="701"/>
      <c r="C143" s="701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671" t="s">
        <v>1</v>
      </c>
      <c r="B146" s="672"/>
      <c r="C146" s="672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681"/>
      <c r="S146" s="682"/>
    </row>
    <row r="147" spans="1:19">
      <c r="A147" s="715" t="s">
        <v>11</v>
      </c>
      <c r="B147" s="716"/>
      <c r="C147" s="716"/>
      <c r="D147" s="204">
        <f>VALUE(月點數BO!C2)</f>
        <v>6169</v>
      </c>
      <c r="E147" s="204">
        <f>VALUE(月點數BO!D2)</f>
        <v>3267</v>
      </c>
      <c r="F147" s="204">
        <f>VALUE(月點數BO!E2)</f>
        <v>6159</v>
      </c>
      <c r="G147" s="204">
        <f>VALUE(月點數BO!F2)</f>
        <v>5502</v>
      </c>
      <c r="H147" s="204">
        <f>VALUE(月點數BO!G2)</f>
        <v>6213</v>
      </c>
      <c r="I147" s="204">
        <f>VALUE(月點數BO!H2)</f>
        <v>6980</v>
      </c>
      <c r="J147" s="204">
        <f>VALUE(月點數BO!I2)</f>
        <v>7713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6000</v>
      </c>
      <c r="Q147" s="206"/>
      <c r="R147" s="681"/>
      <c r="S147" s="682"/>
    </row>
    <row r="148" spans="1:19">
      <c r="A148" s="707" t="s">
        <v>12</v>
      </c>
      <c r="B148" s="708"/>
      <c r="C148" s="708"/>
      <c r="D148" s="204">
        <f>VALUE(月點數BO!C4)</f>
        <v>6</v>
      </c>
      <c r="E148" s="204">
        <f>VALUE(月點數BO!D4)</f>
        <v>0</v>
      </c>
      <c r="F148" s="204">
        <f>VALUE(月點數BO!E4)</f>
        <v>5</v>
      </c>
      <c r="G148" s="204">
        <f>VALUE(月點數BO!F4)</f>
        <v>15</v>
      </c>
      <c r="H148" s="204">
        <f>VALUE(月點數BO!G4)</f>
        <v>15</v>
      </c>
      <c r="I148" s="204">
        <f>VALUE(月點數BO!H4)</f>
        <v>10</v>
      </c>
      <c r="J148" s="204">
        <f>VALUE(月點數BO!I4)</f>
        <v>8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8</v>
      </c>
      <c r="R148" s="681"/>
      <c r="S148" s="682"/>
    </row>
    <row r="149" spans="1:19">
      <c r="A149" s="707" t="s">
        <v>13</v>
      </c>
      <c r="B149" s="708"/>
      <c r="C149" s="708"/>
      <c r="D149" s="204">
        <f>VALUE(月點數BO!C5)</f>
        <v>22</v>
      </c>
      <c r="E149" s="204">
        <f>VALUE(月點數BO!D5)</f>
        <v>9</v>
      </c>
      <c r="F149" s="204">
        <f>VALUE(月點數BO!E5)</f>
        <v>34</v>
      </c>
      <c r="G149" s="204">
        <f>VALUE(月點數BO!F5)</f>
        <v>22</v>
      </c>
      <c r="H149" s="204">
        <f>VALUE(月點數BO!G5)</f>
        <v>31</v>
      </c>
      <c r="I149" s="204">
        <f>VALUE(月點數BO!H5)</f>
        <v>33</v>
      </c>
      <c r="J149" s="204">
        <f>VALUE(月點數BO!I5)</f>
        <v>46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28</v>
      </c>
      <c r="R149" s="681"/>
      <c r="S149" s="682"/>
    </row>
    <row r="150" spans="1:19">
      <c r="A150" s="707" t="s">
        <v>14</v>
      </c>
      <c r="B150" s="708"/>
      <c r="C150" s="708"/>
      <c r="D150" s="204">
        <f>VALUE(月點數BO!C6)</f>
        <v>462</v>
      </c>
      <c r="E150" s="204">
        <f>VALUE(月點數BO!D6)</f>
        <v>258</v>
      </c>
      <c r="F150" s="204">
        <f>VALUE(月點數BO!E6)</f>
        <v>309</v>
      </c>
      <c r="G150" s="204">
        <f>VALUE(月點數BO!F6)</f>
        <v>285</v>
      </c>
      <c r="H150" s="204">
        <f>VALUE(月點數BO!G6)</f>
        <v>189</v>
      </c>
      <c r="I150" s="204">
        <f>VALUE(月點數BO!H6)</f>
        <v>525</v>
      </c>
      <c r="J150" s="204">
        <f>VALUE(月點數BO!I6)</f>
        <v>275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329</v>
      </c>
      <c r="R150" s="681"/>
      <c r="S150" s="682"/>
    </row>
    <row r="151" spans="1:19">
      <c r="A151" s="707" t="s">
        <v>21</v>
      </c>
      <c r="B151" s="708"/>
      <c r="C151" s="708"/>
      <c r="D151" s="204">
        <f>VALUE(月點數BO!C20)</f>
        <v>707</v>
      </c>
      <c r="E151" s="204">
        <f>VALUE(月點數BO!D20)</f>
        <v>411</v>
      </c>
      <c r="F151" s="204">
        <f>VALUE(月點數BO!E20)</f>
        <v>806</v>
      </c>
      <c r="G151" s="204">
        <f>VALUE(月點數BO!F20)</f>
        <v>658</v>
      </c>
      <c r="H151" s="204">
        <f>VALUE(月點數BO!G20)</f>
        <v>762</v>
      </c>
      <c r="I151" s="204">
        <f>VALUE(月點數BO!H20)</f>
        <v>1032</v>
      </c>
      <c r="J151" s="204">
        <f>VALUE(月點數BO!I20)</f>
        <v>971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764</v>
      </c>
      <c r="R151" s="681"/>
      <c r="S151" s="682"/>
    </row>
    <row r="152" spans="1:19">
      <c r="A152" s="737" t="s">
        <v>16</v>
      </c>
      <c r="B152" s="738"/>
      <c r="C152" s="738"/>
      <c r="D152" s="204">
        <f>VALUE(月點數BO!C8)</f>
        <v>253</v>
      </c>
      <c r="E152" s="204">
        <f>VALUE(月點數BO!D8)</f>
        <v>110</v>
      </c>
      <c r="F152" s="204">
        <f>VALUE(月點數BO!E8)</f>
        <v>119</v>
      </c>
      <c r="G152" s="204">
        <f>VALUE(月點數BO!F8)</f>
        <v>66</v>
      </c>
      <c r="H152" s="204">
        <f>VALUE(月點數BO!G8)</f>
        <v>81</v>
      </c>
      <c r="I152" s="204">
        <f>VALUE(月點數BO!H8)</f>
        <v>132</v>
      </c>
      <c r="J152" s="204">
        <f>VALUE(月點數BO!I8)</f>
        <v>60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117</v>
      </c>
      <c r="R152" s="681"/>
      <c r="S152" s="682"/>
    </row>
    <row r="153" spans="1:19" ht="13.5">
      <c r="A153" s="665" t="s">
        <v>17</v>
      </c>
      <c r="B153" s="666"/>
      <c r="C153" s="666"/>
      <c r="D153" s="204">
        <f>VALUE(月點數BO!C9)</f>
        <v>7</v>
      </c>
      <c r="E153" s="204">
        <f>VALUE(月點數BO!D9)</f>
        <v>5</v>
      </c>
      <c r="F153" s="204">
        <f>VALUE(月點數BO!E9)</f>
        <v>19</v>
      </c>
      <c r="G153" s="204">
        <f>VALUE(月點數BO!F9)</f>
        <v>12</v>
      </c>
      <c r="H153" s="204">
        <f>VALUE(月點數BO!G9)</f>
        <v>4</v>
      </c>
      <c r="I153" s="204">
        <f>VALUE(月點數BO!H9)</f>
        <v>33</v>
      </c>
      <c r="J153" s="204">
        <f>VALUE(月點數BO!I9)</f>
        <v>2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12</v>
      </c>
      <c r="R153" s="681"/>
      <c r="S153" s="682"/>
    </row>
    <row r="154" spans="1:19" ht="13.5">
      <c r="A154" s="734" t="s">
        <v>49</v>
      </c>
      <c r="B154" s="735"/>
      <c r="C154" s="736"/>
      <c r="D154" s="261">
        <f>SUM(D147:D153)</f>
        <v>7626</v>
      </c>
      <c r="E154" s="261">
        <f>SUM(E147:E153)</f>
        <v>4060</v>
      </c>
      <c r="F154" s="261">
        <f>SUM(F147:F153)</f>
        <v>7451</v>
      </c>
      <c r="G154" s="261">
        <f t="shared" ref="G154:P154" si="12">SUM(G147:G153)</f>
        <v>6560</v>
      </c>
      <c r="H154" s="261">
        <f t="shared" si="12"/>
        <v>7295</v>
      </c>
      <c r="I154" s="261">
        <f t="shared" si="12"/>
        <v>8745</v>
      </c>
      <c r="J154" s="261">
        <f t="shared" si="12"/>
        <v>9075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7258</v>
      </c>
      <c r="R154" s="240"/>
      <c r="S154" s="241"/>
    </row>
    <row r="155" spans="1:19">
      <c r="A155" s="683" t="s">
        <v>23</v>
      </c>
      <c r="B155" s="684"/>
      <c r="C155" s="684"/>
      <c r="D155" s="204">
        <f>VALUE(月點數BO!C3)</f>
        <v>1595</v>
      </c>
      <c r="E155" s="204">
        <f>VALUE(月點數BO!D3)</f>
        <v>819</v>
      </c>
      <c r="F155" s="204">
        <f>VALUE(月點數BO!E3)</f>
        <v>1284</v>
      </c>
      <c r="G155" s="204">
        <f>VALUE(月點數BO!F3)</f>
        <v>823</v>
      </c>
      <c r="H155" s="204">
        <f>VALUE(月點數BO!G3)</f>
        <v>839</v>
      </c>
      <c r="I155" s="204">
        <f>VALUE(月點數BO!H3)</f>
        <v>1117</v>
      </c>
      <c r="J155" s="204">
        <f>VALUE(月點數BO!I3)</f>
        <v>1164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1092</v>
      </c>
      <c r="R155" s="240"/>
      <c r="S155" s="241"/>
    </row>
    <row r="156" spans="1:19">
      <c r="A156" s="712" t="s">
        <v>24</v>
      </c>
      <c r="B156" s="713"/>
      <c r="C156" s="714"/>
      <c r="D156" s="207">
        <f>VALUE(月點數BO!C10)</f>
        <v>2</v>
      </c>
      <c r="E156" s="207">
        <f>VALUE(月點數BO!D10)</f>
        <v>0</v>
      </c>
      <c r="F156" s="207">
        <f>VALUE(月點數BO!E10)</f>
        <v>0</v>
      </c>
      <c r="G156" s="207">
        <f>VALUE(月點數BO!F10)</f>
        <v>1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0</v>
      </c>
      <c r="R156" s="240"/>
      <c r="S156" s="241"/>
    </row>
    <row r="157" spans="1:19">
      <c r="A157" s="712" t="s">
        <v>25</v>
      </c>
      <c r="B157" s="713"/>
      <c r="C157" s="714"/>
      <c r="D157" s="207">
        <f>VALUE(月點數BO!C11)</f>
        <v>37</v>
      </c>
      <c r="E157" s="207">
        <f>VALUE(月點數BO!D11)</f>
        <v>13</v>
      </c>
      <c r="F157" s="207">
        <f>VALUE(月點數BO!E11)</f>
        <v>12</v>
      </c>
      <c r="G157" s="207">
        <f>VALUE(月點數BO!F11)</f>
        <v>26</v>
      </c>
      <c r="H157" s="207">
        <f>VALUE(月點數BO!G11)</f>
        <v>50</v>
      </c>
      <c r="I157" s="207">
        <f>VALUE(月點數BO!H11)</f>
        <v>119</v>
      </c>
      <c r="J157" s="207">
        <f>VALUE(月點數BO!I11)</f>
        <v>116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53</v>
      </c>
      <c r="R157" s="240"/>
      <c r="S157" s="241"/>
    </row>
    <row r="158" spans="1:19">
      <c r="A158" s="712" t="s">
        <v>26</v>
      </c>
      <c r="B158" s="713"/>
      <c r="C158" s="714"/>
      <c r="D158" s="207">
        <f>VALUE(月點數BO!C12)</f>
        <v>290</v>
      </c>
      <c r="E158" s="207">
        <f>VALUE(月點數BO!D12)</f>
        <v>226</v>
      </c>
      <c r="F158" s="207">
        <f>VALUE(月點數BO!E12)</f>
        <v>394</v>
      </c>
      <c r="G158" s="207">
        <f>VALUE(月點數BO!F12)</f>
        <v>196</v>
      </c>
      <c r="H158" s="207">
        <f>VALUE(月點數BO!G12)</f>
        <v>260</v>
      </c>
      <c r="I158" s="207">
        <f>VALUE(月點數BO!H12)</f>
        <v>273</v>
      </c>
      <c r="J158" s="207">
        <f>VALUE(月點數BO!I12)</f>
        <v>278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274</v>
      </c>
      <c r="R158" s="240"/>
      <c r="S158" s="241"/>
    </row>
    <row r="159" spans="1:19">
      <c r="A159" s="712" t="s">
        <v>27</v>
      </c>
      <c r="B159" s="713"/>
      <c r="C159" s="714"/>
      <c r="D159" s="207">
        <f>VALUE(月點數BO!C13)</f>
        <v>74</v>
      </c>
      <c r="E159" s="207">
        <f>VALUE(月點數BO!D13)</f>
        <v>88</v>
      </c>
      <c r="F159" s="207">
        <f>VALUE(月點數BO!E13)</f>
        <v>96</v>
      </c>
      <c r="G159" s="207">
        <f>VALUE(月點數BO!F13)</f>
        <v>85</v>
      </c>
      <c r="H159" s="207">
        <f>VALUE(月點數BO!G13)</f>
        <v>98</v>
      </c>
      <c r="I159" s="207">
        <f>VALUE(月點數BO!H13)</f>
        <v>56</v>
      </c>
      <c r="J159" s="207">
        <f>VALUE(月點數BO!I13)</f>
        <v>112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87</v>
      </c>
      <c r="R159" s="240"/>
      <c r="S159" s="241"/>
    </row>
    <row r="160" spans="1:19">
      <c r="A160" s="712" t="s">
        <v>28</v>
      </c>
      <c r="B160" s="713"/>
      <c r="C160" s="714"/>
      <c r="D160" s="207">
        <f>VALUE(月點數BO!C14)</f>
        <v>0</v>
      </c>
      <c r="E160" s="207">
        <f>VALUE(月點數BO!D14)</f>
        <v>0</v>
      </c>
      <c r="F160" s="207">
        <f>VALUE(月點數BO!E14)</f>
        <v>1</v>
      </c>
      <c r="G160" s="207">
        <f>VALUE(月點數BO!F14)</f>
        <v>0</v>
      </c>
      <c r="H160" s="207">
        <f>VALUE(月點數BO!G14)</f>
        <v>1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4.1" thickBot="1">
      <c r="A161" s="728" t="s">
        <v>50</v>
      </c>
      <c r="B161" s="729"/>
      <c r="C161" s="730"/>
      <c r="D161" s="211">
        <f>SUM(D155:D160)</f>
        <v>1998</v>
      </c>
      <c r="E161" s="211">
        <f t="shared" ref="E161:P161" si="13">SUM(E155:E160)</f>
        <v>1146</v>
      </c>
      <c r="F161" s="211">
        <f t="shared" si="13"/>
        <v>1787</v>
      </c>
      <c r="G161" s="211">
        <f t="shared" si="13"/>
        <v>1131</v>
      </c>
      <c r="H161" s="211">
        <f t="shared" si="13"/>
        <v>1248</v>
      </c>
      <c r="I161" s="211">
        <f t="shared" si="13"/>
        <v>1565</v>
      </c>
      <c r="J161" s="211">
        <f t="shared" si="13"/>
        <v>1670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1506</v>
      </c>
      <c r="R161" s="681"/>
      <c r="S161" s="682"/>
    </row>
    <row r="162" spans="1:19" ht="16.5" customHeight="1" thickBot="1">
      <c r="A162" s="731" t="s">
        <v>31</v>
      </c>
      <c r="B162" s="732"/>
      <c r="C162" s="733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725" t="s">
        <v>32</v>
      </c>
      <c r="B163" s="726"/>
      <c r="C163" s="727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725" t="s">
        <v>33</v>
      </c>
      <c r="B164" s="726"/>
      <c r="C164" s="727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725" t="s">
        <v>34</v>
      </c>
      <c r="B165" s="726"/>
      <c r="C165" s="727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722" t="s">
        <v>30</v>
      </c>
      <c r="B167" s="723"/>
      <c r="C167" s="724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671" t="s">
        <v>1</v>
      </c>
      <c r="B2" s="672"/>
      <c r="C2" s="672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673" t="s">
        <v>9</v>
      </c>
      <c r="B3" s="674"/>
      <c r="C3" s="675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669" t="s">
        <v>10</v>
      </c>
      <c r="C4" s="670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676" t="s">
        <v>17</v>
      </c>
      <c r="C12" s="677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659" t="s">
        <v>36</v>
      </c>
      <c r="B19" s="660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661"/>
      <c r="B20" s="662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663"/>
      <c r="B21" s="664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671" t="s">
        <v>1</v>
      </c>
      <c r="B24" s="672"/>
      <c r="C24" s="672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673" t="s">
        <v>9</v>
      </c>
      <c r="B25" s="674"/>
      <c r="C25" s="675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669" t="s">
        <v>10</v>
      </c>
      <c r="C26" s="670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676" t="s">
        <v>17</v>
      </c>
      <c r="C34" s="677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659" t="s">
        <v>36</v>
      </c>
      <c r="B41" s="660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661"/>
      <c r="B42" s="662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663"/>
      <c r="B43" s="664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671" t="s">
        <v>1</v>
      </c>
      <c r="B46" s="672"/>
      <c r="C46" s="672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673" t="s">
        <v>9</v>
      </c>
      <c r="B47" s="674"/>
      <c r="C47" s="675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669" t="s">
        <v>10</v>
      </c>
      <c r="C48" s="670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39" t="s">
        <v>17</v>
      </c>
      <c r="C56" s="678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659" t="s">
        <v>36</v>
      </c>
      <c r="B63" s="660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661"/>
      <c r="B64" s="662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663"/>
      <c r="B65" s="664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671" t="s">
        <v>1</v>
      </c>
      <c r="B68" s="672"/>
      <c r="C68" s="672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679" t="s">
        <v>11</v>
      </c>
      <c r="B69" s="680"/>
      <c r="C69" s="680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681"/>
      <c r="S69" s="682"/>
    </row>
    <row r="70" spans="1:19" ht="13.5">
      <c r="A70" s="667" t="s">
        <v>276</v>
      </c>
      <c r="B70" s="668"/>
      <c r="C70" s="668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681"/>
      <c r="S70" s="682"/>
    </row>
    <row r="71" spans="1:19" ht="13.5">
      <c r="A71" s="667" t="s">
        <v>12</v>
      </c>
      <c r="B71" s="668"/>
      <c r="C71" s="668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681"/>
      <c r="S71" s="682"/>
    </row>
    <row r="72" spans="1:19" ht="13.5">
      <c r="A72" s="667" t="s">
        <v>13</v>
      </c>
      <c r="B72" s="668"/>
      <c r="C72" s="668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681"/>
      <c r="S72" s="682"/>
    </row>
    <row r="73" spans="1:19" ht="13.5">
      <c r="A73" s="667" t="s">
        <v>14</v>
      </c>
      <c r="B73" s="668"/>
      <c r="C73" s="668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681"/>
      <c r="S73" s="682"/>
    </row>
    <row r="74" spans="1:19" ht="13.5">
      <c r="A74" s="667" t="s">
        <v>15</v>
      </c>
      <c r="B74" s="668"/>
      <c r="C74" s="668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681"/>
      <c r="S74" s="682"/>
    </row>
    <row r="75" spans="1:19" ht="13.5">
      <c r="A75" s="667" t="s">
        <v>16</v>
      </c>
      <c r="B75" s="668"/>
      <c r="C75" s="668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681"/>
      <c r="S75" s="682"/>
    </row>
    <row r="76" spans="1:19" ht="13.5">
      <c r="A76" s="665" t="s">
        <v>17</v>
      </c>
      <c r="B76" s="666"/>
      <c r="C76" s="666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681"/>
      <c r="S76" s="682"/>
    </row>
    <row r="77" spans="1:19" ht="14.1" thickBot="1">
      <c r="A77" s="693" t="s">
        <v>284</v>
      </c>
      <c r="B77" s="694"/>
      <c r="C77" s="694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681"/>
      <c r="S77" s="682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671" t="s">
        <v>1</v>
      </c>
      <c r="B81" s="672"/>
      <c r="C81" s="672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681"/>
      <c r="S81" s="682"/>
    </row>
    <row r="82" spans="1:21" s="198" customFormat="1">
      <c r="A82" s="685" t="s">
        <v>52</v>
      </c>
      <c r="B82" s="686"/>
      <c r="C82" s="686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681"/>
      <c r="S82" s="682"/>
      <c r="T82" s="114"/>
      <c r="U82" s="114"/>
    </row>
    <row r="83" spans="1:21" s="198" customFormat="1">
      <c r="A83" s="683" t="s">
        <v>53</v>
      </c>
      <c r="B83" s="684"/>
      <c r="C83" s="684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681"/>
      <c r="S83" s="682"/>
      <c r="T83" s="114"/>
      <c r="U83" s="114"/>
    </row>
    <row r="84" spans="1:21" s="198" customFormat="1">
      <c r="A84" s="683" t="s">
        <v>54</v>
      </c>
      <c r="B84" s="684"/>
      <c r="C84" s="684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681"/>
      <c r="S84" s="682"/>
      <c r="T84" s="114"/>
      <c r="U84" s="114"/>
    </row>
    <row r="85" spans="1:21" s="198" customFormat="1">
      <c r="A85" s="709" t="s">
        <v>55</v>
      </c>
      <c r="B85" s="710"/>
      <c r="C85" s="711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681"/>
      <c r="S85" s="682"/>
      <c r="T85" s="114"/>
      <c r="U85" s="114"/>
    </row>
    <row r="86" spans="1:21" s="198" customFormat="1">
      <c r="A86" s="683" t="s">
        <v>276</v>
      </c>
      <c r="B86" s="684"/>
      <c r="C86" s="684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681"/>
      <c r="S86" s="682"/>
      <c r="T86" s="114"/>
      <c r="U86" s="114"/>
    </row>
    <row r="87" spans="1:21" s="198" customFormat="1">
      <c r="A87" s="683" t="s">
        <v>12</v>
      </c>
      <c r="B87" s="684"/>
      <c r="C87" s="684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681"/>
      <c r="S87" s="682"/>
      <c r="T87" s="114"/>
      <c r="U87" s="114"/>
    </row>
    <row r="88" spans="1:21" s="198" customFormat="1">
      <c r="A88" s="683" t="s">
        <v>13</v>
      </c>
      <c r="B88" s="684"/>
      <c r="C88" s="684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681"/>
      <c r="S88" s="682"/>
      <c r="T88" s="114"/>
      <c r="U88" s="114"/>
    </row>
    <row r="89" spans="1:21" s="198" customFormat="1">
      <c r="A89" s="683" t="s">
        <v>14</v>
      </c>
      <c r="B89" s="684"/>
      <c r="C89" s="684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681"/>
      <c r="S89" s="682"/>
      <c r="T89" s="114"/>
      <c r="U89" s="114"/>
    </row>
    <row r="90" spans="1:21" s="198" customFormat="1">
      <c r="A90" s="683" t="s">
        <v>15</v>
      </c>
      <c r="B90" s="684"/>
      <c r="C90" s="684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681"/>
      <c r="S90" s="682"/>
      <c r="T90" s="114"/>
      <c r="U90" s="114"/>
    </row>
    <row r="91" spans="1:21" s="197" customFormat="1" ht="12.95" thickBot="1">
      <c r="A91" s="702" t="s">
        <v>16</v>
      </c>
      <c r="B91" s="703"/>
      <c r="C91" s="703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681"/>
      <c r="S91" s="682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671" t="s">
        <v>1</v>
      </c>
      <c r="B94" s="672"/>
      <c r="C94" s="672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681"/>
      <c r="S94" s="682"/>
    </row>
    <row r="95" spans="1:21">
      <c r="A95" s="715" t="s">
        <v>11</v>
      </c>
      <c r="B95" s="716"/>
      <c r="C95" s="716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681"/>
      <c r="S95" s="682"/>
    </row>
    <row r="96" spans="1:21">
      <c r="A96" s="707" t="s">
        <v>276</v>
      </c>
      <c r="B96" s="708"/>
      <c r="C96" s="708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681"/>
      <c r="S96" s="682"/>
    </row>
    <row r="97" spans="1:19">
      <c r="A97" s="707" t="s">
        <v>12</v>
      </c>
      <c r="B97" s="708"/>
      <c r="C97" s="708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681"/>
      <c r="S97" s="682"/>
    </row>
    <row r="98" spans="1:19">
      <c r="A98" s="707" t="s">
        <v>13</v>
      </c>
      <c r="B98" s="708"/>
      <c r="C98" s="708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681"/>
      <c r="S98" s="682"/>
    </row>
    <row r="99" spans="1:19">
      <c r="A99" s="707" t="s">
        <v>14</v>
      </c>
      <c r="B99" s="708"/>
      <c r="C99" s="708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681"/>
      <c r="S99" s="682"/>
    </row>
    <row r="100" spans="1:19">
      <c r="A100" s="707" t="s">
        <v>15</v>
      </c>
      <c r="B100" s="708"/>
      <c r="C100" s="708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681"/>
      <c r="S100" s="682"/>
    </row>
    <row r="101" spans="1:19">
      <c r="A101" s="737" t="s">
        <v>16</v>
      </c>
      <c r="B101" s="738"/>
      <c r="C101" s="738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681"/>
      <c r="S101" s="682"/>
    </row>
    <row r="102" spans="1:19" ht="13.5">
      <c r="A102" s="665" t="s">
        <v>17</v>
      </c>
      <c r="B102" s="666"/>
      <c r="C102" s="666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681"/>
      <c r="S102" s="682"/>
    </row>
    <row r="103" spans="1:19" ht="14.1" thickBot="1">
      <c r="A103" s="740" t="s">
        <v>284</v>
      </c>
      <c r="B103" s="741"/>
      <c r="C103" s="742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681"/>
      <c r="S103" s="682"/>
    </row>
    <row r="104" spans="1:19" ht="12.95">
      <c r="A104" s="151" t="s">
        <v>282</v>
      </c>
    </row>
  </sheetData>
  <mergeCells count="76">
    <mergeCell ref="R97:S97"/>
    <mergeCell ref="R102:S102"/>
    <mergeCell ref="R103:S103"/>
    <mergeCell ref="R98:S98"/>
    <mergeCell ref="R99:S99"/>
    <mergeCell ref="R100:S100"/>
    <mergeCell ref="R101:S101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69:S69"/>
    <mergeCell ref="R70:S70"/>
    <mergeCell ref="R71:S71"/>
    <mergeCell ref="R72:S72"/>
    <mergeCell ref="R73:S73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A96:C96"/>
    <mergeCell ref="A97:C97"/>
    <mergeCell ref="A87:C87"/>
    <mergeCell ref="A94:C94"/>
    <mergeCell ref="A95:C95"/>
    <mergeCell ref="A90:C90"/>
    <mergeCell ref="A88:C88"/>
    <mergeCell ref="A89:C89"/>
    <mergeCell ref="A103:C103"/>
    <mergeCell ref="A98:C98"/>
    <mergeCell ref="A99:C99"/>
    <mergeCell ref="A100:C100"/>
    <mergeCell ref="A101:C101"/>
    <mergeCell ref="A102:C102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2:C2"/>
    <mergeCell ref="A3:C3"/>
    <mergeCell ref="B4:C4"/>
    <mergeCell ref="B12:C12"/>
    <mergeCell ref="A19:B2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R148" sqref="R148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671" t="s">
        <v>1</v>
      </c>
      <c r="B2" s="672"/>
      <c r="C2" s="672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673" t="s">
        <v>9</v>
      </c>
      <c r="B3" s="674"/>
      <c r="C3" s="675"/>
      <c r="D3" s="119">
        <f>D4+D11+D16</f>
        <v>595630603.78000009</v>
      </c>
      <c r="E3" s="119">
        <f>E4+E11+E16</f>
        <v>609510028.30999994</v>
      </c>
      <c r="F3" s="119">
        <f>F4+F11+F16</f>
        <v>635157492.92000008</v>
      </c>
      <c r="G3" s="119">
        <f t="shared" ref="G3:O3" si="0">G4+G11+G16</f>
        <v>644341660.81000018</v>
      </c>
      <c r="H3" s="119">
        <f t="shared" si="0"/>
        <v>636083424</v>
      </c>
      <c r="I3" s="119">
        <f t="shared" si="0"/>
        <v>580421102.38000011</v>
      </c>
      <c r="J3" s="119">
        <f t="shared" si="0"/>
        <v>565962403.63999999</v>
      </c>
      <c r="K3" s="119">
        <f t="shared" si="0"/>
        <v>577535854.49000001</v>
      </c>
      <c r="L3" s="119">
        <f t="shared" si="0"/>
        <v>533274659.88</v>
      </c>
      <c r="M3" s="119">
        <f t="shared" si="0"/>
        <v>539552216.73000002</v>
      </c>
      <c r="N3" s="119">
        <f t="shared" si="0"/>
        <v>533833619.21000004</v>
      </c>
      <c r="O3" s="119">
        <f t="shared" si="0"/>
        <v>540981687.76999998</v>
      </c>
      <c r="P3" s="347">
        <f>P4+P11+P16+P24</f>
        <v>598522491.16000009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669" t="s">
        <v>10</v>
      </c>
      <c r="C4" s="670"/>
      <c r="D4" s="124">
        <v>342216230.34000003</v>
      </c>
      <c r="E4" s="124">
        <v>344901648.27999997</v>
      </c>
      <c r="F4" s="124">
        <v>348523432.14000005</v>
      </c>
      <c r="G4" s="124">
        <v>348439620.67000008</v>
      </c>
      <c r="H4" s="124">
        <v>341295163.45000005</v>
      </c>
      <c r="I4" s="124">
        <v>310007302.97000003</v>
      </c>
      <c r="J4" s="124">
        <v>306395180.02999997</v>
      </c>
      <c r="K4" s="124">
        <v>333056308.75</v>
      </c>
      <c r="L4" s="124">
        <v>309477210.68000007</v>
      </c>
      <c r="M4" s="124">
        <v>310101138.45000005</v>
      </c>
      <c r="N4" s="124">
        <v>318054458.69999999</v>
      </c>
      <c r="O4" s="349">
        <v>335148890.21999997</v>
      </c>
      <c r="P4" s="349">
        <f>SUM(P5:P10)</f>
        <v>328968048.72333336</v>
      </c>
    </row>
    <row r="5" spans="1:240" ht="13.5">
      <c r="A5" s="126"/>
      <c r="B5" s="127"/>
      <c r="C5" s="128" t="s">
        <v>11</v>
      </c>
      <c r="D5" s="129">
        <v>292895572.44999999</v>
      </c>
      <c r="E5" s="129">
        <v>294277850.13999999</v>
      </c>
      <c r="F5" s="129">
        <v>303547104.61000001</v>
      </c>
      <c r="G5" s="129">
        <v>305015691.73000002</v>
      </c>
      <c r="H5" s="129">
        <v>298211250.68000001</v>
      </c>
      <c r="I5" s="129">
        <v>268957826.37</v>
      </c>
      <c r="J5" s="129">
        <v>266232218.22999999</v>
      </c>
      <c r="K5" s="129">
        <v>289555312.23000002</v>
      </c>
      <c r="L5" s="129">
        <v>267505302.97</v>
      </c>
      <c r="M5" s="129">
        <v>268887717</v>
      </c>
      <c r="N5" s="129">
        <v>277211255.60000002</v>
      </c>
      <c r="O5" s="350">
        <v>293736687.02999997</v>
      </c>
      <c r="P5" s="350">
        <f>AVERAGE(D5:O5)</f>
        <v>285502815.75333333</v>
      </c>
    </row>
    <row r="6" spans="1:240" ht="13.5">
      <c r="A6" s="126"/>
      <c r="B6" s="127"/>
      <c r="C6" s="128" t="s">
        <v>12</v>
      </c>
      <c r="D6" s="129">
        <v>6894022.4800000004</v>
      </c>
      <c r="E6" s="129">
        <v>7273219.5</v>
      </c>
      <c r="F6" s="129">
        <v>6022622.2300000004</v>
      </c>
      <c r="G6" s="129">
        <v>6246401.6699999999</v>
      </c>
      <c r="H6" s="129">
        <v>5731137.9699999997</v>
      </c>
      <c r="I6" s="129">
        <v>5495270.5999999996</v>
      </c>
      <c r="J6" s="129">
        <v>5255297.7699999996</v>
      </c>
      <c r="K6" s="129">
        <v>5320740.8099999996</v>
      </c>
      <c r="L6" s="129">
        <v>5231241.9000000004</v>
      </c>
      <c r="M6" s="129">
        <v>4912234.4800000004</v>
      </c>
      <c r="N6" s="129">
        <v>5402079.3300000001</v>
      </c>
      <c r="O6" s="350">
        <v>5257727.9400000004</v>
      </c>
      <c r="P6" s="350">
        <f t="shared" ref="P6:P33" si="1">AVERAGE(D6:O6)</f>
        <v>5753499.7233333327</v>
      </c>
    </row>
    <row r="7" spans="1:240" ht="13.5">
      <c r="A7" s="126"/>
      <c r="B7" s="127"/>
      <c r="C7" s="128" t="s">
        <v>13</v>
      </c>
      <c r="D7" s="129">
        <v>11103888.48</v>
      </c>
      <c r="E7" s="129">
        <v>10717600.109999999</v>
      </c>
      <c r="F7" s="129">
        <v>7939466.9400000004</v>
      </c>
      <c r="G7" s="129">
        <v>7405026.5999999996</v>
      </c>
      <c r="H7" s="129">
        <v>5885981.3200000003</v>
      </c>
      <c r="I7" s="129">
        <v>4603240.33</v>
      </c>
      <c r="J7" s="129">
        <v>5240019.45</v>
      </c>
      <c r="K7" s="129">
        <v>5825544.7699999996</v>
      </c>
      <c r="L7" s="129">
        <v>5405729.6699999999</v>
      </c>
      <c r="M7" s="129">
        <v>4950698.68</v>
      </c>
      <c r="N7" s="129">
        <v>4152277.33</v>
      </c>
      <c r="O7" s="350">
        <v>4508554.29</v>
      </c>
      <c r="P7" s="350">
        <f t="shared" si="1"/>
        <v>6478168.9974999996</v>
      </c>
    </row>
    <row r="8" spans="1:240" ht="13.5">
      <c r="A8" s="126"/>
      <c r="B8" s="127"/>
      <c r="C8" s="128" t="s">
        <v>14</v>
      </c>
      <c r="D8" s="129">
        <v>21593172.870000001</v>
      </c>
      <c r="E8" s="129">
        <v>19382073.82</v>
      </c>
      <c r="F8" s="129">
        <v>19671570.68</v>
      </c>
      <c r="G8" s="129">
        <v>18629028.170000002</v>
      </c>
      <c r="H8" s="129">
        <v>19873425.609999999</v>
      </c>
      <c r="I8" s="129">
        <v>19417875.870000001</v>
      </c>
      <c r="J8" s="129">
        <v>19416991.52</v>
      </c>
      <c r="K8" s="129">
        <v>20028052.940000001</v>
      </c>
      <c r="L8" s="129">
        <v>20146220.670000002</v>
      </c>
      <c r="M8" s="129">
        <v>19770781.16</v>
      </c>
      <c r="N8" s="129">
        <v>19303317.170000002</v>
      </c>
      <c r="O8" s="350">
        <v>20553847.899999999</v>
      </c>
      <c r="P8" s="350">
        <f t="shared" si="1"/>
        <v>19815529.864999998</v>
      </c>
    </row>
    <row r="9" spans="1:240" ht="13.5">
      <c r="A9" s="126"/>
      <c r="B9" s="127"/>
      <c r="C9" s="128" t="s">
        <v>15</v>
      </c>
      <c r="D9" s="129">
        <v>0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350">
        <v>0</v>
      </c>
      <c r="P9" s="350">
        <f t="shared" si="1"/>
        <v>0</v>
      </c>
    </row>
    <row r="10" spans="1:240" ht="13.5">
      <c r="A10" s="126"/>
      <c r="B10" s="132"/>
      <c r="C10" s="128" t="s">
        <v>16</v>
      </c>
      <c r="D10" s="129">
        <v>9729574.0600000005</v>
      </c>
      <c r="E10" s="129">
        <v>13250904.710000001</v>
      </c>
      <c r="F10" s="129">
        <v>11342667.68</v>
      </c>
      <c r="G10" s="129">
        <v>11143472.5</v>
      </c>
      <c r="H10" s="129">
        <v>11593367.869999999</v>
      </c>
      <c r="I10" s="129">
        <v>11533089.800000001</v>
      </c>
      <c r="J10" s="129">
        <v>10250653.060000001</v>
      </c>
      <c r="K10" s="129">
        <v>12326658</v>
      </c>
      <c r="L10" s="129">
        <v>11188715.470000001</v>
      </c>
      <c r="M10" s="129">
        <v>11579707.130000001</v>
      </c>
      <c r="N10" s="129">
        <v>11985529.27</v>
      </c>
      <c r="O10" s="350">
        <v>11092073.060000001</v>
      </c>
      <c r="P10" s="350">
        <f t="shared" si="1"/>
        <v>11418034.384166665</v>
      </c>
    </row>
    <row r="11" spans="1:240" ht="13.5">
      <c r="A11" s="126"/>
      <c r="B11" s="676" t="s">
        <v>17</v>
      </c>
      <c r="C11" s="677"/>
      <c r="D11" s="133">
        <f>SUM(D12:D15)</f>
        <v>11096902.23</v>
      </c>
      <c r="E11" s="133">
        <f>SUM(E12:E15)</f>
        <v>11339008.5</v>
      </c>
      <c r="F11" s="133">
        <f>SUM(F12:F15)</f>
        <v>11041712.649999999</v>
      </c>
      <c r="G11" s="133">
        <f t="shared" ref="G11:O11" si="2">SUM(G12:G15)</f>
        <v>11238689.5</v>
      </c>
      <c r="H11" s="133">
        <f t="shared" si="2"/>
        <v>11788373.16</v>
      </c>
      <c r="I11" s="133">
        <f t="shared" si="2"/>
        <v>12511079.469999999</v>
      </c>
      <c r="J11" s="133">
        <f t="shared" si="2"/>
        <v>14521462.16</v>
      </c>
      <c r="K11" s="133">
        <f t="shared" si="2"/>
        <v>14528281.850000001</v>
      </c>
      <c r="L11" s="133">
        <f t="shared" si="2"/>
        <v>10271950.4</v>
      </c>
      <c r="M11" s="133">
        <f t="shared" si="2"/>
        <v>10301550.029999999</v>
      </c>
      <c r="N11" s="133">
        <f t="shared" si="2"/>
        <v>10294684.939999999</v>
      </c>
      <c r="O11" s="133">
        <f t="shared" si="2"/>
        <v>11099344.060000001</v>
      </c>
      <c r="P11" s="351">
        <f>SUM(P12:P15)</f>
        <v>11669419.912499998</v>
      </c>
    </row>
    <row r="12" spans="1:240" ht="13.5">
      <c r="A12" s="126"/>
      <c r="B12" s="127"/>
      <c r="C12" s="134" t="s">
        <v>18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350">
        <v>0</v>
      </c>
      <c r="P12" s="350">
        <f t="shared" si="1"/>
        <v>0</v>
      </c>
    </row>
    <row r="13" spans="1:240" ht="13.5">
      <c r="A13" s="126"/>
      <c r="B13" s="127"/>
      <c r="C13" s="134" t="s">
        <v>19</v>
      </c>
      <c r="D13" s="129">
        <v>1710555.94</v>
      </c>
      <c r="E13" s="129">
        <v>1534112.82</v>
      </c>
      <c r="F13" s="129">
        <v>1354194.52</v>
      </c>
      <c r="G13" s="129">
        <v>2181402.27</v>
      </c>
      <c r="H13" s="129">
        <v>2055329.9</v>
      </c>
      <c r="I13" s="129">
        <v>3218402.13</v>
      </c>
      <c r="J13" s="129">
        <v>5031748.87</v>
      </c>
      <c r="K13" s="129">
        <v>3668339.65</v>
      </c>
      <c r="L13" s="129">
        <v>2303254.9</v>
      </c>
      <c r="M13" s="129">
        <v>1939313.35</v>
      </c>
      <c r="N13" s="129">
        <v>2035882.17</v>
      </c>
      <c r="O13" s="350">
        <v>1828727.06</v>
      </c>
      <c r="P13" s="350">
        <f t="shared" si="1"/>
        <v>2405105.2983333329</v>
      </c>
    </row>
    <row r="14" spans="1:240" ht="13.5">
      <c r="A14" s="126"/>
      <c r="B14" s="127"/>
      <c r="C14" s="233" t="s">
        <v>20</v>
      </c>
      <c r="D14" s="129">
        <v>279829.61</v>
      </c>
      <c r="E14" s="129">
        <v>312786.57</v>
      </c>
      <c r="F14" s="129">
        <v>306112.52</v>
      </c>
      <c r="G14" s="129">
        <v>267643.33</v>
      </c>
      <c r="H14" s="129">
        <v>226225.1</v>
      </c>
      <c r="I14" s="129">
        <v>203974.67</v>
      </c>
      <c r="J14" s="129">
        <v>327227.68</v>
      </c>
      <c r="K14" s="129">
        <v>255456.39</v>
      </c>
      <c r="L14" s="129">
        <v>187345.67</v>
      </c>
      <c r="M14" s="129">
        <v>138686.71</v>
      </c>
      <c r="N14" s="129">
        <v>120754.67</v>
      </c>
      <c r="O14" s="350">
        <v>182497.03</v>
      </c>
      <c r="P14" s="350">
        <f t="shared" si="1"/>
        <v>234044.99583333332</v>
      </c>
    </row>
    <row r="15" spans="1:240" ht="13.5">
      <c r="A15" s="126"/>
      <c r="B15" s="127"/>
      <c r="C15" s="233" t="s">
        <v>21</v>
      </c>
      <c r="D15" s="129">
        <v>9106516.6799999997</v>
      </c>
      <c r="E15" s="129">
        <v>9492109.1099999994</v>
      </c>
      <c r="F15" s="129">
        <v>9381405.6099999994</v>
      </c>
      <c r="G15" s="129">
        <v>8789643.9000000004</v>
      </c>
      <c r="H15" s="129">
        <v>9506818.1600000001</v>
      </c>
      <c r="I15" s="129">
        <v>9088702.6699999999</v>
      </c>
      <c r="J15" s="129">
        <v>9162485.6099999994</v>
      </c>
      <c r="K15" s="129">
        <v>10604485.810000001</v>
      </c>
      <c r="L15" s="129">
        <v>7781349.8300000001</v>
      </c>
      <c r="M15" s="129">
        <v>8223549.9699999997</v>
      </c>
      <c r="N15" s="129">
        <v>8138048.0999999996</v>
      </c>
      <c r="O15" s="350">
        <v>9088119.9700000007</v>
      </c>
      <c r="P15" s="350">
        <f t="shared" si="1"/>
        <v>9030269.6183333322</v>
      </c>
    </row>
    <row r="16" spans="1:240" ht="13.5">
      <c r="A16" s="126"/>
      <c r="B16" s="669" t="s">
        <v>22</v>
      </c>
      <c r="C16" s="670"/>
      <c r="D16" s="133">
        <f t="shared" ref="D16:N16" si="3">SUM(D17:D23)</f>
        <v>242317471.21000001</v>
      </c>
      <c r="E16" s="133">
        <f t="shared" si="3"/>
        <v>253269371.53</v>
      </c>
      <c r="F16" s="133">
        <f t="shared" si="3"/>
        <v>275592348.13</v>
      </c>
      <c r="G16" s="133">
        <f t="shared" si="3"/>
        <v>284663350.64000005</v>
      </c>
      <c r="H16" s="133">
        <f t="shared" si="3"/>
        <v>282999887.38999999</v>
      </c>
      <c r="I16" s="133">
        <f t="shared" si="3"/>
        <v>257902719.94</v>
      </c>
      <c r="J16" s="133">
        <f t="shared" si="3"/>
        <v>245045761.45000002</v>
      </c>
      <c r="K16" s="133">
        <f t="shared" si="3"/>
        <v>229951263.89000002</v>
      </c>
      <c r="L16" s="133">
        <f t="shared" si="3"/>
        <v>213525498.79999998</v>
      </c>
      <c r="M16" s="133">
        <f t="shared" si="3"/>
        <v>219149528.25</v>
      </c>
      <c r="N16" s="133">
        <f t="shared" si="3"/>
        <v>205484475.57000002</v>
      </c>
      <c r="O16" s="351">
        <f>SUM(O17:O23)</f>
        <v>194733453.49000001</v>
      </c>
      <c r="P16" s="351">
        <f>SUM(P17:P23)</f>
        <v>242052927.52416667</v>
      </c>
    </row>
    <row r="17" spans="1:240" ht="13.5">
      <c r="A17" s="126"/>
      <c r="B17" s="127"/>
      <c r="C17" s="128" t="s">
        <v>23</v>
      </c>
      <c r="D17" s="129">
        <v>213813987.06</v>
      </c>
      <c r="E17" s="129">
        <v>216421676.38999999</v>
      </c>
      <c r="F17" s="129">
        <v>230735445.38999999</v>
      </c>
      <c r="G17" s="129">
        <v>242111303.37</v>
      </c>
      <c r="H17" s="129">
        <v>244365222.22999999</v>
      </c>
      <c r="I17" s="129">
        <v>222947344.06999999</v>
      </c>
      <c r="J17" s="129">
        <v>213933395.71000001</v>
      </c>
      <c r="K17" s="129">
        <v>198708701.61000001</v>
      </c>
      <c r="L17" s="129">
        <v>181902705.72999999</v>
      </c>
      <c r="M17" s="129">
        <v>188299895.71000001</v>
      </c>
      <c r="N17" s="129">
        <v>178327928.80000001</v>
      </c>
      <c r="O17" s="350">
        <v>167846884.38999999</v>
      </c>
      <c r="P17" s="350">
        <f t="shared" si="1"/>
        <v>208284540.87166667</v>
      </c>
    </row>
    <row r="18" spans="1:240" ht="13.5">
      <c r="A18" s="126"/>
      <c r="B18" s="127"/>
      <c r="C18" s="134" t="s">
        <v>24</v>
      </c>
      <c r="D18" s="129">
        <v>2731882.9</v>
      </c>
      <c r="E18" s="129">
        <v>2401477.71</v>
      </c>
      <c r="F18" s="129">
        <v>1864895.61</v>
      </c>
      <c r="G18" s="129">
        <v>1992262.87</v>
      </c>
      <c r="H18" s="129">
        <v>1542560.16</v>
      </c>
      <c r="I18" s="129">
        <v>1719172</v>
      </c>
      <c r="J18" s="129">
        <v>1379365.87</v>
      </c>
      <c r="K18" s="129">
        <v>1827319.19</v>
      </c>
      <c r="L18" s="129">
        <v>1482058</v>
      </c>
      <c r="M18" s="129">
        <v>1431537.06</v>
      </c>
      <c r="N18" s="129">
        <v>1465034.47</v>
      </c>
      <c r="O18" s="350">
        <v>1433983.61</v>
      </c>
      <c r="P18" s="350">
        <f t="shared" si="1"/>
        <v>1772629.1208333333</v>
      </c>
    </row>
    <row r="19" spans="1:240" ht="14.25" customHeight="1">
      <c r="A19" s="126"/>
      <c r="B19" s="127"/>
      <c r="C19" s="134" t="s">
        <v>25</v>
      </c>
      <c r="D19" s="129">
        <v>8170824.7699999996</v>
      </c>
      <c r="E19" s="129">
        <v>16891475.68</v>
      </c>
      <c r="F19" s="129">
        <v>24401515.809999999</v>
      </c>
      <c r="G19" s="129">
        <v>23605583.469999999</v>
      </c>
      <c r="H19" s="129">
        <v>20431667.68</v>
      </c>
      <c r="I19" s="129">
        <v>17113762.969999999</v>
      </c>
      <c r="J19" s="129">
        <v>14204196.16</v>
      </c>
      <c r="K19" s="129">
        <v>12463471.029999999</v>
      </c>
      <c r="L19" s="129">
        <v>11430527.57</v>
      </c>
      <c r="M19" s="129">
        <v>10550906.970000001</v>
      </c>
      <c r="N19" s="129">
        <v>9102615.9000000004</v>
      </c>
      <c r="O19" s="350">
        <v>8528875.8100000005</v>
      </c>
      <c r="P19" s="350">
        <f t="shared" si="1"/>
        <v>14741285.318333333</v>
      </c>
    </row>
    <row r="20" spans="1:240" ht="13.5">
      <c r="A20" s="126"/>
      <c r="B20" s="127"/>
      <c r="C20" s="134" t="s">
        <v>26</v>
      </c>
      <c r="D20" s="129">
        <v>12592603.32</v>
      </c>
      <c r="E20" s="129">
        <v>10668231.32</v>
      </c>
      <c r="F20" s="129">
        <v>11760706.42</v>
      </c>
      <c r="G20" s="129">
        <v>10427096.5</v>
      </c>
      <c r="H20" s="129">
        <v>9849791.7100000009</v>
      </c>
      <c r="I20" s="129">
        <v>9702018.4700000007</v>
      </c>
      <c r="J20" s="129">
        <v>9450488.7100000009</v>
      </c>
      <c r="K20" s="129">
        <v>9822519.1600000001</v>
      </c>
      <c r="L20" s="129">
        <v>10413327.43</v>
      </c>
      <c r="M20" s="129">
        <v>11438337.32</v>
      </c>
      <c r="N20" s="129">
        <v>9787525.9000000004</v>
      </c>
      <c r="O20" s="350">
        <v>10805125.52</v>
      </c>
      <c r="P20" s="350">
        <f t="shared" si="1"/>
        <v>10559814.314999999</v>
      </c>
    </row>
    <row r="21" spans="1:240" ht="13.5">
      <c r="A21" s="126"/>
      <c r="B21" s="127"/>
      <c r="C21" s="134" t="s">
        <v>27</v>
      </c>
      <c r="D21" s="129">
        <v>4738534.16</v>
      </c>
      <c r="E21" s="129">
        <v>6616871.4299999997</v>
      </c>
      <c r="F21" s="129">
        <v>6569016.8700000001</v>
      </c>
      <c r="G21" s="129">
        <v>6269507.0999999996</v>
      </c>
      <c r="H21" s="129">
        <v>6556006.6100000003</v>
      </c>
      <c r="I21" s="129">
        <v>6163283.4299999997</v>
      </c>
      <c r="J21" s="129">
        <v>5806256.6500000004</v>
      </c>
      <c r="K21" s="129">
        <v>6867741</v>
      </c>
      <c r="L21" s="129">
        <v>8028210.0700000003</v>
      </c>
      <c r="M21" s="129">
        <v>7159212.1900000004</v>
      </c>
      <c r="N21" s="129">
        <v>6531731.5</v>
      </c>
      <c r="O21" s="350">
        <v>5848945.1600000001</v>
      </c>
      <c r="P21" s="350">
        <f t="shared" si="1"/>
        <v>6429609.6808333322</v>
      </c>
    </row>
    <row r="22" spans="1:240" ht="13.5">
      <c r="A22" s="126"/>
      <c r="B22" s="127"/>
      <c r="C22" s="134" t="s">
        <v>28</v>
      </c>
      <c r="D22" s="129">
        <v>106839</v>
      </c>
      <c r="E22" s="129">
        <v>106839</v>
      </c>
      <c r="F22" s="129">
        <v>97968.03</v>
      </c>
      <c r="G22" s="129">
        <v>94797.33</v>
      </c>
      <c r="H22" s="129">
        <v>91839</v>
      </c>
      <c r="I22" s="129">
        <v>94339</v>
      </c>
      <c r="J22" s="129">
        <v>109258.35</v>
      </c>
      <c r="K22" s="129">
        <v>98711.9</v>
      </c>
      <c r="L22" s="129">
        <v>105870</v>
      </c>
      <c r="M22" s="129">
        <v>106839</v>
      </c>
      <c r="N22" s="129">
        <v>106839</v>
      </c>
      <c r="O22" s="350">
        <v>106839</v>
      </c>
      <c r="P22" s="350">
        <f t="shared" si="1"/>
        <v>102248.21750000001</v>
      </c>
    </row>
    <row r="23" spans="1:240" ht="14.1" thickBot="1">
      <c r="A23" s="126"/>
      <c r="B23" s="127"/>
      <c r="C23" s="138" t="s">
        <v>29</v>
      </c>
      <c r="D23" s="129">
        <v>162800</v>
      </c>
      <c r="E23" s="129">
        <v>162800</v>
      </c>
      <c r="F23" s="129">
        <v>162800</v>
      </c>
      <c r="G23" s="129">
        <v>162800</v>
      </c>
      <c r="H23" s="129">
        <v>162800</v>
      </c>
      <c r="I23" s="129">
        <v>162800</v>
      </c>
      <c r="J23" s="129">
        <v>162800</v>
      </c>
      <c r="K23" s="129">
        <v>162800</v>
      </c>
      <c r="L23" s="129">
        <v>162800</v>
      </c>
      <c r="M23" s="129">
        <v>162800</v>
      </c>
      <c r="N23" s="129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133">
        <v>13551160.77</v>
      </c>
      <c r="E24" s="133">
        <v>14999902.57</v>
      </c>
      <c r="F24" s="133">
        <v>15310385.539999999</v>
      </c>
      <c r="G24" s="133">
        <v>16115786.370000001</v>
      </c>
      <c r="H24" s="133">
        <v>17108652.52</v>
      </c>
      <c r="I24" s="133">
        <v>18640422.030000001</v>
      </c>
      <c r="J24" s="133">
        <v>17205990.93</v>
      </c>
      <c r="K24" s="133">
        <v>18185493.560000002</v>
      </c>
      <c r="L24" s="133">
        <v>14513878.43</v>
      </c>
      <c r="M24" s="133">
        <v>14469825.390000001</v>
      </c>
      <c r="N24" s="133">
        <v>14051546.1</v>
      </c>
      <c r="O24" s="133">
        <f t="shared" ref="O24" si="4">SUM(O25:O29)</f>
        <v>1062869.230645</v>
      </c>
      <c r="P24" s="351">
        <v>15832095</v>
      </c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</row>
    <row r="25" spans="1:240" s="122" customFormat="1" ht="13.5">
      <c r="A25" s="126"/>
      <c r="B25" s="254"/>
      <c r="C25" s="233" t="s">
        <v>267</v>
      </c>
      <c r="D25" s="129">
        <v>161176</v>
      </c>
      <c r="E25" s="129">
        <v>161176</v>
      </c>
      <c r="F25" s="129">
        <v>161176</v>
      </c>
      <c r="G25" s="129">
        <v>161176</v>
      </c>
      <c r="H25" s="129">
        <v>161176</v>
      </c>
      <c r="I25" s="129">
        <v>161176</v>
      </c>
      <c r="J25" s="129">
        <v>161176</v>
      </c>
      <c r="K25" s="129">
        <v>161176</v>
      </c>
      <c r="L25" s="129">
        <v>14160</v>
      </c>
      <c r="M25" s="129">
        <v>14160</v>
      </c>
      <c r="N25" s="129">
        <v>14160</v>
      </c>
      <c r="O25" s="350">
        <v>14160</v>
      </c>
      <c r="P25" s="350">
        <f t="shared" si="1"/>
        <v>112170.66666666667</v>
      </c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</row>
    <row r="26" spans="1:240" ht="13.5">
      <c r="A26" s="126"/>
      <c r="B26" s="254"/>
      <c r="C26" s="134" t="s">
        <v>268</v>
      </c>
      <c r="D26" s="129">
        <v>138994</v>
      </c>
      <c r="E26" s="129">
        <v>159046</v>
      </c>
      <c r="F26" s="129">
        <v>188859.80645100001</v>
      </c>
      <c r="G26" s="129">
        <v>173142</v>
      </c>
      <c r="H26" s="129">
        <v>136660.58064500001</v>
      </c>
      <c r="I26" s="129">
        <v>143607.066666</v>
      </c>
      <c r="J26" s="129">
        <v>135074.612903</v>
      </c>
      <c r="K26" s="129">
        <v>85219.451612000004</v>
      </c>
      <c r="L26" s="129">
        <v>107282.4</v>
      </c>
      <c r="M26" s="129">
        <v>84070.838709000003</v>
      </c>
      <c r="N26" s="129">
        <v>54703.6</v>
      </c>
      <c r="O26" s="350">
        <v>122998.65</v>
      </c>
      <c r="P26" s="350">
        <f t="shared" si="1"/>
        <v>127471.58391550001</v>
      </c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</row>
    <row r="27" spans="1:240" ht="13.5">
      <c r="A27" s="126"/>
      <c r="B27" s="254"/>
      <c r="C27" s="134" t="s">
        <v>269</v>
      </c>
      <c r="D27" s="129">
        <v>0</v>
      </c>
      <c r="E27" s="129">
        <v>0</v>
      </c>
      <c r="F27" s="129">
        <v>0</v>
      </c>
      <c r="G27" s="129">
        <v>0</v>
      </c>
      <c r="H27" s="129">
        <v>0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350">
        <f t="shared" si="1"/>
        <v>0</v>
      </c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</row>
    <row r="28" spans="1:240" ht="13.5">
      <c r="A28" s="126"/>
      <c r="B28" s="254"/>
      <c r="C28" s="134" t="s">
        <v>270</v>
      </c>
      <c r="D28" s="129">
        <v>0</v>
      </c>
      <c r="E28" s="129">
        <v>0</v>
      </c>
      <c r="F28" s="129">
        <v>0</v>
      </c>
      <c r="G28" s="129">
        <v>0</v>
      </c>
      <c r="H28" s="129">
        <v>0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350">
        <f t="shared" si="1"/>
        <v>0</v>
      </c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</row>
    <row r="29" spans="1:240" ht="14.1" thickBot="1">
      <c r="A29" s="126"/>
      <c r="B29" s="355"/>
      <c r="C29" s="233" t="s">
        <v>35</v>
      </c>
      <c r="D29" s="129">
        <v>640521.90322500002</v>
      </c>
      <c r="E29" s="129">
        <v>891189.25</v>
      </c>
      <c r="F29" s="129">
        <v>706970.19354799995</v>
      </c>
      <c r="G29" s="129">
        <v>726135.66666600003</v>
      </c>
      <c r="H29" s="129">
        <v>920257.41935400001</v>
      </c>
      <c r="I29" s="129">
        <v>838889.83333299996</v>
      </c>
      <c r="J29" s="129">
        <v>636404.09677399998</v>
      </c>
      <c r="K29" s="129">
        <v>663689.93548300001</v>
      </c>
      <c r="L29" s="129">
        <v>487216.03333300003</v>
      </c>
      <c r="M29" s="129">
        <v>443336.06451599998</v>
      </c>
      <c r="N29" s="129">
        <v>694310.6</v>
      </c>
      <c r="O29" s="350">
        <v>925710.58064499998</v>
      </c>
      <c r="P29" s="350">
        <f t="shared" si="1"/>
        <v>714552.63140641665</v>
      </c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</row>
    <row r="30" spans="1:240" ht="13.5">
      <c r="A30" s="659" t="s">
        <v>36</v>
      </c>
      <c r="B30" s="660"/>
      <c r="C30" s="356" t="s">
        <v>37</v>
      </c>
      <c r="D30" s="140">
        <v>1636322.68</v>
      </c>
      <c r="E30" s="140">
        <v>1606880.5</v>
      </c>
      <c r="F30" s="140">
        <v>1608277.81</v>
      </c>
      <c r="G30" s="140">
        <v>1614727.63</v>
      </c>
      <c r="H30" s="140">
        <v>1617368.23</v>
      </c>
      <c r="I30" s="140">
        <v>1420197.9</v>
      </c>
      <c r="J30" s="140">
        <v>1836.71</v>
      </c>
      <c r="K30" s="140">
        <v>896.61</v>
      </c>
      <c r="L30" s="140">
        <v>707.67</v>
      </c>
      <c r="M30" s="140">
        <v>117926.58</v>
      </c>
      <c r="N30" s="140">
        <v>99678.37</v>
      </c>
      <c r="O30" s="358">
        <v>110732.52</v>
      </c>
      <c r="P30" s="359">
        <f t="shared" si="1"/>
        <v>819629.43416666659</v>
      </c>
    </row>
    <row r="31" spans="1:240" ht="13.5">
      <c r="A31" s="661"/>
      <c r="B31" s="662"/>
      <c r="C31" s="139" t="s">
        <v>38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359">
        <f t="shared" si="1"/>
        <v>0</v>
      </c>
    </row>
    <row r="32" spans="1:240" ht="13.5">
      <c r="A32" s="661"/>
      <c r="B32" s="662"/>
      <c r="C32" s="239" t="s">
        <v>39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360"/>
      <c r="P32" s="359">
        <f t="shared" si="1"/>
        <v>0</v>
      </c>
    </row>
    <row r="33" spans="1:240" ht="14.1" thickBot="1">
      <c r="A33" s="663"/>
      <c r="B33" s="664"/>
      <c r="C33" s="146" t="s">
        <v>40</v>
      </c>
      <c r="D33" s="147">
        <v>0</v>
      </c>
      <c r="E33" s="147">
        <v>0</v>
      </c>
      <c r="F33" s="147">
        <v>0</v>
      </c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0</v>
      </c>
      <c r="O33" s="361"/>
      <c r="P33" s="359">
        <f t="shared" si="1"/>
        <v>0</v>
      </c>
    </row>
    <row r="34" spans="1:240" ht="19.5">
      <c r="A34" s="151"/>
      <c r="B34" s="152"/>
      <c r="C34" s="153"/>
      <c r="P34" s="362"/>
    </row>
    <row r="35" spans="1:240" ht="14.1" thickBot="1">
      <c r="A35" s="342" t="s">
        <v>271</v>
      </c>
      <c r="B35" s="342"/>
      <c r="C35" s="342"/>
    </row>
    <row r="36" spans="1:240" ht="13.5">
      <c r="A36" s="671" t="s">
        <v>1</v>
      </c>
      <c r="B36" s="672"/>
      <c r="C36" s="672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673" t="s">
        <v>9</v>
      </c>
      <c r="B37" s="674"/>
      <c r="C37" s="675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O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535335949</v>
      </c>
      <c r="O37" s="119">
        <f t="shared" si="5"/>
        <v>563218088</v>
      </c>
      <c r="P37" s="347">
        <f>P38+P45+P50+P58</f>
        <v>605449317.41666675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669" t="s">
        <v>10</v>
      </c>
      <c r="C38" s="670"/>
      <c r="D38" s="124">
        <v>354479947</v>
      </c>
      <c r="E38" s="124">
        <v>371926023</v>
      </c>
      <c r="F38" s="124">
        <v>357064395</v>
      </c>
      <c r="G38" s="124">
        <v>369063594</v>
      </c>
      <c r="H38" s="124">
        <v>330561041</v>
      </c>
      <c r="I38" s="124">
        <v>322652284</v>
      </c>
      <c r="J38" s="124">
        <v>326066227</v>
      </c>
      <c r="K38" s="124">
        <v>341483124</v>
      </c>
      <c r="L38" s="124">
        <v>326035810</v>
      </c>
      <c r="M38" s="124">
        <v>314693664</v>
      </c>
      <c r="N38" s="124">
        <v>348168007</v>
      </c>
      <c r="O38" s="124">
        <f>SUM(O39:O44)</f>
        <v>359521300</v>
      </c>
      <c r="P38" s="349">
        <f>SUM(P39:P44)</f>
        <v>343476284.66666669</v>
      </c>
    </row>
    <row r="39" spans="1:240" ht="13.5">
      <c r="A39" s="126"/>
      <c r="B39" s="127"/>
      <c r="C39" s="128" t="s">
        <v>11</v>
      </c>
      <c r="D39" s="130">
        <v>301522048</v>
      </c>
      <c r="E39" s="130">
        <v>312011790</v>
      </c>
      <c r="F39" s="130">
        <v>307804297</v>
      </c>
      <c r="G39" s="130">
        <v>311952904</v>
      </c>
      <c r="H39" s="130">
        <v>276368546</v>
      </c>
      <c r="I39" s="130">
        <v>281059326</v>
      </c>
      <c r="J39" s="130">
        <v>268251074</v>
      </c>
      <c r="K39" s="130">
        <v>288168798</v>
      </c>
      <c r="L39" s="130">
        <v>275700668</v>
      </c>
      <c r="M39" s="130">
        <v>266180110</v>
      </c>
      <c r="N39" s="130">
        <v>300936741</v>
      </c>
      <c r="O39" s="130">
        <v>306759650</v>
      </c>
      <c r="P39" s="363">
        <f t="shared" ref="P39:P44" si="6">AVERAGE(D39:O39)</f>
        <v>291392996</v>
      </c>
    </row>
    <row r="40" spans="1:240" ht="13.5">
      <c r="A40" s="126"/>
      <c r="B40" s="127"/>
      <c r="C40" s="128" t="s">
        <v>12</v>
      </c>
      <c r="D40" s="130">
        <v>11731801</v>
      </c>
      <c r="E40" s="130">
        <v>6677578</v>
      </c>
      <c r="F40" s="130">
        <v>7953023</v>
      </c>
      <c r="G40" s="130">
        <v>6400194</v>
      </c>
      <c r="H40" s="130">
        <v>7600695</v>
      </c>
      <c r="I40" s="130">
        <v>4236251</v>
      </c>
      <c r="J40" s="130">
        <v>7059809</v>
      </c>
      <c r="K40" s="130">
        <v>5352452</v>
      </c>
      <c r="L40" s="130">
        <v>3823169</v>
      </c>
      <c r="M40" s="130">
        <v>7374198</v>
      </c>
      <c r="N40" s="130">
        <v>5972056</v>
      </c>
      <c r="O40" s="130">
        <v>6233899</v>
      </c>
      <c r="P40" s="363">
        <f t="shared" si="6"/>
        <v>6701260.416666667</v>
      </c>
    </row>
    <row r="41" spans="1:240" ht="14.25" customHeight="1">
      <c r="A41" s="126"/>
      <c r="B41" s="127"/>
      <c r="C41" s="128" t="s">
        <v>13</v>
      </c>
      <c r="D41" s="130">
        <v>11043043</v>
      </c>
      <c r="E41" s="130">
        <v>11016551</v>
      </c>
      <c r="F41" s="130">
        <v>6604155</v>
      </c>
      <c r="G41" s="130">
        <v>6800876</v>
      </c>
      <c r="H41" s="130">
        <v>5117407</v>
      </c>
      <c r="I41" s="130">
        <v>4185914</v>
      </c>
      <c r="J41" s="130">
        <v>5845604</v>
      </c>
      <c r="K41" s="130">
        <v>5889201</v>
      </c>
      <c r="L41" s="130">
        <v>5285095</v>
      </c>
      <c r="M41" s="130">
        <v>4865624</v>
      </c>
      <c r="N41" s="130">
        <v>4279276</v>
      </c>
      <c r="O41" s="130">
        <v>4642553</v>
      </c>
      <c r="P41" s="363">
        <f t="shared" si="6"/>
        <v>6297941.583333333</v>
      </c>
    </row>
    <row r="42" spans="1:240" ht="14.25" customHeight="1">
      <c r="A42" s="126"/>
      <c r="B42" s="127"/>
      <c r="C42" s="128" t="s">
        <v>14</v>
      </c>
      <c r="D42" s="130">
        <v>18962815</v>
      </c>
      <c r="E42" s="130">
        <v>23106428</v>
      </c>
      <c r="F42" s="130">
        <v>21071693</v>
      </c>
      <c r="G42" s="130">
        <v>21065273</v>
      </c>
      <c r="H42" s="130">
        <v>21843172</v>
      </c>
      <c r="I42" s="130">
        <v>18530235</v>
      </c>
      <c r="J42" s="130">
        <v>22828116</v>
      </c>
      <c r="K42" s="130">
        <v>19959865</v>
      </c>
      <c r="L42" s="130">
        <v>22350347</v>
      </c>
      <c r="M42" s="130">
        <v>19581890</v>
      </c>
      <c r="N42" s="130">
        <v>21316366</v>
      </c>
      <c r="O42" s="130">
        <v>32986266</v>
      </c>
      <c r="P42" s="363">
        <f t="shared" si="6"/>
        <v>21966872.166666668</v>
      </c>
    </row>
    <row r="43" spans="1:240" ht="13.5">
      <c r="A43" s="126"/>
      <c r="B43" s="127"/>
      <c r="C43" s="128" t="s">
        <v>15</v>
      </c>
      <c r="D43" s="130">
        <v>0</v>
      </c>
      <c r="E43" s="130">
        <v>0</v>
      </c>
      <c r="F43" s="130">
        <v>0</v>
      </c>
      <c r="G43" s="130">
        <v>0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30">
        <v>0</v>
      </c>
      <c r="O43" s="130">
        <v>0</v>
      </c>
      <c r="P43" s="363">
        <f t="shared" si="6"/>
        <v>0</v>
      </c>
    </row>
    <row r="44" spans="1:240" ht="13.5">
      <c r="A44" s="126"/>
      <c r="B44" s="132"/>
      <c r="C44" s="128" t="s">
        <v>16</v>
      </c>
      <c r="D44" s="130">
        <v>11220240</v>
      </c>
      <c r="E44" s="130">
        <v>19113676</v>
      </c>
      <c r="F44" s="130">
        <v>13631227</v>
      </c>
      <c r="G44" s="130">
        <v>22844347</v>
      </c>
      <c r="H44" s="130">
        <v>19631221</v>
      </c>
      <c r="I44" s="130">
        <v>14640558</v>
      </c>
      <c r="J44" s="130">
        <v>22081624</v>
      </c>
      <c r="K44" s="130">
        <v>22112808</v>
      </c>
      <c r="L44" s="130">
        <v>18876531</v>
      </c>
      <c r="M44" s="130">
        <v>16691842</v>
      </c>
      <c r="N44" s="130">
        <v>15663568</v>
      </c>
      <c r="O44" s="130">
        <v>8898932</v>
      </c>
      <c r="P44" s="363">
        <f t="shared" si="6"/>
        <v>17117214.5</v>
      </c>
    </row>
    <row r="45" spans="1:240" ht="13.5">
      <c r="A45" s="126"/>
      <c r="B45" s="676" t="s">
        <v>17</v>
      </c>
      <c r="C45" s="677"/>
      <c r="D45" s="124">
        <v>2040687</v>
      </c>
      <c r="E45" s="124">
        <v>2030574</v>
      </c>
      <c r="F45" s="124">
        <v>1752264</v>
      </c>
      <c r="G45" s="124">
        <v>2885530</v>
      </c>
      <c r="H45" s="124">
        <v>2166290</v>
      </c>
      <c r="I45" s="124">
        <v>4577004</v>
      </c>
      <c r="J45" s="124">
        <v>5083871</v>
      </c>
      <c r="K45" s="124">
        <v>2639650</v>
      </c>
      <c r="L45" s="124">
        <v>2001447</v>
      </c>
      <c r="M45" s="124">
        <v>2528042</v>
      </c>
      <c r="N45" s="124">
        <v>1949867</v>
      </c>
      <c r="O45" s="124">
        <f>SUM(O46:O49)</f>
        <v>10366232</v>
      </c>
      <c r="P45" s="349">
        <f>SUM(P46:P49)</f>
        <v>11698861.166666666</v>
      </c>
    </row>
    <row r="46" spans="1:240" ht="13.5">
      <c r="A46" s="126"/>
      <c r="B46" s="127"/>
      <c r="C46" s="134" t="s">
        <v>18</v>
      </c>
      <c r="D46" s="130">
        <v>0</v>
      </c>
      <c r="E46" s="130">
        <v>0</v>
      </c>
      <c r="F46" s="130">
        <v>0</v>
      </c>
      <c r="G46" s="130">
        <v>0</v>
      </c>
      <c r="H46" s="130">
        <v>0</v>
      </c>
      <c r="I46" s="130">
        <v>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0">
        <v>0</v>
      </c>
      <c r="P46" s="363">
        <f>AVERAGE(D46:O46)</f>
        <v>0</v>
      </c>
    </row>
    <row r="47" spans="1:240" s="122" customFormat="1" ht="13.5">
      <c r="A47" s="126"/>
      <c r="B47" s="127"/>
      <c r="C47" s="134" t="s">
        <v>19</v>
      </c>
      <c r="D47" s="130">
        <v>1745249</v>
      </c>
      <c r="E47" s="130">
        <v>1677636</v>
      </c>
      <c r="F47" s="130">
        <v>1480486</v>
      </c>
      <c r="G47" s="130">
        <v>2642042</v>
      </c>
      <c r="H47" s="130">
        <v>2010192</v>
      </c>
      <c r="I47" s="130">
        <v>4185406</v>
      </c>
      <c r="J47" s="130">
        <v>4810863</v>
      </c>
      <c r="K47" s="130">
        <v>2401962</v>
      </c>
      <c r="L47" s="130">
        <v>1843699</v>
      </c>
      <c r="M47" s="130">
        <v>2388094</v>
      </c>
      <c r="N47" s="130">
        <v>1840639</v>
      </c>
      <c r="O47" s="130">
        <v>1748317</v>
      </c>
      <c r="P47" s="363">
        <f>AVERAGE(D47:O47)</f>
        <v>2397882.0833333335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130">
        <v>295438</v>
      </c>
      <c r="E48" s="130">
        <v>352938</v>
      </c>
      <c r="F48" s="130">
        <v>271778</v>
      </c>
      <c r="G48" s="130">
        <v>243488</v>
      </c>
      <c r="H48" s="130">
        <v>156098</v>
      </c>
      <c r="I48" s="130">
        <v>391598</v>
      </c>
      <c r="J48" s="130">
        <v>273008</v>
      </c>
      <c r="K48" s="130">
        <v>237688</v>
      </c>
      <c r="L48" s="130">
        <v>157748</v>
      </c>
      <c r="M48" s="130">
        <v>139948</v>
      </c>
      <c r="N48" s="130">
        <v>109228</v>
      </c>
      <c r="O48" s="130">
        <v>209728</v>
      </c>
      <c r="P48" s="363">
        <f>AVERAGE(D48:O48)</f>
        <v>236557.16666666666</v>
      </c>
    </row>
    <row r="49" spans="1:240" ht="13.5">
      <c r="A49" s="126"/>
      <c r="B49" s="127"/>
      <c r="C49" s="233" t="s">
        <v>21</v>
      </c>
      <c r="D49" s="130">
        <v>7670141</v>
      </c>
      <c r="E49" s="130">
        <v>10611816</v>
      </c>
      <c r="F49" s="130">
        <v>9016362</v>
      </c>
      <c r="G49" s="130">
        <v>11070523</v>
      </c>
      <c r="H49" s="130">
        <v>11313936</v>
      </c>
      <c r="I49" s="130">
        <v>7153933</v>
      </c>
      <c r="J49" s="130">
        <v>10230303</v>
      </c>
      <c r="K49" s="130">
        <v>7897345</v>
      </c>
      <c r="L49" s="130">
        <v>8011452</v>
      </c>
      <c r="M49" s="130">
        <v>8090256</v>
      </c>
      <c r="N49" s="130">
        <v>9298809</v>
      </c>
      <c r="O49" s="130">
        <v>8408187</v>
      </c>
      <c r="P49" s="363">
        <f>AVERAGE(D49:O49)</f>
        <v>9064421.916666666</v>
      </c>
    </row>
    <row r="50" spans="1:240" ht="13.5">
      <c r="A50" s="126"/>
      <c r="B50" s="676" t="s">
        <v>22</v>
      </c>
      <c r="C50" s="677"/>
      <c r="D50" s="124">
        <v>230494127</v>
      </c>
      <c r="E50" s="124">
        <v>253496760</v>
      </c>
      <c r="F50" s="124">
        <v>262718885</v>
      </c>
      <c r="G50" s="124">
        <v>273455445</v>
      </c>
      <c r="H50" s="124">
        <v>246617490</v>
      </c>
      <c r="I50" s="124">
        <v>241078836</v>
      </c>
      <c r="J50" s="124">
        <v>218047190</v>
      </c>
      <c r="K50" s="124">
        <v>203667929</v>
      </c>
      <c r="L50" s="124">
        <v>202907444</v>
      </c>
      <c r="M50" s="124">
        <v>194090287</v>
      </c>
      <c r="N50" s="124">
        <v>185218075</v>
      </c>
      <c r="O50" s="124">
        <f>SUM(O51:O57)</f>
        <v>193330556</v>
      </c>
      <c r="P50" s="349">
        <f>SUM(P51:P57)</f>
        <v>243466655.25</v>
      </c>
    </row>
    <row r="51" spans="1:240" ht="13.5">
      <c r="A51" s="126"/>
      <c r="B51" s="127"/>
      <c r="C51" s="128" t="s">
        <v>23</v>
      </c>
      <c r="D51" s="130">
        <v>217348722</v>
      </c>
      <c r="E51" s="130">
        <v>229286452</v>
      </c>
      <c r="F51" s="130">
        <v>234536820</v>
      </c>
      <c r="G51" s="130">
        <v>249410081</v>
      </c>
      <c r="H51" s="130">
        <v>225086945</v>
      </c>
      <c r="I51" s="130">
        <v>223263131</v>
      </c>
      <c r="J51" s="130">
        <v>202720734</v>
      </c>
      <c r="K51" s="130">
        <v>189668191</v>
      </c>
      <c r="L51" s="130">
        <v>190048063</v>
      </c>
      <c r="M51" s="130">
        <v>182120835</v>
      </c>
      <c r="N51" s="130">
        <v>174625628</v>
      </c>
      <c r="O51" s="130">
        <v>165509453</v>
      </c>
      <c r="P51" s="363">
        <f t="shared" ref="P51:P57" si="7">AVERAGE(D51:O51)</f>
        <v>206968754.58333334</v>
      </c>
    </row>
    <row r="52" spans="1:240" ht="13.5">
      <c r="A52" s="126"/>
      <c r="B52" s="127"/>
      <c r="C52" s="134" t="s">
        <v>24</v>
      </c>
      <c r="D52" s="130">
        <v>4434328</v>
      </c>
      <c r="E52" s="130">
        <v>2190434</v>
      </c>
      <c r="F52" s="130">
        <v>2572318</v>
      </c>
      <c r="G52" s="130">
        <v>1381676</v>
      </c>
      <c r="H52" s="130">
        <v>2094697</v>
      </c>
      <c r="I52" s="130">
        <v>1710449</v>
      </c>
      <c r="J52" s="130">
        <v>1838782</v>
      </c>
      <c r="K52" s="130">
        <v>2076843</v>
      </c>
      <c r="L52" s="130">
        <v>1166682</v>
      </c>
      <c r="M52" s="130">
        <v>1846323</v>
      </c>
      <c r="N52" s="130">
        <v>1560480</v>
      </c>
      <c r="O52" s="130">
        <v>1579001</v>
      </c>
      <c r="P52" s="363">
        <f t="shared" si="7"/>
        <v>2037667.75</v>
      </c>
    </row>
    <row r="53" spans="1:240" ht="13.5">
      <c r="A53" s="126"/>
      <c r="B53" s="127"/>
      <c r="C53" s="134" t="s">
        <v>25</v>
      </c>
      <c r="D53" s="130">
        <v>8141268</v>
      </c>
      <c r="E53" s="130">
        <v>21387425</v>
      </c>
      <c r="F53" s="130">
        <v>25013368</v>
      </c>
      <c r="G53" s="130">
        <v>22038535</v>
      </c>
      <c r="H53" s="130">
        <v>18904055</v>
      </c>
      <c r="I53" s="130">
        <v>15510521</v>
      </c>
      <c r="J53" s="130">
        <v>12938602</v>
      </c>
      <c r="K53" s="130">
        <v>11385802</v>
      </c>
      <c r="L53" s="130">
        <v>11317748</v>
      </c>
      <c r="M53" s="130">
        <v>9771866</v>
      </c>
      <c r="N53" s="130">
        <v>8640180</v>
      </c>
      <c r="O53" s="130">
        <v>8640180</v>
      </c>
      <c r="P53" s="363">
        <f>AVERAGE(D53:O53)</f>
        <v>14474129.166666666</v>
      </c>
    </row>
    <row r="54" spans="1:240" ht="13.5">
      <c r="A54" s="126"/>
      <c r="B54" s="127"/>
      <c r="C54" s="134" t="s">
        <v>26</v>
      </c>
      <c r="D54" s="130">
        <v>11062673</v>
      </c>
      <c r="E54" s="130">
        <v>12466503</v>
      </c>
      <c r="F54" s="130">
        <v>10840157</v>
      </c>
      <c r="G54" s="130">
        <v>10247940</v>
      </c>
      <c r="H54" s="130">
        <v>10635612</v>
      </c>
      <c r="I54" s="130">
        <v>9607589</v>
      </c>
      <c r="J54" s="130">
        <v>9914938</v>
      </c>
      <c r="K54" s="130">
        <v>9957082</v>
      </c>
      <c r="L54" s="130">
        <v>10930691</v>
      </c>
      <c r="M54" s="130">
        <v>10476266</v>
      </c>
      <c r="N54" s="130">
        <v>9585410</v>
      </c>
      <c r="O54" s="130">
        <v>12532798</v>
      </c>
      <c r="P54" s="363">
        <f t="shared" si="7"/>
        <v>10688138.25</v>
      </c>
    </row>
    <row r="55" spans="1:240" ht="13.5">
      <c r="A55" s="126"/>
      <c r="B55" s="127"/>
      <c r="C55" s="134" t="s">
        <v>27</v>
      </c>
      <c r="D55" s="130">
        <v>5742313</v>
      </c>
      <c r="E55" s="130">
        <v>8972166</v>
      </c>
      <c r="F55" s="130">
        <v>8317135</v>
      </c>
      <c r="G55" s="130">
        <v>9516089</v>
      </c>
      <c r="H55" s="130">
        <v>8732706</v>
      </c>
      <c r="I55" s="130">
        <v>9918985</v>
      </c>
      <c r="J55" s="130">
        <v>8631009</v>
      </c>
      <c r="K55" s="130">
        <v>12496630</v>
      </c>
      <c r="L55" s="130">
        <v>13604767</v>
      </c>
      <c r="M55" s="130">
        <v>9423868</v>
      </c>
      <c r="N55" s="130">
        <v>8238205</v>
      </c>
      <c r="O55" s="130">
        <v>4799485</v>
      </c>
      <c r="P55" s="363">
        <f t="shared" si="7"/>
        <v>9032779.833333334</v>
      </c>
    </row>
    <row r="56" spans="1:240" ht="13.5">
      <c r="A56" s="126"/>
      <c r="B56" s="127"/>
      <c r="C56" s="134" t="s">
        <v>28</v>
      </c>
      <c r="D56" s="130">
        <v>106839</v>
      </c>
      <c r="E56" s="130">
        <v>106839</v>
      </c>
      <c r="F56" s="130">
        <v>93089</v>
      </c>
      <c r="G56" s="130">
        <v>91839</v>
      </c>
      <c r="H56" s="130">
        <v>91839</v>
      </c>
      <c r="I56" s="130">
        <v>106839</v>
      </c>
      <c r="J56" s="130">
        <v>106839</v>
      </c>
      <c r="K56" s="130">
        <v>97149</v>
      </c>
      <c r="L56" s="130">
        <v>106839</v>
      </c>
      <c r="M56" s="130">
        <v>106839</v>
      </c>
      <c r="N56" s="130">
        <v>106839</v>
      </c>
      <c r="O56" s="130">
        <v>106839</v>
      </c>
      <c r="P56" s="363">
        <f t="shared" si="7"/>
        <v>102385.66666666667</v>
      </c>
    </row>
    <row r="57" spans="1:240" ht="14.1" thickBot="1">
      <c r="A57" s="126"/>
      <c r="B57" s="127"/>
      <c r="C57" s="138" t="s">
        <v>29</v>
      </c>
      <c r="D57" s="130">
        <v>162800</v>
      </c>
      <c r="E57" s="130">
        <v>162800</v>
      </c>
      <c r="F57" s="130">
        <v>162800</v>
      </c>
      <c r="G57" s="130">
        <v>162800</v>
      </c>
      <c r="H57" s="130">
        <v>162800</v>
      </c>
      <c r="I57" s="130">
        <v>162800</v>
      </c>
      <c r="J57" s="130">
        <v>162800</v>
      </c>
      <c r="K57" s="130">
        <v>162800</v>
      </c>
      <c r="L57" s="130">
        <v>162800</v>
      </c>
      <c r="M57" s="130">
        <v>162800</v>
      </c>
      <c r="N57" s="130">
        <v>162800</v>
      </c>
      <c r="O57" s="130">
        <v>162800</v>
      </c>
      <c r="P57" s="363">
        <f t="shared" si="7"/>
        <v>162800</v>
      </c>
    </row>
    <row r="58" spans="1:240" ht="13.5">
      <c r="A58" s="126"/>
      <c r="B58" s="352"/>
      <c r="C58" s="353" t="s">
        <v>30</v>
      </c>
      <c r="D58" s="124">
        <f t="shared" ref="D58:N58" si="8">SUM(D59:D63)</f>
        <v>5102736</v>
      </c>
      <c r="E58" s="124">
        <f t="shared" si="8"/>
        <v>5768272</v>
      </c>
      <c r="F58" s="124">
        <f t="shared" si="8"/>
        <v>6886653</v>
      </c>
      <c r="G58" s="124">
        <f t="shared" si="8"/>
        <v>8124471</v>
      </c>
      <c r="H58" s="124">
        <f t="shared" si="8"/>
        <v>10499474</v>
      </c>
      <c r="I58" s="124">
        <f t="shared" si="8"/>
        <v>9279498</v>
      </c>
      <c r="J58" s="124">
        <f t="shared" si="8"/>
        <v>8163072</v>
      </c>
      <c r="K58" s="124">
        <f t="shared" si="8"/>
        <v>7976288</v>
      </c>
      <c r="L58" s="124">
        <f t="shared" si="8"/>
        <v>6735502</v>
      </c>
      <c r="M58" s="124">
        <f t="shared" si="8"/>
        <v>6148131</v>
      </c>
      <c r="N58" s="124">
        <f t="shared" si="8"/>
        <v>6287789</v>
      </c>
      <c r="O58" s="124">
        <f>SUM(O59:O63)</f>
        <v>718310</v>
      </c>
      <c r="P58" s="349">
        <f>SUM(P59:P63)</f>
        <v>6807516.333333333</v>
      </c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354"/>
      <c r="BZ58" s="354"/>
      <c r="CA58" s="354"/>
      <c r="CB58" s="354"/>
      <c r="CC58" s="354"/>
      <c r="CD58" s="354"/>
      <c r="CE58" s="354"/>
      <c r="CF58" s="354"/>
      <c r="CG58" s="354"/>
      <c r="CH58" s="354"/>
      <c r="CI58" s="354"/>
      <c r="CJ58" s="354"/>
      <c r="CK58" s="354"/>
      <c r="CL58" s="354"/>
      <c r="CM58" s="354"/>
      <c r="CN58" s="354"/>
      <c r="CO58" s="354"/>
      <c r="CP58" s="354"/>
      <c r="CQ58" s="354"/>
      <c r="CR58" s="354"/>
      <c r="CS58" s="354"/>
      <c r="CT58" s="354"/>
      <c r="CU58" s="354"/>
      <c r="CV58" s="354"/>
      <c r="CW58" s="354"/>
      <c r="CX58" s="354"/>
      <c r="CY58" s="354"/>
      <c r="CZ58" s="354"/>
      <c r="DA58" s="354"/>
      <c r="DB58" s="354"/>
      <c r="DC58" s="354"/>
      <c r="DD58" s="354"/>
      <c r="DE58" s="354"/>
      <c r="DF58" s="354"/>
      <c r="DG58" s="354"/>
      <c r="DH58" s="354"/>
      <c r="DI58" s="354"/>
      <c r="DJ58" s="354"/>
      <c r="DK58" s="354"/>
      <c r="DL58" s="354"/>
      <c r="DM58" s="354"/>
      <c r="DN58" s="354"/>
      <c r="DO58" s="354"/>
      <c r="DP58" s="354"/>
      <c r="DQ58" s="354"/>
      <c r="DR58" s="354"/>
      <c r="DS58" s="354"/>
      <c r="DT58" s="354"/>
      <c r="DU58" s="354"/>
      <c r="DV58" s="354"/>
      <c r="DW58" s="354"/>
      <c r="DX58" s="354"/>
      <c r="DY58" s="354"/>
      <c r="DZ58" s="354"/>
      <c r="EA58" s="354"/>
      <c r="EB58" s="354"/>
      <c r="EC58" s="354"/>
      <c r="ED58" s="354"/>
      <c r="EE58" s="354"/>
      <c r="EF58" s="354"/>
      <c r="EG58" s="354"/>
      <c r="EH58" s="354"/>
      <c r="EI58" s="354"/>
      <c r="EJ58" s="354"/>
      <c r="EK58" s="354"/>
      <c r="EL58" s="354"/>
      <c r="EM58" s="354"/>
      <c r="EN58" s="354"/>
      <c r="EO58" s="354"/>
      <c r="EP58" s="354"/>
      <c r="EQ58" s="354"/>
      <c r="ER58" s="354"/>
      <c r="ES58" s="354"/>
      <c r="ET58" s="354"/>
      <c r="EU58" s="354"/>
      <c r="EV58" s="354"/>
      <c r="EW58" s="354"/>
      <c r="EX58" s="354"/>
      <c r="EY58" s="354"/>
      <c r="EZ58" s="354"/>
      <c r="FA58" s="354"/>
      <c r="FB58" s="354"/>
      <c r="FC58" s="354"/>
      <c r="FD58" s="354"/>
      <c r="FE58" s="354"/>
      <c r="FF58" s="354"/>
      <c r="FG58" s="354"/>
      <c r="FH58" s="354"/>
      <c r="FI58" s="354"/>
      <c r="FJ58" s="354"/>
      <c r="FK58" s="354"/>
      <c r="FL58" s="354"/>
      <c r="FM58" s="354"/>
      <c r="FN58" s="354"/>
      <c r="FO58" s="354"/>
      <c r="FP58" s="354"/>
      <c r="FQ58" s="354"/>
      <c r="FR58" s="354"/>
      <c r="FS58" s="354"/>
      <c r="FT58" s="354"/>
      <c r="FU58" s="354"/>
      <c r="FV58" s="354"/>
      <c r="FW58" s="354"/>
      <c r="FX58" s="354"/>
      <c r="FY58" s="354"/>
      <c r="FZ58" s="354"/>
      <c r="GA58" s="354"/>
      <c r="GB58" s="354"/>
      <c r="GC58" s="354"/>
      <c r="GD58" s="354"/>
      <c r="GE58" s="354"/>
      <c r="GF58" s="354"/>
      <c r="GG58" s="354"/>
      <c r="GH58" s="354"/>
      <c r="GI58" s="354"/>
      <c r="GJ58" s="354"/>
      <c r="GK58" s="354"/>
      <c r="GL58" s="354"/>
      <c r="GM58" s="354"/>
      <c r="GN58" s="354"/>
      <c r="GO58" s="354"/>
      <c r="GP58" s="354"/>
      <c r="GQ58" s="354"/>
      <c r="GR58" s="354"/>
      <c r="GS58" s="354"/>
      <c r="GT58" s="354"/>
      <c r="GU58" s="354"/>
      <c r="GV58" s="354"/>
      <c r="GW58" s="354"/>
      <c r="GX58" s="354"/>
      <c r="GY58" s="354"/>
      <c r="GZ58" s="354"/>
      <c r="HA58" s="354"/>
      <c r="HB58" s="354"/>
      <c r="HC58" s="354"/>
      <c r="HD58" s="354"/>
      <c r="HE58" s="354"/>
      <c r="HF58" s="354"/>
      <c r="HG58" s="354"/>
      <c r="HH58" s="354"/>
      <c r="HI58" s="354"/>
      <c r="HJ58" s="354"/>
      <c r="HK58" s="354"/>
      <c r="HL58" s="354"/>
      <c r="HM58" s="354"/>
      <c r="HN58" s="354"/>
      <c r="HO58" s="354"/>
      <c r="HP58" s="354"/>
      <c r="HQ58" s="354"/>
      <c r="HR58" s="354"/>
      <c r="HS58" s="354"/>
      <c r="HT58" s="354"/>
      <c r="HU58" s="354"/>
      <c r="HV58" s="354"/>
      <c r="HW58" s="354"/>
      <c r="HX58" s="354"/>
      <c r="HY58" s="354"/>
      <c r="HZ58" s="354"/>
      <c r="IA58" s="354"/>
      <c r="IB58" s="354"/>
      <c r="IC58" s="354"/>
      <c r="ID58" s="354"/>
      <c r="IE58" s="354"/>
      <c r="IF58" s="354"/>
    </row>
    <row r="59" spans="1:240" ht="13.5">
      <c r="A59" s="126"/>
      <c r="B59" s="254"/>
      <c r="C59" s="233" t="s">
        <v>31</v>
      </c>
      <c r="D59" s="130">
        <v>161176</v>
      </c>
      <c r="E59" s="130">
        <v>161176</v>
      </c>
      <c r="F59" s="130">
        <v>161176</v>
      </c>
      <c r="G59" s="130">
        <v>161176</v>
      </c>
      <c r="H59" s="130">
        <v>161176</v>
      </c>
      <c r="I59" s="130">
        <v>161176</v>
      </c>
      <c r="J59" s="130">
        <v>161176</v>
      </c>
      <c r="K59" s="130">
        <v>161176</v>
      </c>
      <c r="L59" s="130">
        <v>14160</v>
      </c>
      <c r="M59" s="130">
        <v>14160</v>
      </c>
      <c r="N59" s="130">
        <v>14160</v>
      </c>
      <c r="O59" s="130">
        <v>14160</v>
      </c>
      <c r="P59" s="363">
        <f t="shared" ref="P59:P67" si="9">AVERAGE(D59:O59)</f>
        <v>112170.66666666667</v>
      </c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4"/>
      <c r="BH59" s="354"/>
      <c r="BI59" s="354"/>
      <c r="BJ59" s="354"/>
      <c r="BK59" s="354"/>
      <c r="BL59" s="354"/>
      <c r="BM59" s="354"/>
      <c r="BN59" s="354"/>
      <c r="BO59" s="354"/>
      <c r="BP59" s="354"/>
      <c r="BQ59" s="354"/>
      <c r="BR59" s="354"/>
      <c r="BS59" s="354"/>
      <c r="BT59" s="354"/>
      <c r="BU59" s="354"/>
      <c r="BV59" s="354"/>
      <c r="BW59" s="354"/>
      <c r="BX59" s="354"/>
      <c r="BY59" s="354"/>
      <c r="BZ59" s="354"/>
      <c r="CA59" s="354"/>
      <c r="CB59" s="354"/>
      <c r="CC59" s="354"/>
      <c r="CD59" s="354"/>
      <c r="CE59" s="354"/>
      <c r="CF59" s="354"/>
      <c r="CG59" s="354"/>
      <c r="CH59" s="354"/>
      <c r="CI59" s="354"/>
      <c r="CJ59" s="354"/>
      <c r="CK59" s="354"/>
      <c r="CL59" s="354"/>
      <c r="CM59" s="354"/>
      <c r="CN59" s="354"/>
      <c r="CO59" s="354"/>
      <c r="CP59" s="354"/>
      <c r="CQ59" s="354"/>
      <c r="CR59" s="354"/>
      <c r="CS59" s="354"/>
      <c r="CT59" s="354"/>
      <c r="CU59" s="354"/>
      <c r="CV59" s="354"/>
      <c r="CW59" s="354"/>
      <c r="CX59" s="354"/>
      <c r="CY59" s="354"/>
      <c r="CZ59" s="354"/>
      <c r="DA59" s="354"/>
      <c r="DB59" s="354"/>
      <c r="DC59" s="354"/>
      <c r="DD59" s="354"/>
      <c r="DE59" s="354"/>
      <c r="DF59" s="354"/>
      <c r="DG59" s="354"/>
      <c r="DH59" s="354"/>
      <c r="DI59" s="354"/>
      <c r="DJ59" s="354"/>
      <c r="DK59" s="354"/>
      <c r="DL59" s="354"/>
      <c r="DM59" s="354"/>
      <c r="DN59" s="354"/>
      <c r="DO59" s="354"/>
      <c r="DP59" s="354"/>
      <c r="DQ59" s="354"/>
      <c r="DR59" s="354"/>
      <c r="DS59" s="354"/>
      <c r="DT59" s="354"/>
      <c r="DU59" s="354"/>
      <c r="DV59" s="354"/>
      <c r="DW59" s="354"/>
      <c r="DX59" s="354"/>
      <c r="DY59" s="354"/>
      <c r="DZ59" s="354"/>
      <c r="EA59" s="354"/>
      <c r="EB59" s="354"/>
      <c r="EC59" s="354"/>
      <c r="ED59" s="354"/>
      <c r="EE59" s="354"/>
      <c r="EF59" s="354"/>
      <c r="EG59" s="354"/>
      <c r="EH59" s="354"/>
      <c r="EI59" s="354"/>
      <c r="EJ59" s="354"/>
      <c r="EK59" s="354"/>
      <c r="EL59" s="354"/>
      <c r="EM59" s="354"/>
      <c r="EN59" s="354"/>
      <c r="EO59" s="354"/>
      <c r="EP59" s="354"/>
      <c r="EQ59" s="354"/>
      <c r="ER59" s="354"/>
      <c r="ES59" s="354"/>
      <c r="ET59" s="354"/>
      <c r="EU59" s="354"/>
      <c r="EV59" s="354"/>
      <c r="EW59" s="354"/>
      <c r="EX59" s="354"/>
      <c r="EY59" s="354"/>
      <c r="EZ59" s="354"/>
      <c r="FA59" s="354"/>
      <c r="FB59" s="354"/>
      <c r="FC59" s="354"/>
      <c r="FD59" s="354"/>
      <c r="FE59" s="354"/>
      <c r="FF59" s="354"/>
      <c r="FG59" s="354"/>
      <c r="FH59" s="354"/>
      <c r="FI59" s="354"/>
      <c r="FJ59" s="354"/>
      <c r="FK59" s="354"/>
      <c r="FL59" s="354"/>
      <c r="FM59" s="354"/>
      <c r="FN59" s="354"/>
      <c r="FO59" s="354"/>
      <c r="FP59" s="354"/>
      <c r="FQ59" s="354"/>
      <c r="FR59" s="354"/>
      <c r="FS59" s="354"/>
      <c r="FT59" s="354"/>
      <c r="FU59" s="354"/>
      <c r="FV59" s="354"/>
      <c r="FW59" s="354"/>
      <c r="FX59" s="354"/>
      <c r="FY59" s="354"/>
      <c r="FZ59" s="354"/>
      <c r="GA59" s="354"/>
      <c r="GB59" s="354"/>
      <c r="GC59" s="354"/>
      <c r="GD59" s="354"/>
      <c r="GE59" s="354"/>
      <c r="GF59" s="354"/>
      <c r="GG59" s="354"/>
      <c r="GH59" s="354"/>
      <c r="GI59" s="354"/>
      <c r="GJ59" s="354"/>
      <c r="GK59" s="354"/>
      <c r="GL59" s="354"/>
      <c r="GM59" s="354"/>
      <c r="GN59" s="354"/>
      <c r="GO59" s="354"/>
      <c r="GP59" s="354"/>
      <c r="GQ59" s="354"/>
      <c r="GR59" s="354"/>
      <c r="GS59" s="354"/>
      <c r="GT59" s="354"/>
      <c r="GU59" s="354"/>
      <c r="GV59" s="354"/>
      <c r="GW59" s="354"/>
      <c r="GX59" s="354"/>
      <c r="GY59" s="354"/>
      <c r="GZ59" s="354"/>
      <c r="HA59" s="354"/>
      <c r="HB59" s="354"/>
      <c r="HC59" s="354"/>
      <c r="HD59" s="354"/>
      <c r="HE59" s="354"/>
      <c r="HF59" s="354"/>
      <c r="HG59" s="354"/>
      <c r="HH59" s="354"/>
      <c r="HI59" s="354"/>
      <c r="HJ59" s="354"/>
      <c r="HK59" s="354"/>
      <c r="HL59" s="354"/>
      <c r="HM59" s="354"/>
      <c r="HN59" s="354"/>
      <c r="HO59" s="354"/>
      <c r="HP59" s="354"/>
      <c r="HQ59" s="354"/>
      <c r="HR59" s="354"/>
      <c r="HS59" s="354"/>
      <c r="HT59" s="354"/>
      <c r="HU59" s="354"/>
      <c r="HV59" s="354"/>
      <c r="HW59" s="354"/>
      <c r="HX59" s="354"/>
      <c r="HY59" s="354"/>
      <c r="HZ59" s="354"/>
      <c r="IA59" s="354"/>
      <c r="IB59" s="354"/>
      <c r="IC59" s="354"/>
      <c r="ID59" s="354"/>
      <c r="IE59" s="354"/>
      <c r="IF59" s="354"/>
    </row>
    <row r="60" spans="1:240" ht="13.5">
      <c r="A60" s="126"/>
      <c r="B60" s="254"/>
      <c r="C60" s="134" t="s">
        <v>32</v>
      </c>
      <c r="D60" s="130">
        <v>138994</v>
      </c>
      <c r="E60" s="130">
        <v>201634</v>
      </c>
      <c r="F60" s="130">
        <v>179314</v>
      </c>
      <c r="G60" s="130">
        <v>209338</v>
      </c>
      <c r="H60" s="130">
        <v>115978</v>
      </c>
      <c r="I60" s="130">
        <v>163920</v>
      </c>
      <c r="J60" s="130">
        <v>118257</v>
      </c>
      <c r="K60" s="130">
        <v>115968</v>
      </c>
      <c r="L60" s="130">
        <v>91152</v>
      </c>
      <c r="M60" s="130">
        <v>67464</v>
      </c>
      <c r="N60" s="130">
        <v>107988</v>
      </c>
      <c r="O60" s="130">
        <v>106668</v>
      </c>
      <c r="P60" s="363">
        <f t="shared" si="9"/>
        <v>134722.91666666666</v>
      </c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4"/>
      <c r="BH60" s="354"/>
      <c r="BI60" s="354"/>
      <c r="BJ60" s="354"/>
      <c r="BK60" s="354"/>
      <c r="BL60" s="354"/>
      <c r="BM60" s="354"/>
      <c r="BN60" s="354"/>
      <c r="BO60" s="354"/>
      <c r="BP60" s="354"/>
      <c r="BQ60" s="354"/>
      <c r="BR60" s="354"/>
      <c r="BS60" s="354"/>
      <c r="BT60" s="354"/>
      <c r="BU60" s="354"/>
      <c r="BV60" s="354"/>
      <c r="BW60" s="354"/>
      <c r="BX60" s="354"/>
      <c r="BY60" s="354"/>
      <c r="BZ60" s="354"/>
      <c r="CA60" s="354"/>
      <c r="CB60" s="354"/>
      <c r="CC60" s="354"/>
      <c r="CD60" s="354"/>
      <c r="CE60" s="354"/>
      <c r="CF60" s="354"/>
      <c r="CG60" s="354"/>
      <c r="CH60" s="354"/>
      <c r="CI60" s="354"/>
      <c r="CJ60" s="354"/>
      <c r="CK60" s="354"/>
      <c r="CL60" s="354"/>
      <c r="CM60" s="354"/>
      <c r="CN60" s="354"/>
      <c r="CO60" s="354"/>
      <c r="CP60" s="354"/>
      <c r="CQ60" s="354"/>
      <c r="CR60" s="354"/>
      <c r="CS60" s="354"/>
      <c r="CT60" s="354"/>
      <c r="CU60" s="354"/>
      <c r="CV60" s="354"/>
      <c r="CW60" s="354"/>
      <c r="CX60" s="354"/>
      <c r="CY60" s="354"/>
      <c r="CZ60" s="354"/>
      <c r="DA60" s="354"/>
      <c r="DB60" s="354"/>
      <c r="DC60" s="354"/>
      <c r="DD60" s="354"/>
      <c r="DE60" s="354"/>
      <c r="DF60" s="354"/>
      <c r="DG60" s="354"/>
      <c r="DH60" s="354"/>
      <c r="DI60" s="354"/>
      <c r="DJ60" s="354"/>
      <c r="DK60" s="354"/>
      <c r="DL60" s="354"/>
      <c r="DM60" s="354"/>
      <c r="DN60" s="354"/>
      <c r="DO60" s="354"/>
      <c r="DP60" s="354"/>
      <c r="DQ60" s="354"/>
      <c r="DR60" s="354"/>
      <c r="DS60" s="354"/>
      <c r="DT60" s="354"/>
      <c r="DU60" s="354"/>
      <c r="DV60" s="354"/>
      <c r="DW60" s="354"/>
      <c r="DX60" s="354"/>
      <c r="DY60" s="354"/>
      <c r="DZ60" s="354"/>
      <c r="EA60" s="354"/>
      <c r="EB60" s="354"/>
      <c r="EC60" s="354"/>
      <c r="ED60" s="354"/>
      <c r="EE60" s="354"/>
      <c r="EF60" s="354"/>
      <c r="EG60" s="354"/>
      <c r="EH60" s="354"/>
      <c r="EI60" s="354"/>
      <c r="EJ60" s="354"/>
      <c r="EK60" s="354"/>
      <c r="EL60" s="354"/>
      <c r="EM60" s="354"/>
      <c r="EN60" s="354"/>
      <c r="EO60" s="354"/>
      <c r="EP60" s="354"/>
      <c r="EQ60" s="354"/>
      <c r="ER60" s="354"/>
      <c r="ES60" s="354"/>
      <c r="ET60" s="354"/>
      <c r="EU60" s="354"/>
      <c r="EV60" s="354"/>
      <c r="EW60" s="354"/>
      <c r="EX60" s="354"/>
      <c r="EY60" s="354"/>
      <c r="EZ60" s="354"/>
      <c r="FA60" s="354"/>
      <c r="FB60" s="354"/>
      <c r="FC60" s="354"/>
      <c r="FD60" s="354"/>
      <c r="FE60" s="354"/>
      <c r="FF60" s="354"/>
      <c r="FG60" s="354"/>
      <c r="FH60" s="354"/>
      <c r="FI60" s="354"/>
      <c r="FJ60" s="354"/>
      <c r="FK60" s="354"/>
      <c r="FL60" s="354"/>
      <c r="FM60" s="354"/>
      <c r="FN60" s="354"/>
      <c r="FO60" s="354"/>
      <c r="FP60" s="354"/>
      <c r="FQ60" s="354"/>
      <c r="FR60" s="354"/>
      <c r="FS60" s="354"/>
      <c r="FT60" s="354"/>
      <c r="FU60" s="354"/>
      <c r="FV60" s="354"/>
      <c r="FW60" s="354"/>
      <c r="FX60" s="354"/>
      <c r="FY60" s="354"/>
      <c r="FZ60" s="354"/>
      <c r="GA60" s="354"/>
      <c r="GB60" s="354"/>
      <c r="GC60" s="354"/>
      <c r="GD60" s="354"/>
      <c r="GE60" s="354"/>
      <c r="GF60" s="354"/>
      <c r="GG60" s="354"/>
      <c r="GH60" s="354"/>
      <c r="GI60" s="354"/>
      <c r="GJ60" s="354"/>
      <c r="GK60" s="354"/>
      <c r="GL60" s="354"/>
      <c r="GM60" s="354"/>
      <c r="GN60" s="354"/>
      <c r="GO60" s="354"/>
      <c r="GP60" s="354"/>
      <c r="GQ60" s="354"/>
      <c r="GR60" s="354"/>
      <c r="GS60" s="354"/>
      <c r="GT60" s="354"/>
      <c r="GU60" s="354"/>
      <c r="GV60" s="354"/>
      <c r="GW60" s="354"/>
      <c r="GX60" s="354"/>
      <c r="GY60" s="354"/>
      <c r="GZ60" s="354"/>
      <c r="HA60" s="354"/>
      <c r="HB60" s="354"/>
      <c r="HC60" s="354"/>
      <c r="HD60" s="354"/>
      <c r="HE60" s="354"/>
      <c r="HF60" s="354"/>
      <c r="HG60" s="354"/>
      <c r="HH60" s="354"/>
      <c r="HI60" s="354"/>
      <c r="HJ60" s="354"/>
      <c r="HK60" s="354"/>
      <c r="HL60" s="354"/>
      <c r="HM60" s="354"/>
      <c r="HN60" s="354"/>
      <c r="HO60" s="354"/>
      <c r="HP60" s="354"/>
      <c r="HQ60" s="354"/>
      <c r="HR60" s="354"/>
      <c r="HS60" s="354"/>
      <c r="HT60" s="354"/>
      <c r="HU60" s="354"/>
      <c r="HV60" s="354"/>
      <c r="HW60" s="354"/>
      <c r="HX60" s="354"/>
      <c r="HY60" s="354"/>
      <c r="HZ60" s="354"/>
      <c r="IA60" s="354"/>
      <c r="IB60" s="354"/>
      <c r="IC60" s="354"/>
      <c r="ID60" s="354"/>
      <c r="IE60" s="354"/>
      <c r="IF60" s="354"/>
    </row>
    <row r="61" spans="1:240" ht="13.5">
      <c r="A61" s="126"/>
      <c r="B61" s="254"/>
      <c r="C61" s="134" t="s">
        <v>33</v>
      </c>
      <c r="D61" s="130">
        <v>0</v>
      </c>
      <c r="E61" s="130">
        <v>0</v>
      </c>
      <c r="F61" s="130">
        <v>0</v>
      </c>
      <c r="G61" s="130">
        <v>0</v>
      </c>
      <c r="H61" s="130">
        <v>0</v>
      </c>
      <c r="I61" s="130">
        <v>0</v>
      </c>
      <c r="J61" s="130">
        <v>0</v>
      </c>
      <c r="K61" s="130">
        <v>0</v>
      </c>
      <c r="L61" s="130">
        <v>0</v>
      </c>
      <c r="M61" s="130">
        <v>0</v>
      </c>
      <c r="N61" s="130">
        <v>0</v>
      </c>
      <c r="O61" s="130">
        <v>0</v>
      </c>
      <c r="P61" s="363">
        <f t="shared" si="9"/>
        <v>0</v>
      </c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4"/>
      <c r="BH61" s="354"/>
      <c r="BI61" s="354"/>
      <c r="BJ61" s="354"/>
      <c r="BK61" s="354"/>
      <c r="BL61" s="354"/>
      <c r="BM61" s="354"/>
      <c r="BN61" s="354"/>
      <c r="BO61" s="354"/>
      <c r="BP61" s="354"/>
      <c r="BQ61" s="354"/>
      <c r="BR61" s="354"/>
      <c r="BS61" s="354"/>
      <c r="BT61" s="354"/>
      <c r="BU61" s="354"/>
      <c r="BV61" s="354"/>
      <c r="BW61" s="354"/>
      <c r="BX61" s="354"/>
      <c r="BY61" s="354"/>
      <c r="BZ61" s="354"/>
      <c r="CA61" s="354"/>
      <c r="CB61" s="354"/>
      <c r="CC61" s="354"/>
      <c r="CD61" s="354"/>
      <c r="CE61" s="354"/>
      <c r="CF61" s="354"/>
      <c r="CG61" s="354"/>
      <c r="CH61" s="354"/>
      <c r="CI61" s="354"/>
      <c r="CJ61" s="354"/>
      <c r="CK61" s="354"/>
      <c r="CL61" s="354"/>
      <c r="CM61" s="354"/>
      <c r="CN61" s="354"/>
      <c r="CO61" s="354"/>
      <c r="CP61" s="354"/>
      <c r="CQ61" s="354"/>
      <c r="CR61" s="354"/>
      <c r="CS61" s="354"/>
      <c r="CT61" s="354"/>
      <c r="CU61" s="354"/>
      <c r="CV61" s="354"/>
      <c r="CW61" s="354"/>
      <c r="CX61" s="354"/>
      <c r="CY61" s="354"/>
      <c r="CZ61" s="354"/>
      <c r="DA61" s="354"/>
      <c r="DB61" s="354"/>
      <c r="DC61" s="354"/>
      <c r="DD61" s="354"/>
      <c r="DE61" s="354"/>
      <c r="DF61" s="354"/>
      <c r="DG61" s="354"/>
      <c r="DH61" s="354"/>
      <c r="DI61" s="354"/>
      <c r="DJ61" s="354"/>
      <c r="DK61" s="354"/>
      <c r="DL61" s="354"/>
      <c r="DM61" s="354"/>
      <c r="DN61" s="354"/>
      <c r="DO61" s="354"/>
      <c r="DP61" s="354"/>
      <c r="DQ61" s="354"/>
      <c r="DR61" s="354"/>
      <c r="DS61" s="354"/>
      <c r="DT61" s="354"/>
      <c r="DU61" s="354"/>
      <c r="DV61" s="354"/>
      <c r="DW61" s="354"/>
      <c r="DX61" s="354"/>
      <c r="DY61" s="354"/>
      <c r="DZ61" s="354"/>
      <c r="EA61" s="354"/>
      <c r="EB61" s="354"/>
      <c r="EC61" s="354"/>
      <c r="ED61" s="354"/>
      <c r="EE61" s="354"/>
      <c r="EF61" s="354"/>
      <c r="EG61" s="354"/>
      <c r="EH61" s="354"/>
      <c r="EI61" s="354"/>
      <c r="EJ61" s="354"/>
      <c r="EK61" s="354"/>
      <c r="EL61" s="354"/>
      <c r="EM61" s="354"/>
      <c r="EN61" s="354"/>
      <c r="EO61" s="354"/>
      <c r="EP61" s="354"/>
      <c r="EQ61" s="354"/>
      <c r="ER61" s="354"/>
      <c r="ES61" s="354"/>
      <c r="ET61" s="354"/>
      <c r="EU61" s="354"/>
      <c r="EV61" s="354"/>
      <c r="EW61" s="354"/>
      <c r="EX61" s="354"/>
      <c r="EY61" s="354"/>
      <c r="EZ61" s="354"/>
      <c r="FA61" s="354"/>
      <c r="FB61" s="354"/>
      <c r="FC61" s="354"/>
      <c r="FD61" s="354"/>
      <c r="FE61" s="354"/>
      <c r="FF61" s="354"/>
      <c r="FG61" s="354"/>
      <c r="FH61" s="354"/>
      <c r="FI61" s="354"/>
      <c r="FJ61" s="354"/>
      <c r="FK61" s="354"/>
      <c r="FL61" s="354"/>
      <c r="FM61" s="354"/>
      <c r="FN61" s="354"/>
      <c r="FO61" s="354"/>
      <c r="FP61" s="354"/>
      <c r="FQ61" s="354"/>
      <c r="FR61" s="354"/>
      <c r="FS61" s="354"/>
      <c r="FT61" s="354"/>
      <c r="FU61" s="354"/>
      <c r="FV61" s="354"/>
      <c r="FW61" s="354"/>
      <c r="FX61" s="354"/>
      <c r="FY61" s="354"/>
      <c r="FZ61" s="354"/>
      <c r="GA61" s="354"/>
      <c r="GB61" s="354"/>
      <c r="GC61" s="354"/>
      <c r="GD61" s="354"/>
      <c r="GE61" s="354"/>
      <c r="GF61" s="354"/>
      <c r="GG61" s="354"/>
      <c r="GH61" s="354"/>
      <c r="GI61" s="354"/>
      <c r="GJ61" s="354"/>
      <c r="GK61" s="354"/>
      <c r="GL61" s="354"/>
      <c r="GM61" s="354"/>
      <c r="GN61" s="354"/>
      <c r="GO61" s="354"/>
      <c r="GP61" s="354"/>
      <c r="GQ61" s="354"/>
      <c r="GR61" s="354"/>
      <c r="GS61" s="354"/>
      <c r="GT61" s="354"/>
      <c r="GU61" s="354"/>
      <c r="GV61" s="354"/>
      <c r="GW61" s="354"/>
      <c r="GX61" s="354"/>
      <c r="GY61" s="354"/>
      <c r="GZ61" s="354"/>
      <c r="HA61" s="354"/>
      <c r="HB61" s="354"/>
      <c r="HC61" s="354"/>
      <c r="HD61" s="354"/>
      <c r="HE61" s="354"/>
      <c r="HF61" s="354"/>
      <c r="HG61" s="354"/>
      <c r="HH61" s="354"/>
      <c r="HI61" s="354"/>
      <c r="HJ61" s="354"/>
      <c r="HK61" s="354"/>
      <c r="HL61" s="354"/>
      <c r="HM61" s="354"/>
      <c r="HN61" s="354"/>
      <c r="HO61" s="354"/>
      <c r="HP61" s="354"/>
      <c r="HQ61" s="354"/>
      <c r="HR61" s="354"/>
      <c r="HS61" s="354"/>
      <c r="HT61" s="354"/>
      <c r="HU61" s="354"/>
      <c r="HV61" s="354"/>
      <c r="HW61" s="354"/>
      <c r="HX61" s="354"/>
      <c r="HY61" s="354"/>
      <c r="HZ61" s="354"/>
      <c r="IA61" s="354"/>
      <c r="IB61" s="354"/>
      <c r="IC61" s="354"/>
      <c r="ID61" s="354"/>
      <c r="IE61" s="354"/>
      <c r="IF61" s="354"/>
    </row>
    <row r="62" spans="1:240" ht="13.5">
      <c r="A62" s="126"/>
      <c r="B62" s="254"/>
      <c r="C62" s="233" t="s">
        <v>34</v>
      </c>
      <c r="D62" s="130">
        <v>0</v>
      </c>
      <c r="E62" s="130">
        <v>0</v>
      </c>
      <c r="F62" s="130">
        <v>0</v>
      </c>
      <c r="G62" s="130">
        <v>0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363">
        <f>AVERAGE(D62:O62)</f>
        <v>0</v>
      </c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4"/>
      <c r="AL62" s="354"/>
      <c r="AM62" s="354"/>
      <c r="AN62" s="354"/>
      <c r="AO62" s="354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4"/>
      <c r="BH62" s="354"/>
      <c r="BI62" s="354"/>
      <c r="BJ62" s="354"/>
      <c r="BK62" s="354"/>
      <c r="BL62" s="354"/>
      <c r="BM62" s="354"/>
      <c r="BN62" s="354"/>
      <c r="BO62" s="354"/>
      <c r="BP62" s="354"/>
      <c r="BQ62" s="354"/>
      <c r="BR62" s="354"/>
      <c r="BS62" s="354"/>
      <c r="BT62" s="354"/>
      <c r="BU62" s="354"/>
      <c r="BV62" s="354"/>
      <c r="BW62" s="354"/>
      <c r="BX62" s="354"/>
      <c r="BY62" s="354"/>
      <c r="BZ62" s="354"/>
      <c r="CA62" s="354"/>
      <c r="CB62" s="354"/>
      <c r="CC62" s="354"/>
      <c r="CD62" s="354"/>
      <c r="CE62" s="354"/>
      <c r="CF62" s="354"/>
      <c r="CG62" s="354"/>
      <c r="CH62" s="354"/>
      <c r="CI62" s="354"/>
      <c r="CJ62" s="354"/>
      <c r="CK62" s="354"/>
      <c r="CL62" s="354"/>
      <c r="CM62" s="354"/>
      <c r="CN62" s="354"/>
      <c r="CO62" s="354"/>
      <c r="CP62" s="354"/>
      <c r="CQ62" s="354"/>
      <c r="CR62" s="354"/>
      <c r="CS62" s="354"/>
      <c r="CT62" s="354"/>
      <c r="CU62" s="354"/>
      <c r="CV62" s="354"/>
      <c r="CW62" s="354"/>
      <c r="CX62" s="354"/>
      <c r="CY62" s="354"/>
      <c r="CZ62" s="354"/>
      <c r="DA62" s="354"/>
      <c r="DB62" s="354"/>
      <c r="DC62" s="354"/>
      <c r="DD62" s="354"/>
      <c r="DE62" s="354"/>
      <c r="DF62" s="354"/>
      <c r="DG62" s="354"/>
      <c r="DH62" s="354"/>
      <c r="DI62" s="354"/>
      <c r="DJ62" s="354"/>
      <c r="DK62" s="354"/>
      <c r="DL62" s="354"/>
      <c r="DM62" s="354"/>
      <c r="DN62" s="354"/>
      <c r="DO62" s="354"/>
      <c r="DP62" s="354"/>
      <c r="DQ62" s="354"/>
      <c r="DR62" s="354"/>
      <c r="DS62" s="354"/>
      <c r="DT62" s="354"/>
      <c r="DU62" s="354"/>
      <c r="DV62" s="354"/>
      <c r="DW62" s="354"/>
      <c r="DX62" s="354"/>
      <c r="DY62" s="354"/>
      <c r="DZ62" s="354"/>
      <c r="EA62" s="354"/>
      <c r="EB62" s="354"/>
      <c r="EC62" s="354"/>
      <c r="ED62" s="354"/>
      <c r="EE62" s="354"/>
      <c r="EF62" s="354"/>
      <c r="EG62" s="354"/>
      <c r="EH62" s="354"/>
      <c r="EI62" s="354"/>
      <c r="EJ62" s="354"/>
      <c r="EK62" s="354"/>
      <c r="EL62" s="354"/>
      <c r="EM62" s="354"/>
      <c r="EN62" s="354"/>
      <c r="EO62" s="354"/>
      <c r="EP62" s="354"/>
      <c r="EQ62" s="354"/>
      <c r="ER62" s="354"/>
      <c r="ES62" s="354"/>
      <c r="ET62" s="354"/>
      <c r="EU62" s="354"/>
      <c r="EV62" s="354"/>
      <c r="EW62" s="354"/>
      <c r="EX62" s="354"/>
      <c r="EY62" s="354"/>
      <c r="EZ62" s="354"/>
      <c r="FA62" s="354"/>
      <c r="FB62" s="354"/>
      <c r="FC62" s="354"/>
      <c r="FD62" s="354"/>
      <c r="FE62" s="354"/>
      <c r="FF62" s="354"/>
      <c r="FG62" s="354"/>
      <c r="FH62" s="354"/>
      <c r="FI62" s="354"/>
      <c r="FJ62" s="354"/>
      <c r="FK62" s="354"/>
      <c r="FL62" s="354"/>
      <c r="FM62" s="354"/>
      <c r="FN62" s="354"/>
      <c r="FO62" s="354"/>
      <c r="FP62" s="354"/>
      <c r="FQ62" s="354"/>
      <c r="FR62" s="354"/>
      <c r="FS62" s="354"/>
      <c r="FT62" s="354"/>
      <c r="FU62" s="354"/>
      <c r="FV62" s="354"/>
      <c r="FW62" s="354"/>
      <c r="FX62" s="354"/>
      <c r="FY62" s="354"/>
      <c r="FZ62" s="354"/>
      <c r="GA62" s="354"/>
      <c r="GB62" s="354"/>
      <c r="GC62" s="354"/>
      <c r="GD62" s="354"/>
      <c r="GE62" s="354"/>
      <c r="GF62" s="354"/>
      <c r="GG62" s="354"/>
      <c r="GH62" s="354"/>
      <c r="GI62" s="354"/>
      <c r="GJ62" s="354"/>
      <c r="GK62" s="354"/>
      <c r="GL62" s="354"/>
      <c r="GM62" s="354"/>
      <c r="GN62" s="354"/>
      <c r="GO62" s="354"/>
      <c r="GP62" s="354"/>
      <c r="GQ62" s="354"/>
      <c r="GR62" s="354"/>
      <c r="GS62" s="354"/>
      <c r="GT62" s="354"/>
      <c r="GU62" s="354"/>
      <c r="GV62" s="354"/>
      <c r="GW62" s="354"/>
      <c r="GX62" s="354"/>
      <c r="GY62" s="354"/>
      <c r="GZ62" s="354"/>
      <c r="HA62" s="354"/>
      <c r="HB62" s="354"/>
      <c r="HC62" s="354"/>
      <c r="HD62" s="354"/>
      <c r="HE62" s="354"/>
      <c r="HF62" s="354"/>
      <c r="HG62" s="354"/>
      <c r="HH62" s="354"/>
      <c r="HI62" s="354"/>
      <c r="HJ62" s="354"/>
      <c r="HK62" s="354"/>
      <c r="HL62" s="354"/>
      <c r="HM62" s="354"/>
      <c r="HN62" s="354"/>
      <c r="HO62" s="354"/>
      <c r="HP62" s="354"/>
      <c r="HQ62" s="354"/>
      <c r="HR62" s="354"/>
      <c r="HS62" s="354"/>
      <c r="HT62" s="354"/>
      <c r="HU62" s="354"/>
      <c r="HV62" s="354"/>
      <c r="HW62" s="354"/>
      <c r="HX62" s="354"/>
      <c r="HY62" s="354"/>
      <c r="HZ62" s="354"/>
      <c r="IA62" s="354"/>
      <c r="IB62" s="354"/>
      <c r="IC62" s="354"/>
      <c r="ID62" s="354"/>
      <c r="IE62" s="354"/>
      <c r="IF62" s="354"/>
    </row>
    <row r="63" spans="1:240" ht="14.25" customHeight="1" thickBot="1">
      <c r="A63" s="126"/>
      <c r="B63" s="355"/>
      <c r="C63" s="134" t="s">
        <v>35</v>
      </c>
      <c r="D63" s="130">
        <v>4802566</v>
      </c>
      <c r="E63" s="130">
        <v>5405462</v>
      </c>
      <c r="F63" s="130">
        <v>6546163</v>
      </c>
      <c r="G63" s="130">
        <v>7753957</v>
      </c>
      <c r="H63" s="130">
        <v>10222320</v>
      </c>
      <c r="I63" s="130">
        <v>8954402</v>
      </c>
      <c r="J63" s="130">
        <v>7883639</v>
      </c>
      <c r="K63" s="130">
        <v>7699144</v>
      </c>
      <c r="L63" s="130">
        <v>6630190</v>
      </c>
      <c r="M63" s="130">
        <v>6066507</v>
      </c>
      <c r="N63" s="130">
        <v>6165641</v>
      </c>
      <c r="O63" s="130">
        <v>597482</v>
      </c>
      <c r="P63" s="363">
        <f t="shared" si="9"/>
        <v>6560622.75</v>
      </c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  <c r="CD63" s="354"/>
      <c r="CE63" s="354"/>
      <c r="CF63" s="354"/>
      <c r="CG63" s="354"/>
      <c r="CH63" s="354"/>
      <c r="CI63" s="354"/>
      <c r="CJ63" s="354"/>
      <c r="CK63" s="354"/>
      <c r="CL63" s="354"/>
      <c r="CM63" s="354"/>
      <c r="CN63" s="354"/>
      <c r="CO63" s="354"/>
      <c r="CP63" s="354"/>
      <c r="CQ63" s="354"/>
      <c r="CR63" s="354"/>
      <c r="CS63" s="354"/>
      <c r="CT63" s="354"/>
      <c r="CU63" s="354"/>
      <c r="CV63" s="354"/>
      <c r="CW63" s="354"/>
      <c r="CX63" s="354"/>
      <c r="CY63" s="354"/>
      <c r="CZ63" s="354"/>
      <c r="DA63" s="354"/>
      <c r="DB63" s="354"/>
      <c r="DC63" s="354"/>
      <c r="DD63" s="354"/>
      <c r="DE63" s="354"/>
      <c r="DF63" s="354"/>
      <c r="DG63" s="354"/>
      <c r="DH63" s="354"/>
      <c r="DI63" s="354"/>
      <c r="DJ63" s="354"/>
      <c r="DK63" s="354"/>
      <c r="DL63" s="354"/>
      <c r="DM63" s="354"/>
      <c r="DN63" s="354"/>
      <c r="DO63" s="354"/>
      <c r="DP63" s="354"/>
      <c r="DQ63" s="354"/>
      <c r="DR63" s="354"/>
      <c r="DS63" s="354"/>
      <c r="DT63" s="354"/>
      <c r="DU63" s="354"/>
      <c r="DV63" s="354"/>
      <c r="DW63" s="354"/>
      <c r="DX63" s="354"/>
      <c r="DY63" s="354"/>
      <c r="DZ63" s="354"/>
      <c r="EA63" s="354"/>
      <c r="EB63" s="354"/>
      <c r="EC63" s="354"/>
      <c r="ED63" s="354"/>
      <c r="EE63" s="354"/>
      <c r="EF63" s="354"/>
      <c r="EG63" s="354"/>
      <c r="EH63" s="354"/>
      <c r="EI63" s="354"/>
      <c r="EJ63" s="354"/>
      <c r="EK63" s="354"/>
      <c r="EL63" s="354"/>
      <c r="EM63" s="354"/>
      <c r="EN63" s="354"/>
      <c r="EO63" s="354"/>
      <c r="EP63" s="354"/>
      <c r="EQ63" s="354"/>
      <c r="ER63" s="354"/>
      <c r="ES63" s="354"/>
      <c r="ET63" s="354"/>
      <c r="EU63" s="354"/>
      <c r="EV63" s="354"/>
      <c r="EW63" s="354"/>
      <c r="EX63" s="354"/>
      <c r="EY63" s="354"/>
      <c r="EZ63" s="354"/>
      <c r="FA63" s="354"/>
      <c r="FB63" s="354"/>
      <c r="FC63" s="354"/>
      <c r="FD63" s="354"/>
      <c r="FE63" s="354"/>
      <c r="FF63" s="354"/>
      <c r="FG63" s="354"/>
      <c r="FH63" s="354"/>
      <c r="FI63" s="354"/>
      <c r="FJ63" s="354"/>
      <c r="FK63" s="354"/>
      <c r="FL63" s="354"/>
      <c r="FM63" s="354"/>
      <c r="FN63" s="354"/>
      <c r="FO63" s="354"/>
      <c r="FP63" s="354"/>
      <c r="FQ63" s="354"/>
      <c r="FR63" s="354"/>
      <c r="FS63" s="354"/>
      <c r="FT63" s="354"/>
      <c r="FU63" s="354"/>
      <c r="FV63" s="354"/>
      <c r="FW63" s="354"/>
      <c r="FX63" s="354"/>
      <c r="FY63" s="354"/>
      <c r="FZ63" s="354"/>
      <c r="GA63" s="354"/>
      <c r="GB63" s="354"/>
      <c r="GC63" s="354"/>
      <c r="GD63" s="354"/>
      <c r="GE63" s="354"/>
      <c r="GF63" s="354"/>
      <c r="GG63" s="354"/>
      <c r="GH63" s="354"/>
      <c r="GI63" s="354"/>
      <c r="GJ63" s="354"/>
      <c r="GK63" s="354"/>
      <c r="GL63" s="354"/>
      <c r="GM63" s="354"/>
      <c r="GN63" s="354"/>
      <c r="GO63" s="354"/>
      <c r="GP63" s="354"/>
      <c r="GQ63" s="354"/>
      <c r="GR63" s="354"/>
      <c r="GS63" s="354"/>
      <c r="GT63" s="354"/>
      <c r="GU63" s="354"/>
      <c r="GV63" s="354"/>
      <c r="GW63" s="354"/>
      <c r="GX63" s="354"/>
      <c r="GY63" s="354"/>
      <c r="GZ63" s="354"/>
      <c r="HA63" s="354"/>
      <c r="HB63" s="354"/>
      <c r="HC63" s="354"/>
      <c r="HD63" s="354"/>
      <c r="HE63" s="354"/>
      <c r="HF63" s="354"/>
      <c r="HG63" s="354"/>
      <c r="HH63" s="354"/>
      <c r="HI63" s="354"/>
      <c r="HJ63" s="354"/>
      <c r="HK63" s="354"/>
      <c r="HL63" s="354"/>
      <c r="HM63" s="354"/>
      <c r="HN63" s="354"/>
      <c r="HO63" s="354"/>
      <c r="HP63" s="354"/>
      <c r="HQ63" s="354"/>
      <c r="HR63" s="354"/>
      <c r="HS63" s="354"/>
      <c r="HT63" s="354"/>
      <c r="HU63" s="354"/>
      <c r="HV63" s="354"/>
      <c r="HW63" s="354"/>
      <c r="HX63" s="354"/>
      <c r="HY63" s="354"/>
      <c r="HZ63" s="354"/>
      <c r="IA63" s="354"/>
      <c r="IB63" s="354"/>
      <c r="IC63" s="354"/>
      <c r="ID63" s="354"/>
      <c r="IE63" s="354"/>
      <c r="IF63" s="354"/>
    </row>
    <row r="64" spans="1:240" ht="14.25" customHeight="1">
      <c r="A64" s="659" t="s">
        <v>36</v>
      </c>
      <c r="B64" s="660"/>
      <c r="C64" s="356" t="s">
        <v>37</v>
      </c>
      <c r="D64" s="364">
        <v>1605674</v>
      </c>
      <c r="E64" s="364">
        <v>1609870</v>
      </c>
      <c r="F64" s="357">
        <v>1605674</v>
      </c>
      <c r="G64" s="358">
        <v>1605674</v>
      </c>
      <c r="H64" s="358">
        <v>1641175</v>
      </c>
      <c r="I64" s="358">
        <v>3712</v>
      </c>
      <c r="J64" s="358">
        <v>0</v>
      </c>
      <c r="K64" s="358">
        <v>0</v>
      </c>
      <c r="L64" s="358">
        <v>0</v>
      </c>
      <c r="M64" s="358">
        <v>111323</v>
      </c>
      <c r="N64" s="358">
        <v>78556</v>
      </c>
      <c r="O64" s="358">
        <v>86503</v>
      </c>
      <c r="P64" s="365">
        <f t="shared" si="9"/>
        <v>695680.08333333337</v>
      </c>
    </row>
    <row r="65" spans="1:240" ht="13.5">
      <c r="A65" s="661"/>
      <c r="B65" s="662"/>
      <c r="C65" s="139" t="s">
        <v>38</v>
      </c>
      <c r="D65" s="358">
        <v>0</v>
      </c>
      <c r="E65" s="358">
        <v>0</v>
      </c>
      <c r="F65" s="358">
        <v>0</v>
      </c>
      <c r="G65" s="358">
        <v>0</v>
      </c>
      <c r="H65" s="358">
        <v>0</v>
      </c>
      <c r="I65" s="358">
        <v>0</v>
      </c>
      <c r="J65" s="358">
        <v>0</v>
      </c>
      <c r="K65" s="358">
        <v>0</v>
      </c>
      <c r="L65" s="358">
        <v>0</v>
      </c>
      <c r="M65" s="358">
        <v>0</v>
      </c>
      <c r="N65" s="358">
        <v>0</v>
      </c>
      <c r="O65" s="358">
        <v>0</v>
      </c>
      <c r="P65" s="363">
        <f t="shared" si="9"/>
        <v>0</v>
      </c>
    </row>
    <row r="66" spans="1:240" ht="13.5">
      <c r="A66" s="661"/>
      <c r="B66" s="662"/>
      <c r="C66" s="239" t="s">
        <v>39</v>
      </c>
      <c r="D66" s="358">
        <v>0</v>
      </c>
      <c r="E66" s="358">
        <v>0</v>
      </c>
      <c r="F66" s="358">
        <v>0</v>
      </c>
      <c r="G66" s="358">
        <v>0</v>
      </c>
      <c r="H66" s="358">
        <v>0</v>
      </c>
      <c r="I66" s="358">
        <v>0</v>
      </c>
      <c r="J66" s="358">
        <v>0</v>
      </c>
      <c r="K66" s="358">
        <v>0</v>
      </c>
      <c r="L66" s="358">
        <v>0</v>
      </c>
      <c r="M66" s="358">
        <v>0</v>
      </c>
      <c r="N66" s="358">
        <v>0</v>
      </c>
      <c r="O66" s="358">
        <v>0</v>
      </c>
      <c r="P66" s="363">
        <f t="shared" si="9"/>
        <v>0</v>
      </c>
    </row>
    <row r="67" spans="1:240" ht="14.1" thickBot="1">
      <c r="A67" s="663"/>
      <c r="B67" s="664"/>
      <c r="C67" s="146" t="s">
        <v>40</v>
      </c>
      <c r="D67" s="361">
        <v>0</v>
      </c>
      <c r="E67" s="361">
        <v>0</v>
      </c>
      <c r="F67" s="361">
        <v>0</v>
      </c>
      <c r="G67" s="361">
        <v>0</v>
      </c>
      <c r="H67" s="361">
        <v>0</v>
      </c>
      <c r="I67" s="361">
        <v>0</v>
      </c>
      <c r="J67" s="361">
        <v>0</v>
      </c>
      <c r="K67" s="361">
        <v>0</v>
      </c>
      <c r="L67" s="361">
        <v>0</v>
      </c>
      <c r="M67" s="361">
        <v>0</v>
      </c>
      <c r="N67" s="361">
        <v>0</v>
      </c>
      <c r="O67" s="361">
        <v>0</v>
      </c>
      <c r="P67" s="363">
        <f t="shared" si="9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671" t="s">
        <v>1</v>
      </c>
      <c r="B70" s="672"/>
      <c r="C70" s="672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673" t="s">
        <v>9</v>
      </c>
      <c r="B71" s="674"/>
      <c r="C71" s="675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7"/>
      <c r="P71" s="368" t="e">
        <f t="shared" ref="P71:P94" si="10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669" t="s">
        <v>10</v>
      </c>
      <c r="C72" s="670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71" t="e">
        <f t="shared" si="10"/>
        <v>#DIV/0!</v>
      </c>
    </row>
    <row r="73" spans="1:240" ht="13.5" hidden="1" customHeight="1">
      <c r="A73" s="126"/>
      <c r="B73" s="127"/>
      <c r="C73" s="128" t="s">
        <v>11</v>
      </c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74" t="e">
        <f t="shared" si="10"/>
        <v>#DIV/0!</v>
      </c>
    </row>
    <row r="74" spans="1:240" ht="13.5" hidden="1" customHeight="1">
      <c r="A74" s="126"/>
      <c r="B74" s="127"/>
      <c r="C74" s="128" t="s">
        <v>12</v>
      </c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74" t="e">
        <f t="shared" si="10"/>
        <v>#DIV/0!</v>
      </c>
    </row>
    <row r="75" spans="1:240" ht="13.5" hidden="1" customHeight="1">
      <c r="A75" s="126"/>
      <c r="B75" s="127"/>
      <c r="C75" s="128" t="s">
        <v>13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3"/>
      <c r="P75" s="374" t="e">
        <f t="shared" si="10"/>
        <v>#DIV/0!</v>
      </c>
    </row>
    <row r="76" spans="1:240" ht="13.5" hidden="1" customHeight="1">
      <c r="A76" s="126"/>
      <c r="B76" s="127"/>
      <c r="C76" s="128" t="s">
        <v>14</v>
      </c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3"/>
      <c r="P76" s="374" t="e">
        <f t="shared" si="10"/>
        <v>#DIV/0!</v>
      </c>
    </row>
    <row r="77" spans="1:240" ht="13.5" hidden="1" customHeight="1">
      <c r="A77" s="126"/>
      <c r="B77" s="127"/>
      <c r="C77" s="128" t="s">
        <v>15</v>
      </c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3"/>
      <c r="P77" s="374" t="e">
        <f t="shared" si="10"/>
        <v>#DIV/0!</v>
      </c>
    </row>
    <row r="78" spans="1:240" ht="12.75" hidden="1" customHeight="1">
      <c r="A78" s="126"/>
      <c r="B78" s="132"/>
      <c r="C78" s="128" t="s">
        <v>16</v>
      </c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74" t="e">
        <f t="shared" si="10"/>
        <v>#DIV/0!</v>
      </c>
    </row>
    <row r="79" spans="1:240" ht="14.1" hidden="1" customHeight="1" thickBot="1">
      <c r="A79" s="126"/>
      <c r="B79" s="676" t="s">
        <v>17</v>
      </c>
      <c r="C79" s="678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6"/>
      <c r="P79" s="377" t="e">
        <f t="shared" si="10"/>
        <v>#DIV/0!</v>
      </c>
    </row>
    <row r="80" spans="1:240" ht="13.5" hidden="1" customHeight="1">
      <c r="A80" s="126"/>
      <c r="B80" s="254"/>
      <c r="C80" s="173" t="s">
        <v>18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9"/>
      <c r="P80" s="380" t="e">
        <f t="shared" si="10"/>
        <v>#DIV/0!</v>
      </c>
    </row>
    <row r="81" spans="1:240" ht="13.5" hidden="1" customHeight="1">
      <c r="A81" s="126"/>
      <c r="B81" s="127"/>
      <c r="C81" s="134" t="s">
        <v>19</v>
      </c>
      <c r="D81" s="381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3"/>
      <c r="P81" s="380" t="e">
        <f t="shared" si="10"/>
        <v>#DIV/0!</v>
      </c>
    </row>
    <row r="82" spans="1:240" s="198" customFormat="1" ht="13.5" hidden="1" customHeight="1">
      <c r="A82" s="126"/>
      <c r="B82" s="127"/>
      <c r="C82" s="255" t="s">
        <v>20</v>
      </c>
      <c r="D82" s="381"/>
      <c r="E82" s="372"/>
      <c r="F82" s="372"/>
      <c r="G82" s="372"/>
      <c r="H82" s="372"/>
      <c r="I82" s="372"/>
      <c r="J82" s="372"/>
      <c r="K82" s="372"/>
      <c r="L82" s="372"/>
      <c r="M82" s="372"/>
      <c r="N82" s="373"/>
      <c r="O82" s="373"/>
      <c r="P82" s="380" t="e">
        <f t="shared" si="10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669" t="s">
        <v>22</v>
      </c>
      <c r="C83" s="670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70"/>
      <c r="O83" s="370"/>
      <c r="P83" s="371" t="e">
        <f t="shared" si="10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74" t="e">
        <f t="shared" si="10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3"/>
      <c r="O85" s="373"/>
      <c r="P85" s="374" t="e">
        <f t="shared" si="10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3"/>
      <c r="O86" s="373"/>
      <c r="P86" s="374" t="e">
        <f t="shared" si="10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3"/>
      <c r="O87" s="373"/>
      <c r="P87" s="374" t="e">
        <f t="shared" si="10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3"/>
      <c r="O88" s="373"/>
      <c r="P88" s="374" t="e">
        <f t="shared" si="10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3"/>
      <c r="O89" s="373"/>
      <c r="P89" s="374" t="e">
        <f t="shared" si="10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74" t="e">
        <f t="shared" si="10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659" t="s">
        <v>36</v>
      </c>
      <c r="B91" s="660"/>
      <c r="C91" s="139" t="s">
        <v>37</v>
      </c>
      <c r="D91" s="382"/>
      <c r="E91" s="382"/>
      <c r="F91" s="382"/>
      <c r="G91" s="383"/>
      <c r="H91" s="383"/>
      <c r="I91" s="383"/>
      <c r="J91" s="383"/>
      <c r="K91" s="383"/>
      <c r="L91" s="383"/>
      <c r="M91" s="383"/>
      <c r="N91" s="384"/>
      <c r="O91" s="384"/>
      <c r="P91" s="385" t="e">
        <f t="shared" si="10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661"/>
      <c r="B92" s="662"/>
      <c r="C92" s="139" t="s">
        <v>38</v>
      </c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7"/>
      <c r="O92" s="387"/>
      <c r="P92" s="388" t="e">
        <f t="shared" si="10"/>
        <v>#DIV/0!</v>
      </c>
    </row>
    <row r="93" spans="1:240" ht="13.5" hidden="1" customHeight="1">
      <c r="A93" s="661"/>
      <c r="B93" s="662"/>
      <c r="C93" s="239" t="s">
        <v>39</v>
      </c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90"/>
      <c r="O93" s="390"/>
      <c r="P93" s="391" t="e">
        <f t="shared" si="10"/>
        <v>#DIV/0!</v>
      </c>
    </row>
    <row r="94" spans="1:240" ht="14.1" hidden="1" customHeight="1" thickBot="1">
      <c r="A94" s="663"/>
      <c r="B94" s="664"/>
      <c r="C94" s="146" t="s">
        <v>40</v>
      </c>
      <c r="D94" s="392"/>
      <c r="E94" s="393"/>
      <c r="F94" s="392"/>
      <c r="G94" s="392"/>
      <c r="H94" s="392"/>
      <c r="I94" s="392"/>
      <c r="J94" s="392"/>
      <c r="K94" s="392"/>
      <c r="L94" s="392"/>
      <c r="M94" s="392"/>
      <c r="N94" s="393"/>
      <c r="O94" s="393"/>
      <c r="P94" s="394" t="e">
        <f t="shared" si="10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671" t="s">
        <v>1</v>
      </c>
      <c r="B97" s="672"/>
      <c r="C97" s="672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679" t="s">
        <v>11</v>
      </c>
      <c r="B98" s="680"/>
      <c r="C98" s="680"/>
      <c r="D98" s="187" t="s">
        <v>286</v>
      </c>
      <c r="E98" s="187" t="s">
        <v>287</v>
      </c>
      <c r="F98" s="187" t="s">
        <v>288</v>
      </c>
      <c r="G98" s="187" t="s">
        <v>288</v>
      </c>
      <c r="H98" s="187" t="s">
        <v>286</v>
      </c>
      <c r="I98" s="187" t="s">
        <v>289</v>
      </c>
      <c r="J98" s="187" t="s">
        <v>290</v>
      </c>
      <c r="K98" s="187" t="s">
        <v>289</v>
      </c>
      <c r="L98" s="187" t="s">
        <v>290</v>
      </c>
      <c r="M98" s="187" t="s">
        <v>289</v>
      </c>
      <c r="N98" s="187" t="s">
        <v>289</v>
      </c>
      <c r="O98" s="395">
        <v>98</v>
      </c>
      <c r="P98" s="395">
        <f>AVERAGE(D98:O98)</f>
        <v>98</v>
      </c>
    </row>
    <row r="99" spans="1:18" ht="13.5">
      <c r="A99" s="667" t="s">
        <v>12</v>
      </c>
      <c r="B99" s="668"/>
      <c r="C99" s="668"/>
      <c r="D99" s="187" t="s">
        <v>291</v>
      </c>
      <c r="E99" s="187" t="s">
        <v>292</v>
      </c>
      <c r="F99" s="187" t="s">
        <v>293</v>
      </c>
      <c r="G99" s="187" t="s">
        <v>293</v>
      </c>
      <c r="H99" s="187" t="s">
        <v>293</v>
      </c>
      <c r="I99" s="187" t="s">
        <v>292</v>
      </c>
      <c r="J99" s="187" t="s">
        <v>293</v>
      </c>
      <c r="K99" s="187" t="s">
        <v>292</v>
      </c>
      <c r="L99" s="187" t="s">
        <v>293</v>
      </c>
      <c r="M99" s="187" t="s">
        <v>292</v>
      </c>
      <c r="N99" s="187" t="s">
        <v>293</v>
      </c>
      <c r="O99" s="395">
        <v>100</v>
      </c>
      <c r="P99" s="395">
        <f t="shared" ref="P99:P117" si="11">AVERAGE(D99:O99)</f>
        <v>100</v>
      </c>
    </row>
    <row r="100" spans="1:18" ht="13.5">
      <c r="A100" s="667" t="s">
        <v>13</v>
      </c>
      <c r="B100" s="668"/>
      <c r="C100" s="668"/>
      <c r="D100" s="187" t="s">
        <v>294</v>
      </c>
      <c r="E100" s="187" t="s">
        <v>295</v>
      </c>
      <c r="F100" s="187" t="s">
        <v>289</v>
      </c>
      <c r="G100" s="187" t="s">
        <v>296</v>
      </c>
      <c r="H100" s="187" t="s">
        <v>297</v>
      </c>
      <c r="I100" s="187" t="s">
        <v>298</v>
      </c>
      <c r="J100" s="187" t="s">
        <v>299</v>
      </c>
      <c r="K100" s="187" t="s">
        <v>300</v>
      </c>
      <c r="L100" s="187" t="s">
        <v>301</v>
      </c>
      <c r="M100" s="187" t="s">
        <v>302</v>
      </c>
      <c r="N100" s="187" t="s">
        <v>303</v>
      </c>
      <c r="O100" s="395">
        <v>73</v>
      </c>
      <c r="P100" s="395">
        <f t="shared" si="11"/>
        <v>73</v>
      </c>
    </row>
    <row r="101" spans="1:18" ht="13.5">
      <c r="A101" s="667" t="s">
        <v>14</v>
      </c>
      <c r="B101" s="668"/>
      <c r="C101" s="668"/>
      <c r="D101" s="187" t="s">
        <v>304</v>
      </c>
      <c r="E101" s="187" t="s">
        <v>305</v>
      </c>
      <c r="F101" s="187" t="s">
        <v>306</v>
      </c>
      <c r="G101" s="187" t="s">
        <v>307</v>
      </c>
      <c r="H101" s="187" t="s">
        <v>304</v>
      </c>
      <c r="I101" s="187" t="s">
        <v>308</v>
      </c>
      <c r="J101" s="187" t="s">
        <v>304</v>
      </c>
      <c r="K101" s="187" t="s">
        <v>308</v>
      </c>
      <c r="L101" s="187" t="s">
        <v>308</v>
      </c>
      <c r="M101" s="187" t="s">
        <v>306</v>
      </c>
      <c r="N101" s="187" t="s">
        <v>307</v>
      </c>
      <c r="O101" s="395">
        <v>99.5</v>
      </c>
      <c r="P101" s="395">
        <f t="shared" si="11"/>
        <v>99.5</v>
      </c>
    </row>
    <row r="102" spans="1:18" ht="13.5">
      <c r="A102" s="667" t="s">
        <v>21</v>
      </c>
      <c r="B102" s="668"/>
      <c r="C102" s="668"/>
      <c r="D102" s="187" t="s">
        <v>309</v>
      </c>
      <c r="E102" s="187" t="s">
        <v>309</v>
      </c>
      <c r="F102" s="187" t="s">
        <v>310</v>
      </c>
      <c r="G102" s="187" t="s">
        <v>311</v>
      </c>
      <c r="H102" s="187" t="s">
        <v>310</v>
      </c>
      <c r="I102" s="187" t="s">
        <v>312</v>
      </c>
      <c r="J102" s="187" t="s">
        <v>313</v>
      </c>
      <c r="K102" s="187" t="s">
        <v>314</v>
      </c>
      <c r="L102" s="187" t="s">
        <v>315</v>
      </c>
      <c r="M102" s="187" t="s">
        <v>316</v>
      </c>
      <c r="N102" s="187" t="s">
        <v>317</v>
      </c>
      <c r="O102" s="395">
        <v>94.7</v>
      </c>
      <c r="P102" s="395">
        <f t="shared" si="11"/>
        <v>94.7</v>
      </c>
    </row>
    <row r="103" spans="1:18" ht="13.5">
      <c r="A103" s="667" t="s">
        <v>16</v>
      </c>
      <c r="B103" s="668"/>
      <c r="C103" s="668"/>
      <c r="D103" s="187" t="s">
        <v>287</v>
      </c>
      <c r="E103" s="187" t="s">
        <v>288</v>
      </c>
      <c r="F103" s="187" t="s">
        <v>318</v>
      </c>
      <c r="G103" s="187" t="s">
        <v>319</v>
      </c>
      <c r="H103" s="187" t="s">
        <v>287</v>
      </c>
      <c r="I103" s="187" t="s">
        <v>286</v>
      </c>
      <c r="J103" s="187" t="s">
        <v>290</v>
      </c>
      <c r="K103" s="187" t="s">
        <v>320</v>
      </c>
      <c r="L103" s="187" t="s">
        <v>321</v>
      </c>
      <c r="M103" s="187" t="s">
        <v>322</v>
      </c>
      <c r="N103" s="187" t="s">
        <v>323</v>
      </c>
      <c r="O103" s="395">
        <v>97.6</v>
      </c>
      <c r="P103" s="395">
        <f t="shared" si="11"/>
        <v>97.6</v>
      </c>
    </row>
    <row r="104" spans="1:18" ht="13.5">
      <c r="A104" s="665" t="s">
        <v>17</v>
      </c>
      <c r="B104" s="666"/>
      <c r="C104" s="666"/>
      <c r="D104" s="187" t="s">
        <v>320</v>
      </c>
      <c r="E104" s="187" t="s">
        <v>309</v>
      </c>
      <c r="F104" s="187" t="s">
        <v>324</v>
      </c>
      <c r="G104" s="187" t="s">
        <v>304</v>
      </c>
      <c r="H104" s="187" t="s">
        <v>325</v>
      </c>
      <c r="I104" s="187" t="s">
        <v>311</v>
      </c>
      <c r="J104" s="187" t="s">
        <v>293</v>
      </c>
      <c r="K104" s="187" t="s">
        <v>326</v>
      </c>
      <c r="L104" s="187" t="s">
        <v>327</v>
      </c>
      <c r="M104" s="187" t="s">
        <v>328</v>
      </c>
      <c r="N104" s="187" t="s">
        <v>329</v>
      </c>
      <c r="O104" s="395">
        <v>91.9</v>
      </c>
      <c r="P104" s="395">
        <f t="shared" si="11"/>
        <v>91.9</v>
      </c>
    </row>
    <row r="105" spans="1:18" ht="13.5">
      <c r="A105" s="690" t="s">
        <v>49</v>
      </c>
      <c r="B105" s="691"/>
      <c r="C105" s="692"/>
      <c r="D105" s="256" t="s">
        <v>326</v>
      </c>
      <c r="E105" s="256" t="s">
        <v>330</v>
      </c>
      <c r="F105" s="256" t="s">
        <v>288</v>
      </c>
      <c r="G105" s="256" t="s">
        <v>320</v>
      </c>
      <c r="H105" s="256" t="s">
        <v>326</v>
      </c>
      <c r="I105" s="256" t="s">
        <v>287</v>
      </c>
      <c r="J105" s="256" t="s">
        <v>321</v>
      </c>
      <c r="K105" s="256" t="s">
        <v>287</v>
      </c>
      <c r="L105" s="256" t="s">
        <v>289</v>
      </c>
      <c r="M105" s="256" t="s">
        <v>287</v>
      </c>
      <c r="N105" s="256" t="s">
        <v>287</v>
      </c>
      <c r="O105" s="396">
        <v>98.1</v>
      </c>
      <c r="P105" s="396">
        <f t="shared" si="11"/>
        <v>98.1</v>
      </c>
    </row>
    <row r="106" spans="1:18" ht="17.100000000000001">
      <c r="A106" s="667" t="s">
        <v>276</v>
      </c>
      <c r="B106" s="668"/>
      <c r="C106" s="668"/>
      <c r="D106" s="187" t="s">
        <v>290</v>
      </c>
      <c r="E106" s="187" t="s">
        <v>330</v>
      </c>
      <c r="F106" s="187" t="s">
        <v>331</v>
      </c>
      <c r="G106" s="187" t="s">
        <v>320</v>
      </c>
      <c r="H106" s="187" t="s">
        <v>288</v>
      </c>
      <c r="I106" s="187" t="s">
        <v>286</v>
      </c>
      <c r="J106" s="187" t="s">
        <v>286</v>
      </c>
      <c r="K106" s="187" t="s">
        <v>330</v>
      </c>
      <c r="L106" s="187" t="s">
        <v>332</v>
      </c>
      <c r="M106" s="187" t="s">
        <v>287</v>
      </c>
      <c r="N106" s="187" t="s">
        <v>333</v>
      </c>
      <c r="O106" s="395">
        <v>97.3</v>
      </c>
      <c r="P106" s="395">
        <f t="shared" si="11"/>
        <v>97.3</v>
      </c>
      <c r="R106" s="519"/>
    </row>
    <row r="107" spans="1:18" ht="17.100000000000001">
      <c r="A107" s="257" t="s">
        <v>24</v>
      </c>
      <c r="B107" s="258"/>
      <c r="C107" s="397"/>
      <c r="D107" s="189" t="s">
        <v>334</v>
      </c>
      <c r="E107" s="189" t="s">
        <v>335</v>
      </c>
      <c r="F107" s="189" t="s">
        <v>293</v>
      </c>
      <c r="G107" s="189" t="s">
        <v>293</v>
      </c>
      <c r="H107" s="189" t="s">
        <v>335</v>
      </c>
      <c r="I107" s="189" t="s">
        <v>293</v>
      </c>
      <c r="J107" s="189" t="s">
        <v>336</v>
      </c>
      <c r="K107" s="189" t="s">
        <v>293</v>
      </c>
      <c r="L107" s="189" t="s">
        <v>293</v>
      </c>
      <c r="M107" s="189" t="s">
        <v>293</v>
      </c>
      <c r="N107" s="189" t="s">
        <v>293</v>
      </c>
      <c r="O107" s="398">
        <v>99.8</v>
      </c>
      <c r="P107" s="395">
        <f t="shared" si="11"/>
        <v>99.8</v>
      </c>
      <c r="R107" s="519"/>
    </row>
    <row r="108" spans="1:18" ht="17.100000000000001">
      <c r="A108" s="257" t="s">
        <v>25</v>
      </c>
      <c r="B108" s="258"/>
      <c r="C108" s="397"/>
      <c r="D108" s="189" t="s">
        <v>337</v>
      </c>
      <c r="E108" s="189" t="s">
        <v>334</v>
      </c>
      <c r="F108" s="189" t="s">
        <v>338</v>
      </c>
      <c r="G108" s="189" t="s">
        <v>290</v>
      </c>
      <c r="H108" s="189" t="s">
        <v>339</v>
      </c>
      <c r="I108" s="189" t="s">
        <v>290</v>
      </c>
      <c r="J108" s="189" t="s">
        <v>340</v>
      </c>
      <c r="K108" s="189" t="s">
        <v>341</v>
      </c>
      <c r="L108" s="189" t="s">
        <v>288</v>
      </c>
      <c r="M108" s="189" t="s">
        <v>332</v>
      </c>
      <c r="N108" s="189" t="s">
        <v>321</v>
      </c>
      <c r="O108" s="398">
        <v>97.4</v>
      </c>
      <c r="P108" s="395">
        <f t="shared" si="11"/>
        <v>97.4</v>
      </c>
      <c r="R108" s="519"/>
    </row>
    <row r="109" spans="1:18" ht="17.100000000000001">
      <c r="A109" s="257" t="s">
        <v>26</v>
      </c>
      <c r="B109" s="258"/>
      <c r="C109" s="397"/>
      <c r="D109" s="189" t="s">
        <v>342</v>
      </c>
      <c r="E109" s="189" t="s">
        <v>343</v>
      </c>
      <c r="F109" s="189" t="s">
        <v>344</v>
      </c>
      <c r="G109" s="189" t="s">
        <v>345</v>
      </c>
      <c r="H109" s="189" t="s">
        <v>346</v>
      </c>
      <c r="I109" s="189" t="s">
        <v>347</v>
      </c>
      <c r="J109" s="189" t="s">
        <v>322</v>
      </c>
      <c r="K109" s="189" t="s">
        <v>348</v>
      </c>
      <c r="L109" s="189" t="s">
        <v>325</v>
      </c>
      <c r="M109" s="189" t="s">
        <v>347</v>
      </c>
      <c r="N109" s="189" t="s">
        <v>349</v>
      </c>
      <c r="O109" s="398">
        <v>97.5</v>
      </c>
      <c r="P109" s="395">
        <f t="shared" si="11"/>
        <v>97.5</v>
      </c>
      <c r="R109" s="519"/>
    </row>
    <row r="110" spans="1:18" ht="17.100000000000001">
      <c r="A110" s="257" t="s">
        <v>27</v>
      </c>
      <c r="B110" s="258"/>
      <c r="C110" s="397"/>
      <c r="D110" s="189" t="s">
        <v>350</v>
      </c>
      <c r="E110" s="189" t="s">
        <v>351</v>
      </c>
      <c r="F110" s="189" t="s">
        <v>352</v>
      </c>
      <c r="G110" s="189" t="s">
        <v>345</v>
      </c>
      <c r="H110" s="189" t="s">
        <v>348</v>
      </c>
      <c r="I110" s="189" t="s">
        <v>353</v>
      </c>
      <c r="J110" s="189" t="s">
        <v>286</v>
      </c>
      <c r="K110" s="189" t="s">
        <v>354</v>
      </c>
      <c r="L110" s="189" t="s">
        <v>355</v>
      </c>
      <c r="M110" s="189" t="s">
        <v>345</v>
      </c>
      <c r="N110" s="189" t="s">
        <v>312</v>
      </c>
      <c r="O110" s="398">
        <v>90.4</v>
      </c>
      <c r="P110" s="395">
        <f t="shared" si="11"/>
        <v>90.4</v>
      </c>
      <c r="R110" s="519"/>
    </row>
    <row r="111" spans="1:18" ht="17.100000000000001">
      <c r="A111" s="257" t="s">
        <v>28</v>
      </c>
      <c r="B111" s="258"/>
      <c r="C111" s="397"/>
      <c r="D111" s="189" t="s">
        <v>356</v>
      </c>
      <c r="E111" s="189" t="s">
        <v>356</v>
      </c>
      <c r="F111" s="189" t="s">
        <v>293</v>
      </c>
      <c r="G111" s="189" t="s">
        <v>357</v>
      </c>
      <c r="H111" s="189" t="s">
        <v>356</v>
      </c>
      <c r="I111" s="189" t="s">
        <v>356</v>
      </c>
      <c r="J111" s="189" t="s">
        <v>356</v>
      </c>
      <c r="K111" s="189" t="s">
        <v>293</v>
      </c>
      <c r="L111" s="189" t="s">
        <v>356</v>
      </c>
      <c r="M111" s="189" t="s">
        <v>356</v>
      </c>
      <c r="N111" s="189" t="s">
        <v>356</v>
      </c>
      <c r="O111" s="398">
        <v>0</v>
      </c>
      <c r="P111" s="395">
        <f t="shared" si="11"/>
        <v>0</v>
      </c>
      <c r="R111" s="519"/>
    </row>
    <row r="112" spans="1:18" ht="17.45" thickBot="1">
      <c r="A112" s="743" t="s">
        <v>50</v>
      </c>
      <c r="B112" s="744"/>
      <c r="C112" s="744"/>
      <c r="D112" s="190" t="s">
        <v>342</v>
      </c>
      <c r="E112" s="190" t="s">
        <v>322</v>
      </c>
      <c r="F112" s="190" t="s">
        <v>290</v>
      </c>
      <c r="G112" s="190" t="s">
        <v>286</v>
      </c>
      <c r="H112" s="190" t="s">
        <v>286</v>
      </c>
      <c r="I112" s="190" t="s">
        <v>287</v>
      </c>
      <c r="J112" s="190" t="s">
        <v>330</v>
      </c>
      <c r="K112" s="190" t="s">
        <v>333</v>
      </c>
      <c r="L112" s="190" t="s">
        <v>322</v>
      </c>
      <c r="M112" s="190" t="s">
        <v>321</v>
      </c>
      <c r="N112" s="190" t="s">
        <v>340</v>
      </c>
      <c r="O112" s="396">
        <v>96.9</v>
      </c>
      <c r="P112" s="396">
        <f t="shared" si="11"/>
        <v>96.9</v>
      </c>
      <c r="R112" s="519"/>
    </row>
    <row r="113" spans="1:240" ht="17.100000000000001">
      <c r="A113" s="668" t="s">
        <v>31</v>
      </c>
      <c r="B113" s="668"/>
      <c r="C113" s="668"/>
      <c r="D113" s="281" t="s">
        <v>356</v>
      </c>
      <c r="E113" s="281" t="s">
        <v>356</v>
      </c>
      <c r="F113" s="281" t="s">
        <v>356</v>
      </c>
      <c r="G113" s="281" t="s">
        <v>356</v>
      </c>
      <c r="H113" s="281" t="s">
        <v>356</v>
      </c>
      <c r="I113" s="281" t="s">
        <v>356</v>
      </c>
      <c r="J113" s="281" t="s">
        <v>356</v>
      </c>
      <c r="K113" s="281" t="s">
        <v>356</v>
      </c>
      <c r="L113" s="281" t="s">
        <v>356</v>
      </c>
      <c r="M113" s="281" t="s">
        <v>356</v>
      </c>
      <c r="N113" s="281" t="s">
        <v>356</v>
      </c>
      <c r="O113" s="281">
        <v>0</v>
      </c>
      <c r="P113" s="395">
        <f t="shared" si="11"/>
        <v>0</v>
      </c>
      <c r="Q113" s="402"/>
      <c r="R113" s="519"/>
      <c r="S113" s="402"/>
      <c r="T113" s="402">
        <v>92.424000000000007</v>
      </c>
      <c r="U113" s="403"/>
      <c r="V113" s="404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/>
      <c r="AW113" s="404"/>
      <c r="AX113" s="404"/>
      <c r="AY113" s="404"/>
      <c r="AZ113" s="404"/>
      <c r="BA113" s="404"/>
      <c r="BB113" s="404"/>
      <c r="BC113" s="404"/>
      <c r="BD113" s="404"/>
      <c r="BE113" s="404"/>
      <c r="BF113" s="404"/>
      <c r="BG113" s="404"/>
      <c r="BH113" s="404"/>
      <c r="BI113" s="404"/>
      <c r="BJ113" s="404"/>
      <c r="BK113" s="404"/>
      <c r="BL113" s="404"/>
      <c r="BM113" s="404"/>
      <c r="BN113" s="404"/>
      <c r="BO113" s="404"/>
      <c r="BP113" s="404"/>
      <c r="BQ113" s="404"/>
      <c r="BR113" s="404"/>
      <c r="BS113" s="404"/>
      <c r="BT113" s="404"/>
      <c r="BU113" s="404"/>
      <c r="BV113" s="404"/>
      <c r="BW113" s="404"/>
      <c r="BX113" s="404"/>
      <c r="BY113" s="404"/>
      <c r="BZ113" s="404"/>
      <c r="CA113" s="404"/>
      <c r="CB113" s="404"/>
      <c r="CC113" s="404"/>
      <c r="CD113" s="404"/>
      <c r="CE113" s="404"/>
      <c r="CF113" s="404"/>
      <c r="CG113" s="404"/>
      <c r="CH113" s="404"/>
      <c r="CI113" s="404"/>
      <c r="CJ113" s="404"/>
      <c r="CK113" s="404"/>
      <c r="CL113" s="404"/>
      <c r="CM113" s="404"/>
      <c r="CN113" s="404"/>
      <c r="CO113" s="404"/>
      <c r="CP113" s="404"/>
      <c r="CQ113" s="404"/>
      <c r="CR113" s="404"/>
      <c r="CS113" s="404"/>
      <c r="CT113" s="404"/>
      <c r="CU113" s="404"/>
      <c r="CV113" s="404"/>
      <c r="CW113" s="404"/>
      <c r="CX113" s="404"/>
      <c r="CY113" s="404"/>
      <c r="CZ113" s="404"/>
      <c r="DA113" s="404"/>
      <c r="DB113" s="404"/>
      <c r="DC113" s="404"/>
      <c r="DD113" s="404"/>
      <c r="DE113" s="404"/>
      <c r="DF113" s="404"/>
      <c r="DG113" s="404"/>
      <c r="DH113" s="404"/>
      <c r="DI113" s="404"/>
      <c r="DJ113" s="404"/>
      <c r="DK113" s="404"/>
      <c r="DL113" s="404"/>
      <c r="DM113" s="404"/>
      <c r="DN113" s="404"/>
      <c r="DO113" s="404"/>
      <c r="DP113" s="404"/>
      <c r="DQ113" s="404"/>
      <c r="DR113" s="404"/>
      <c r="DS113" s="404"/>
      <c r="DT113" s="404"/>
      <c r="DU113" s="404"/>
      <c r="DV113" s="404"/>
      <c r="DW113" s="404"/>
      <c r="DX113" s="404"/>
      <c r="DY113" s="404"/>
      <c r="DZ113" s="404"/>
      <c r="EA113" s="404"/>
      <c r="EB113" s="404"/>
      <c r="EC113" s="404"/>
      <c r="ED113" s="404"/>
      <c r="EE113" s="404"/>
      <c r="EF113" s="404"/>
      <c r="EG113" s="404"/>
      <c r="EH113" s="404"/>
      <c r="EI113" s="404"/>
      <c r="EJ113" s="404"/>
      <c r="EK113" s="404"/>
      <c r="EL113" s="404"/>
      <c r="EM113" s="404"/>
      <c r="EN113" s="404"/>
      <c r="EO113" s="404"/>
      <c r="EP113" s="404"/>
      <c r="EQ113" s="404"/>
      <c r="ER113" s="404"/>
      <c r="ES113" s="404"/>
      <c r="ET113" s="404"/>
      <c r="EU113" s="404"/>
      <c r="EV113" s="404"/>
      <c r="EW113" s="404"/>
      <c r="EX113" s="404"/>
      <c r="EY113" s="404"/>
      <c r="EZ113" s="404"/>
      <c r="FA113" s="404"/>
      <c r="FB113" s="404"/>
      <c r="FC113" s="404"/>
      <c r="FD113" s="404"/>
      <c r="FE113" s="404"/>
      <c r="FF113" s="404"/>
      <c r="FG113" s="404"/>
      <c r="FH113" s="404"/>
      <c r="FI113" s="404"/>
      <c r="FJ113" s="404"/>
      <c r="FK113" s="404"/>
      <c r="FL113" s="404"/>
      <c r="FM113" s="404"/>
      <c r="FN113" s="404"/>
      <c r="FO113" s="404"/>
      <c r="FP113" s="404"/>
      <c r="FQ113" s="404"/>
      <c r="FR113" s="404"/>
      <c r="FS113" s="404"/>
      <c r="FT113" s="404"/>
      <c r="FU113" s="404"/>
      <c r="FV113" s="404"/>
      <c r="FW113" s="404"/>
      <c r="FX113" s="404"/>
      <c r="FY113" s="404"/>
      <c r="FZ113" s="404"/>
      <c r="GA113" s="404"/>
      <c r="GB113" s="404"/>
      <c r="GC113" s="404"/>
      <c r="GD113" s="404"/>
      <c r="GE113" s="404"/>
      <c r="GF113" s="404"/>
      <c r="GG113" s="404"/>
      <c r="GH113" s="404"/>
      <c r="GI113" s="404"/>
      <c r="GJ113" s="404"/>
      <c r="GK113" s="404"/>
      <c r="GL113" s="404"/>
      <c r="GM113" s="404"/>
      <c r="GN113" s="404"/>
      <c r="GO113" s="404"/>
      <c r="GP113" s="404"/>
      <c r="GQ113" s="404"/>
      <c r="GR113" s="404"/>
      <c r="GS113" s="404"/>
      <c r="GT113" s="404"/>
      <c r="GU113" s="404"/>
      <c r="GV113" s="404"/>
      <c r="GW113" s="404"/>
      <c r="GX113" s="404"/>
      <c r="GY113" s="404"/>
      <c r="GZ113" s="404"/>
      <c r="HA113" s="404"/>
      <c r="HB113" s="404"/>
      <c r="HC113" s="404"/>
      <c r="HD113" s="404"/>
      <c r="HE113" s="404"/>
      <c r="HF113" s="404"/>
      <c r="HG113" s="404"/>
      <c r="HH113" s="404"/>
      <c r="HI113" s="404"/>
      <c r="HJ113" s="404"/>
      <c r="HK113" s="404"/>
      <c r="HL113" s="404"/>
      <c r="HM113" s="404"/>
      <c r="HN113" s="404"/>
      <c r="HO113" s="404"/>
      <c r="HP113" s="404"/>
      <c r="HQ113" s="404"/>
      <c r="HR113" s="404"/>
      <c r="HS113" s="404"/>
      <c r="HT113" s="404"/>
      <c r="HU113" s="404"/>
      <c r="HV113" s="404"/>
      <c r="HW113" s="404"/>
      <c r="HX113" s="404"/>
      <c r="HY113" s="404"/>
      <c r="HZ113" s="404"/>
      <c r="IA113" s="404"/>
      <c r="IB113" s="404"/>
      <c r="IC113" s="404"/>
      <c r="ID113" s="404"/>
      <c r="IE113" s="404"/>
      <c r="IF113" s="404"/>
    </row>
    <row r="114" spans="1:240" ht="13.5">
      <c r="A114" s="668" t="s">
        <v>32</v>
      </c>
      <c r="B114" s="668"/>
      <c r="C114" s="668"/>
      <c r="D114" s="187" t="s">
        <v>356</v>
      </c>
      <c r="E114" s="187" t="s">
        <v>356</v>
      </c>
      <c r="F114" s="187" t="s">
        <v>356</v>
      </c>
      <c r="G114" s="187" t="s">
        <v>356</v>
      </c>
      <c r="H114" s="187" t="s">
        <v>356</v>
      </c>
      <c r="I114" s="187" t="s">
        <v>356</v>
      </c>
      <c r="J114" s="187" t="s">
        <v>356</v>
      </c>
      <c r="K114" s="187" t="s">
        <v>356</v>
      </c>
      <c r="L114" s="187" t="s">
        <v>356</v>
      </c>
      <c r="M114" s="187" t="s">
        <v>356</v>
      </c>
      <c r="N114" s="187" t="s">
        <v>356</v>
      </c>
      <c r="O114" s="187">
        <v>0</v>
      </c>
      <c r="P114" s="395">
        <f t="shared" si="11"/>
        <v>0</v>
      </c>
      <c r="Q114" s="402"/>
      <c r="R114" s="402"/>
      <c r="S114" s="402"/>
      <c r="T114" s="402">
        <v>100</v>
      </c>
      <c r="U114" s="403"/>
      <c r="V114" s="404"/>
      <c r="W114" s="404"/>
      <c r="X114" s="404"/>
      <c r="Y114" s="404"/>
      <c r="Z114" s="404"/>
      <c r="AA114" s="404"/>
      <c r="AB114" s="404"/>
      <c r="AC114" s="404"/>
      <c r="AD114" s="404"/>
      <c r="AE114" s="404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/>
      <c r="AW114" s="404"/>
      <c r="AX114" s="404"/>
      <c r="AY114" s="404"/>
      <c r="AZ114" s="404"/>
      <c r="BA114" s="404"/>
      <c r="BB114" s="404"/>
      <c r="BC114" s="404"/>
      <c r="BD114" s="404"/>
      <c r="BE114" s="404"/>
      <c r="BF114" s="404"/>
      <c r="BG114" s="404"/>
      <c r="BH114" s="404"/>
      <c r="BI114" s="404"/>
      <c r="BJ114" s="404"/>
      <c r="BK114" s="404"/>
      <c r="BL114" s="404"/>
      <c r="BM114" s="404"/>
      <c r="BN114" s="404"/>
      <c r="BO114" s="404"/>
      <c r="BP114" s="404"/>
      <c r="BQ114" s="404"/>
      <c r="BR114" s="404"/>
      <c r="BS114" s="404"/>
      <c r="BT114" s="404"/>
      <c r="BU114" s="404"/>
      <c r="BV114" s="404"/>
      <c r="BW114" s="404"/>
      <c r="BX114" s="404"/>
      <c r="BY114" s="404"/>
      <c r="BZ114" s="404"/>
      <c r="CA114" s="404"/>
      <c r="CB114" s="404"/>
      <c r="CC114" s="404"/>
      <c r="CD114" s="404"/>
      <c r="CE114" s="404"/>
      <c r="CF114" s="404"/>
      <c r="CG114" s="404"/>
      <c r="CH114" s="404"/>
      <c r="CI114" s="404"/>
      <c r="CJ114" s="404"/>
      <c r="CK114" s="404"/>
      <c r="CL114" s="404"/>
      <c r="CM114" s="404"/>
      <c r="CN114" s="404"/>
      <c r="CO114" s="404"/>
      <c r="CP114" s="404"/>
      <c r="CQ114" s="404"/>
      <c r="CR114" s="404"/>
      <c r="CS114" s="404"/>
      <c r="CT114" s="404"/>
      <c r="CU114" s="404"/>
      <c r="CV114" s="404"/>
      <c r="CW114" s="404"/>
      <c r="CX114" s="404"/>
      <c r="CY114" s="404"/>
      <c r="CZ114" s="404"/>
      <c r="DA114" s="404"/>
      <c r="DB114" s="404"/>
      <c r="DC114" s="404"/>
      <c r="DD114" s="404"/>
      <c r="DE114" s="404"/>
      <c r="DF114" s="404"/>
      <c r="DG114" s="404"/>
      <c r="DH114" s="404"/>
      <c r="DI114" s="404"/>
      <c r="DJ114" s="404"/>
      <c r="DK114" s="404"/>
      <c r="DL114" s="404"/>
      <c r="DM114" s="404"/>
      <c r="DN114" s="404"/>
      <c r="DO114" s="404"/>
      <c r="DP114" s="404"/>
      <c r="DQ114" s="404"/>
      <c r="DR114" s="404"/>
      <c r="DS114" s="404"/>
      <c r="DT114" s="404"/>
      <c r="DU114" s="404"/>
      <c r="DV114" s="404"/>
      <c r="DW114" s="404"/>
      <c r="DX114" s="404"/>
      <c r="DY114" s="404"/>
      <c r="DZ114" s="404"/>
      <c r="EA114" s="404"/>
      <c r="EB114" s="404"/>
      <c r="EC114" s="404"/>
      <c r="ED114" s="404"/>
      <c r="EE114" s="404"/>
      <c r="EF114" s="404"/>
      <c r="EG114" s="404"/>
      <c r="EH114" s="404"/>
      <c r="EI114" s="404"/>
      <c r="EJ114" s="404"/>
      <c r="EK114" s="404"/>
      <c r="EL114" s="404"/>
      <c r="EM114" s="404"/>
      <c r="EN114" s="404"/>
      <c r="EO114" s="404"/>
      <c r="EP114" s="404"/>
      <c r="EQ114" s="404"/>
      <c r="ER114" s="404"/>
      <c r="ES114" s="404"/>
      <c r="ET114" s="404"/>
      <c r="EU114" s="404"/>
      <c r="EV114" s="404"/>
      <c r="EW114" s="404"/>
      <c r="EX114" s="404"/>
      <c r="EY114" s="404"/>
      <c r="EZ114" s="404"/>
      <c r="FA114" s="404"/>
      <c r="FB114" s="404"/>
      <c r="FC114" s="404"/>
      <c r="FD114" s="404"/>
      <c r="FE114" s="404"/>
      <c r="FF114" s="404"/>
      <c r="FG114" s="404"/>
      <c r="FH114" s="404"/>
      <c r="FI114" s="404"/>
      <c r="FJ114" s="404"/>
      <c r="FK114" s="404"/>
      <c r="FL114" s="404"/>
      <c r="FM114" s="404"/>
      <c r="FN114" s="404"/>
      <c r="FO114" s="404"/>
      <c r="FP114" s="404"/>
      <c r="FQ114" s="404"/>
      <c r="FR114" s="404"/>
      <c r="FS114" s="404"/>
      <c r="FT114" s="404"/>
      <c r="FU114" s="404"/>
      <c r="FV114" s="404"/>
      <c r="FW114" s="404"/>
      <c r="FX114" s="404"/>
      <c r="FY114" s="404"/>
      <c r="FZ114" s="404"/>
      <c r="GA114" s="404"/>
      <c r="GB114" s="404"/>
      <c r="GC114" s="404"/>
      <c r="GD114" s="404"/>
      <c r="GE114" s="404"/>
      <c r="GF114" s="404"/>
      <c r="GG114" s="404"/>
      <c r="GH114" s="404"/>
      <c r="GI114" s="404"/>
      <c r="GJ114" s="404"/>
      <c r="GK114" s="404"/>
      <c r="GL114" s="404"/>
      <c r="GM114" s="404"/>
      <c r="GN114" s="404"/>
      <c r="GO114" s="404"/>
      <c r="GP114" s="404"/>
      <c r="GQ114" s="404"/>
      <c r="GR114" s="404"/>
      <c r="GS114" s="404"/>
      <c r="GT114" s="404"/>
      <c r="GU114" s="404"/>
      <c r="GV114" s="404"/>
      <c r="GW114" s="404"/>
      <c r="GX114" s="404"/>
      <c r="GY114" s="404"/>
      <c r="GZ114" s="404"/>
      <c r="HA114" s="404"/>
      <c r="HB114" s="404"/>
      <c r="HC114" s="404"/>
      <c r="HD114" s="404"/>
      <c r="HE114" s="404"/>
      <c r="HF114" s="404"/>
      <c r="HG114" s="404"/>
      <c r="HH114" s="404"/>
      <c r="HI114" s="404"/>
      <c r="HJ114" s="404"/>
      <c r="HK114" s="404"/>
      <c r="HL114" s="404"/>
      <c r="HM114" s="404"/>
      <c r="HN114" s="404"/>
      <c r="HO114" s="404"/>
      <c r="HP114" s="404"/>
      <c r="HQ114" s="404"/>
      <c r="HR114" s="404"/>
      <c r="HS114" s="404"/>
      <c r="HT114" s="404"/>
      <c r="HU114" s="404"/>
      <c r="HV114" s="404"/>
      <c r="HW114" s="404"/>
      <c r="HX114" s="404"/>
      <c r="HY114" s="404"/>
      <c r="HZ114" s="404"/>
      <c r="IA114" s="404"/>
      <c r="IB114" s="404"/>
      <c r="IC114" s="404"/>
      <c r="ID114" s="404"/>
      <c r="IE114" s="404"/>
      <c r="IF114" s="404"/>
    </row>
    <row r="115" spans="1:240" ht="13.5">
      <c r="A115" s="668" t="s">
        <v>33</v>
      </c>
      <c r="B115" s="668"/>
      <c r="C115" s="668"/>
      <c r="D115" s="187" t="s">
        <v>356</v>
      </c>
      <c r="E115" s="187" t="s">
        <v>356</v>
      </c>
      <c r="F115" s="187" t="s">
        <v>356</v>
      </c>
      <c r="G115" s="187" t="s">
        <v>356</v>
      </c>
      <c r="H115" s="187" t="s">
        <v>356</v>
      </c>
      <c r="I115" s="187" t="s">
        <v>356</v>
      </c>
      <c r="J115" s="187" t="s">
        <v>356</v>
      </c>
      <c r="K115" s="187" t="s">
        <v>356</v>
      </c>
      <c r="L115" s="187" t="s">
        <v>356</v>
      </c>
      <c r="M115" s="187" t="s">
        <v>356</v>
      </c>
      <c r="N115" s="187" t="s">
        <v>356</v>
      </c>
      <c r="O115" s="187">
        <v>0</v>
      </c>
      <c r="P115" s="395">
        <f t="shared" si="11"/>
        <v>0</v>
      </c>
      <c r="Q115" s="402"/>
      <c r="R115" s="402"/>
      <c r="S115" s="402"/>
      <c r="T115" s="402">
        <v>0</v>
      </c>
      <c r="U115" s="403"/>
      <c r="V115" s="404"/>
      <c r="W115" s="404"/>
      <c r="X115" s="404"/>
      <c r="Y115" s="404"/>
      <c r="Z115" s="404"/>
      <c r="AA115" s="404"/>
      <c r="AB115" s="404"/>
      <c r="AC115" s="404"/>
      <c r="AD115" s="404"/>
      <c r="AE115" s="404"/>
      <c r="AF115" s="404"/>
      <c r="AG115" s="404"/>
      <c r="AH115" s="404"/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/>
      <c r="AW115" s="404"/>
      <c r="AX115" s="404"/>
      <c r="AY115" s="404"/>
      <c r="AZ115" s="404"/>
      <c r="BA115" s="404"/>
      <c r="BB115" s="404"/>
      <c r="BC115" s="404"/>
      <c r="BD115" s="404"/>
      <c r="BE115" s="404"/>
      <c r="BF115" s="404"/>
      <c r="BG115" s="404"/>
      <c r="BH115" s="404"/>
      <c r="BI115" s="404"/>
      <c r="BJ115" s="404"/>
      <c r="BK115" s="404"/>
      <c r="BL115" s="404"/>
      <c r="BM115" s="404"/>
      <c r="BN115" s="404"/>
      <c r="BO115" s="404"/>
      <c r="BP115" s="404"/>
      <c r="BQ115" s="404"/>
      <c r="BR115" s="404"/>
      <c r="BS115" s="404"/>
      <c r="BT115" s="404"/>
      <c r="BU115" s="404"/>
      <c r="BV115" s="404"/>
      <c r="BW115" s="404"/>
      <c r="BX115" s="404"/>
      <c r="BY115" s="404"/>
      <c r="BZ115" s="404"/>
      <c r="CA115" s="404"/>
      <c r="CB115" s="404"/>
      <c r="CC115" s="404"/>
      <c r="CD115" s="404"/>
      <c r="CE115" s="404"/>
      <c r="CF115" s="404"/>
      <c r="CG115" s="404"/>
      <c r="CH115" s="404"/>
      <c r="CI115" s="404"/>
      <c r="CJ115" s="404"/>
      <c r="CK115" s="404"/>
      <c r="CL115" s="404"/>
      <c r="CM115" s="404"/>
      <c r="CN115" s="404"/>
      <c r="CO115" s="404"/>
      <c r="CP115" s="404"/>
      <c r="CQ115" s="404"/>
      <c r="CR115" s="404"/>
      <c r="CS115" s="404"/>
      <c r="CT115" s="404"/>
      <c r="CU115" s="404"/>
      <c r="CV115" s="404"/>
      <c r="CW115" s="404"/>
      <c r="CX115" s="404"/>
      <c r="CY115" s="404"/>
      <c r="CZ115" s="404"/>
      <c r="DA115" s="404"/>
      <c r="DB115" s="404"/>
      <c r="DC115" s="404"/>
      <c r="DD115" s="404"/>
      <c r="DE115" s="404"/>
      <c r="DF115" s="404"/>
      <c r="DG115" s="404"/>
      <c r="DH115" s="404"/>
      <c r="DI115" s="404"/>
      <c r="DJ115" s="404"/>
      <c r="DK115" s="404"/>
      <c r="DL115" s="404"/>
      <c r="DM115" s="404"/>
      <c r="DN115" s="404"/>
      <c r="DO115" s="404"/>
      <c r="DP115" s="404"/>
      <c r="DQ115" s="404"/>
      <c r="DR115" s="404"/>
      <c r="DS115" s="404"/>
      <c r="DT115" s="404"/>
      <c r="DU115" s="404"/>
      <c r="DV115" s="404"/>
      <c r="DW115" s="404"/>
      <c r="DX115" s="404"/>
      <c r="DY115" s="404"/>
      <c r="DZ115" s="404"/>
      <c r="EA115" s="404"/>
      <c r="EB115" s="404"/>
      <c r="EC115" s="404"/>
      <c r="ED115" s="404"/>
      <c r="EE115" s="404"/>
      <c r="EF115" s="404"/>
      <c r="EG115" s="404"/>
      <c r="EH115" s="404"/>
      <c r="EI115" s="404"/>
      <c r="EJ115" s="404"/>
      <c r="EK115" s="404"/>
      <c r="EL115" s="404"/>
      <c r="EM115" s="404"/>
      <c r="EN115" s="404"/>
      <c r="EO115" s="404"/>
      <c r="EP115" s="404"/>
      <c r="EQ115" s="404"/>
      <c r="ER115" s="404"/>
      <c r="ES115" s="404"/>
      <c r="ET115" s="404"/>
      <c r="EU115" s="404"/>
      <c r="EV115" s="404"/>
      <c r="EW115" s="404"/>
      <c r="EX115" s="404"/>
      <c r="EY115" s="404"/>
      <c r="EZ115" s="404"/>
      <c r="FA115" s="404"/>
      <c r="FB115" s="404"/>
      <c r="FC115" s="404"/>
      <c r="FD115" s="404"/>
      <c r="FE115" s="404"/>
      <c r="FF115" s="404"/>
      <c r="FG115" s="404"/>
      <c r="FH115" s="404"/>
      <c r="FI115" s="404"/>
      <c r="FJ115" s="404"/>
      <c r="FK115" s="404"/>
      <c r="FL115" s="404"/>
      <c r="FM115" s="404"/>
      <c r="FN115" s="404"/>
      <c r="FO115" s="404"/>
      <c r="FP115" s="404"/>
      <c r="FQ115" s="404"/>
      <c r="FR115" s="404"/>
      <c r="FS115" s="404"/>
      <c r="FT115" s="404"/>
      <c r="FU115" s="404"/>
      <c r="FV115" s="404"/>
      <c r="FW115" s="404"/>
      <c r="FX115" s="404"/>
      <c r="FY115" s="404"/>
      <c r="FZ115" s="404"/>
      <c r="GA115" s="404"/>
      <c r="GB115" s="404"/>
      <c r="GC115" s="404"/>
      <c r="GD115" s="404"/>
      <c r="GE115" s="404"/>
      <c r="GF115" s="404"/>
      <c r="GG115" s="404"/>
      <c r="GH115" s="404"/>
      <c r="GI115" s="404"/>
      <c r="GJ115" s="404"/>
      <c r="GK115" s="404"/>
      <c r="GL115" s="404"/>
      <c r="GM115" s="404"/>
      <c r="GN115" s="404"/>
      <c r="GO115" s="404"/>
      <c r="GP115" s="404"/>
      <c r="GQ115" s="404"/>
      <c r="GR115" s="404"/>
      <c r="GS115" s="404"/>
      <c r="GT115" s="404"/>
      <c r="GU115" s="404"/>
      <c r="GV115" s="404"/>
      <c r="GW115" s="404"/>
      <c r="GX115" s="404"/>
      <c r="GY115" s="404"/>
      <c r="GZ115" s="404"/>
      <c r="HA115" s="404"/>
      <c r="HB115" s="404"/>
      <c r="HC115" s="404"/>
      <c r="HD115" s="404"/>
      <c r="HE115" s="404"/>
      <c r="HF115" s="404"/>
      <c r="HG115" s="404"/>
      <c r="HH115" s="404"/>
      <c r="HI115" s="404"/>
      <c r="HJ115" s="404"/>
      <c r="HK115" s="404"/>
      <c r="HL115" s="404"/>
      <c r="HM115" s="404"/>
      <c r="HN115" s="404"/>
      <c r="HO115" s="404"/>
      <c r="HP115" s="404"/>
      <c r="HQ115" s="404"/>
      <c r="HR115" s="404"/>
      <c r="HS115" s="404"/>
      <c r="HT115" s="404"/>
      <c r="HU115" s="404"/>
      <c r="HV115" s="404"/>
      <c r="HW115" s="404"/>
      <c r="HX115" s="404"/>
      <c r="HY115" s="404"/>
      <c r="HZ115" s="404"/>
      <c r="IA115" s="404"/>
      <c r="IB115" s="404"/>
      <c r="IC115" s="404"/>
      <c r="ID115" s="404"/>
      <c r="IE115" s="404"/>
      <c r="IF115" s="404"/>
    </row>
    <row r="116" spans="1:240" ht="13.5">
      <c r="A116" s="668" t="s">
        <v>34</v>
      </c>
      <c r="B116" s="668"/>
      <c r="C116" s="668"/>
      <c r="D116" s="187" t="s">
        <v>356</v>
      </c>
      <c r="E116" s="187" t="s">
        <v>356</v>
      </c>
      <c r="F116" s="187" t="s">
        <v>356</v>
      </c>
      <c r="G116" s="187" t="s">
        <v>356</v>
      </c>
      <c r="H116" s="187" t="s">
        <v>356</v>
      </c>
      <c r="I116" s="187" t="s">
        <v>356</v>
      </c>
      <c r="J116" s="187" t="s">
        <v>356</v>
      </c>
      <c r="K116" s="187" t="s">
        <v>356</v>
      </c>
      <c r="L116" s="187" t="s">
        <v>356</v>
      </c>
      <c r="M116" s="187" t="s">
        <v>356</v>
      </c>
      <c r="N116" s="187" t="s">
        <v>356</v>
      </c>
      <c r="O116" s="187">
        <v>0</v>
      </c>
      <c r="P116" s="395">
        <f t="shared" si="11"/>
        <v>0</v>
      </c>
      <c r="Q116" s="402"/>
      <c r="R116" s="402"/>
      <c r="S116" s="402"/>
      <c r="T116" s="402"/>
      <c r="U116" s="403"/>
      <c r="V116" s="404"/>
      <c r="W116" s="404"/>
      <c r="X116" s="404"/>
      <c r="Y116" s="404"/>
      <c r="Z116" s="404"/>
      <c r="AA116" s="404"/>
      <c r="AB116" s="404"/>
      <c r="AC116" s="404"/>
      <c r="AD116" s="404"/>
      <c r="AE116" s="404"/>
      <c r="AF116" s="404"/>
      <c r="AG116" s="404"/>
      <c r="AH116" s="404"/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/>
      <c r="AW116" s="404"/>
      <c r="AX116" s="404"/>
      <c r="AY116" s="404"/>
      <c r="AZ116" s="404"/>
      <c r="BA116" s="404"/>
      <c r="BB116" s="404"/>
      <c r="BC116" s="404"/>
      <c r="BD116" s="404"/>
      <c r="BE116" s="404"/>
      <c r="BF116" s="404"/>
      <c r="BG116" s="404"/>
      <c r="BH116" s="404"/>
      <c r="BI116" s="404"/>
      <c r="BJ116" s="404"/>
      <c r="BK116" s="404"/>
      <c r="BL116" s="404"/>
      <c r="BM116" s="404"/>
      <c r="BN116" s="404"/>
      <c r="BO116" s="404"/>
      <c r="BP116" s="404"/>
      <c r="BQ116" s="404"/>
      <c r="BR116" s="404"/>
      <c r="BS116" s="404"/>
      <c r="BT116" s="404"/>
      <c r="BU116" s="404"/>
      <c r="BV116" s="404"/>
      <c r="BW116" s="404"/>
      <c r="BX116" s="404"/>
      <c r="BY116" s="404"/>
      <c r="BZ116" s="404"/>
      <c r="CA116" s="404"/>
      <c r="CB116" s="404"/>
      <c r="CC116" s="404"/>
      <c r="CD116" s="404"/>
      <c r="CE116" s="404"/>
      <c r="CF116" s="404"/>
      <c r="CG116" s="404"/>
      <c r="CH116" s="404"/>
      <c r="CI116" s="404"/>
      <c r="CJ116" s="404"/>
      <c r="CK116" s="404"/>
      <c r="CL116" s="404"/>
      <c r="CM116" s="404"/>
      <c r="CN116" s="404"/>
      <c r="CO116" s="404"/>
      <c r="CP116" s="404"/>
      <c r="CQ116" s="404"/>
      <c r="CR116" s="404"/>
      <c r="CS116" s="404"/>
      <c r="CT116" s="404"/>
      <c r="CU116" s="404"/>
      <c r="CV116" s="404"/>
      <c r="CW116" s="404"/>
      <c r="CX116" s="404"/>
      <c r="CY116" s="404"/>
      <c r="CZ116" s="404"/>
      <c r="DA116" s="404"/>
      <c r="DB116" s="404"/>
      <c r="DC116" s="404"/>
      <c r="DD116" s="404"/>
      <c r="DE116" s="404"/>
      <c r="DF116" s="404"/>
      <c r="DG116" s="404"/>
      <c r="DH116" s="404"/>
      <c r="DI116" s="404"/>
      <c r="DJ116" s="404"/>
      <c r="DK116" s="404"/>
      <c r="DL116" s="404"/>
      <c r="DM116" s="404"/>
      <c r="DN116" s="404"/>
      <c r="DO116" s="404"/>
      <c r="DP116" s="404"/>
      <c r="DQ116" s="404"/>
      <c r="DR116" s="404"/>
      <c r="DS116" s="404"/>
      <c r="DT116" s="404"/>
      <c r="DU116" s="404"/>
      <c r="DV116" s="404"/>
      <c r="DW116" s="404"/>
      <c r="DX116" s="404"/>
      <c r="DY116" s="404"/>
      <c r="DZ116" s="404"/>
      <c r="EA116" s="404"/>
      <c r="EB116" s="404"/>
      <c r="EC116" s="404"/>
      <c r="ED116" s="404"/>
      <c r="EE116" s="404"/>
      <c r="EF116" s="404"/>
      <c r="EG116" s="404"/>
      <c r="EH116" s="404"/>
      <c r="EI116" s="404"/>
      <c r="EJ116" s="404"/>
      <c r="EK116" s="404"/>
      <c r="EL116" s="404"/>
      <c r="EM116" s="404"/>
      <c r="EN116" s="404"/>
      <c r="EO116" s="404"/>
      <c r="EP116" s="404"/>
      <c r="EQ116" s="404"/>
      <c r="ER116" s="404"/>
      <c r="ES116" s="404"/>
      <c r="ET116" s="404"/>
      <c r="EU116" s="404"/>
      <c r="EV116" s="404"/>
      <c r="EW116" s="404"/>
      <c r="EX116" s="404"/>
      <c r="EY116" s="404"/>
      <c r="EZ116" s="404"/>
      <c r="FA116" s="404"/>
      <c r="FB116" s="404"/>
      <c r="FC116" s="404"/>
      <c r="FD116" s="404"/>
      <c r="FE116" s="404"/>
      <c r="FF116" s="404"/>
      <c r="FG116" s="404"/>
      <c r="FH116" s="404"/>
      <c r="FI116" s="404"/>
      <c r="FJ116" s="404"/>
      <c r="FK116" s="404"/>
      <c r="FL116" s="404"/>
      <c r="FM116" s="404"/>
      <c r="FN116" s="404"/>
      <c r="FO116" s="404"/>
      <c r="FP116" s="404"/>
      <c r="FQ116" s="404"/>
      <c r="FR116" s="404"/>
      <c r="FS116" s="404"/>
      <c r="FT116" s="404"/>
      <c r="FU116" s="404"/>
      <c r="FV116" s="404"/>
      <c r="FW116" s="404"/>
      <c r="FX116" s="404"/>
      <c r="FY116" s="404"/>
      <c r="FZ116" s="404"/>
      <c r="GA116" s="404"/>
      <c r="GB116" s="404"/>
      <c r="GC116" s="404"/>
      <c r="GD116" s="404"/>
      <c r="GE116" s="404"/>
      <c r="GF116" s="404"/>
      <c r="GG116" s="404"/>
      <c r="GH116" s="404"/>
      <c r="GI116" s="404"/>
      <c r="GJ116" s="404"/>
      <c r="GK116" s="404"/>
      <c r="GL116" s="404"/>
      <c r="GM116" s="404"/>
      <c r="GN116" s="404"/>
      <c r="GO116" s="404"/>
      <c r="GP116" s="404"/>
      <c r="GQ116" s="404"/>
      <c r="GR116" s="404"/>
      <c r="GS116" s="404"/>
      <c r="GT116" s="404"/>
      <c r="GU116" s="404"/>
      <c r="GV116" s="404"/>
      <c r="GW116" s="404"/>
      <c r="GX116" s="404"/>
      <c r="GY116" s="404"/>
      <c r="GZ116" s="404"/>
      <c r="HA116" s="404"/>
      <c r="HB116" s="404"/>
      <c r="HC116" s="404"/>
      <c r="HD116" s="404"/>
      <c r="HE116" s="404"/>
      <c r="HF116" s="404"/>
      <c r="HG116" s="404"/>
      <c r="HH116" s="404"/>
      <c r="HI116" s="404"/>
      <c r="HJ116" s="404"/>
      <c r="HK116" s="404"/>
      <c r="HL116" s="404"/>
      <c r="HM116" s="404"/>
      <c r="HN116" s="404"/>
      <c r="HO116" s="404"/>
      <c r="HP116" s="404"/>
      <c r="HQ116" s="404"/>
      <c r="HR116" s="404"/>
      <c r="HS116" s="404"/>
      <c r="HT116" s="404"/>
      <c r="HU116" s="404"/>
      <c r="HV116" s="404"/>
      <c r="HW116" s="404"/>
      <c r="HX116" s="404"/>
      <c r="HY116" s="404"/>
      <c r="HZ116" s="404"/>
      <c r="IA116" s="404"/>
      <c r="IB116" s="404"/>
      <c r="IC116" s="404"/>
      <c r="ID116" s="404"/>
      <c r="IE116" s="404"/>
      <c r="IF116" s="404"/>
    </row>
    <row r="117" spans="1:240" ht="13.5">
      <c r="A117" s="668" t="s">
        <v>35</v>
      </c>
      <c r="B117" s="668"/>
      <c r="C117" s="668"/>
      <c r="D117" s="399" t="s">
        <v>356</v>
      </c>
      <c r="E117" s="399" t="s">
        <v>356</v>
      </c>
      <c r="F117" s="399" t="s">
        <v>356</v>
      </c>
      <c r="G117" s="400" t="s">
        <v>356</v>
      </c>
      <c r="H117" s="401" t="s">
        <v>356</v>
      </c>
      <c r="I117" s="187" t="s">
        <v>356</v>
      </c>
      <c r="J117" s="187" t="s">
        <v>356</v>
      </c>
      <c r="K117" s="187" t="s">
        <v>356</v>
      </c>
      <c r="L117" s="187" t="s">
        <v>356</v>
      </c>
      <c r="M117" s="187" t="s">
        <v>356</v>
      </c>
      <c r="N117" s="187" t="s">
        <v>356</v>
      </c>
      <c r="O117" s="187">
        <v>0</v>
      </c>
      <c r="P117" s="395">
        <f t="shared" si="11"/>
        <v>0</v>
      </c>
      <c r="Q117" s="402"/>
      <c r="R117" s="402"/>
      <c r="S117" s="402"/>
      <c r="T117" s="402">
        <v>81.25</v>
      </c>
      <c r="U117" s="403"/>
      <c r="V117" s="404"/>
      <c r="W117" s="404"/>
      <c r="X117" s="404"/>
      <c r="Y117" s="404"/>
      <c r="Z117" s="404"/>
      <c r="AA117" s="404"/>
      <c r="AB117" s="404"/>
      <c r="AC117" s="404"/>
      <c r="AD117" s="404"/>
      <c r="AE117" s="404"/>
      <c r="AF117" s="404"/>
      <c r="AG117" s="404"/>
      <c r="AH117" s="404"/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/>
      <c r="AW117" s="404"/>
      <c r="AX117" s="404"/>
      <c r="AY117" s="404"/>
      <c r="AZ117" s="404"/>
      <c r="BA117" s="404"/>
      <c r="BB117" s="404"/>
      <c r="BC117" s="404"/>
      <c r="BD117" s="404"/>
      <c r="BE117" s="404"/>
      <c r="BF117" s="404"/>
      <c r="BG117" s="404"/>
      <c r="BH117" s="404"/>
      <c r="BI117" s="404"/>
      <c r="BJ117" s="404"/>
      <c r="BK117" s="404"/>
      <c r="BL117" s="404"/>
      <c r="BM117" s="404"/>
      <c r="BN117" s="404"/>
      <c r="BO117" s="404"/>
      <c r="BP117" s="404"/>
      <c r="BQ117" s="404"/>
      <c r="BR117" s="404"/>
      <c r="BS117" s="404"/>
      <c r="BT117" s="404"/>
      <c r="BU117" s="404"/>
      <c r="BV117" s="404"/>
      <c r="BW117" s="404"/>
      <c r="BX117" s="404"/>
      <c r="BY117" s="404"/>
      <c r="BZ117" s="404"/>
      <c r="CA117" s="404"/>
      <c r="CB117" s="404"/>
      <c r="CC117" s="404"/>
      <c r="CD117" s="404"/>
      <c r="CE117" s="404"/>
      <c r="CF117" s="404"/>
      <c r="CG117" s="404"/>
      <c r="CH117" s="404"/>
      <c r="CI117" s="404"/>
      <c r="CJ117" s="404"/>
      <c r="CK117" s="404"/>
      <c r="CL117" s="404"/>
      <c r="CM117" s="404"/>
      <c r="CN117" s="404"/>
      <c r="CO117" s="404"/>
      <c r="CP117" s="404"/>
      <c r="CQ117" s="404"/>
      <c r="CR117" s="404"/>
      <c r="CS117" s="404"/>
      <c r="CT117" s="404"/>
      <c r="CU117" s="404"/>
      <c r="CV117" s="404"/>
      <c r="CW117" s="404"/>
      <c r="CX117" s="404"/>
      <c r="CY117" s="404"/>
      <c r="CZ117" s="404"/>
      <c r="DA117" s="404"/>
      <c r="DB117" s="404"/>
      <c r="DC117" s="404"/>
      <c r="DD117" s="404"/>
      <c r="DE117" s="404"/>
      <c r="DF117" s="404"/>
      <c r="DG117" s="404"/>
      <c r="DH117" s="404"/>
      <c r="DI117" s="404"/>
      <c r="DJ117" s="404"/>
      <c r="DK117" s="404"/>
      <c r="DL117" s="404"/>
      <c r="DM117" s="404"/>
      <c r="DN117" s="404"/>
      <c r="DO117" s="404"/>
      <c r="DP117" s="404"/>
      <c r="DQ117" s="404"/>
      <c r="DR117" s="404"/>
      <c r="DS117" s="404"/>
      <c r="DT117" s="404"/>
      <c r="DU117" s="404"/>
      <c r="DV117" s="404"/>
      <c r="DW117" s="404"/>
      <c r="DX117" s="404"/>
      <c r="DY117" s="404"/>
      <c r="DZ117" s="404"/>
      <c r="EA117" s="404"/>
      <c r="EB117" s="404"/>
      <c r="EC117" s="404"/>
      <c r="ED117" s="404"/>
      <c r="EE117" s="404"/>
      <c r="EF117" s="404"/>
      <c r="EG117" s="404"/>
      <c r="EH117" s="404"/>
      <c r="EI117" s="404"/>
      <c r="EJ117" s="404"/>
      <c r="EK117" s="404"/>
      <c r="EL117" s="404"/>
      <c r="EM117" s="404"/>
      <c r="EN117" s="404"/>
      <c r="EO117" s="404"/>
      <c r="EP117" s="404"/>
      <c r="EQ117" s="404"/>
      <c r="ER117" s="404"/>
      <c r="ES117" s="404"/>
      <c r="ET117" s="404"/>
      <c r="EU117" s="404"/>
      <c r="EV117" s="404"/>
      <c r="EW117" s="404"/>
      <c r="EX117" s="404"/>
      <c r="EY117" s="404"/>
      <c r="EZ117" s="404"/>
      <c r="FA117" s="404"/>
      <c r="FB117" s="404"/>
      <c r="FC117" s="404"/>
      <c r="FD117" s="404"/>
      <c r="FE117" s="404"/>
      <c r="FF117" s="404"/>
      <c r="FG117" s="404"/>
      <c r="FH117" s="404"/>
      <c r="FI117" s="404"/>
      <c r="FJ117" s="404"/>
      <c r="FK117" s="404"/>
      <c r="FL117" s="404"/>
      <c r="FM117" s="404"/>
      <c r="FN117" s="404"/>
      <c r="FO117" s="404"/>
      <c r="FP117" s="404"/>
      <c r="FQ117" s="404"/>
      <c r="FR117" s="404"/>
      <c r="FS117" s="404"/>
      <c r="FT117" s="404"/>
      <c r="FU117" s="404"/>
      <c r="FV117" s="404"/>
      <c r="FW117" s="404"/>
      <c r="FX117" s="404"/>
      <c r="FY117" s="404"/>
      <c r="FZ117" s="404"/>
      <c r="GA117" s="404"/>
      <c r="GB117" s="404"/>
      <c r="GC117" s="404"/>
      <c r="GD117" s="404"/>
      <c r="GE117" s="404"/>
      <c r="GF117" s="404"/>
      <c r="GG117" s="404"/>
      <c r="GH117" s="404"/>
      <c r="GI117" s="404"/>
      <c r="GJ117" s="404"/>
      <c r="GK117" s="404"/>
      <c r="GL117" s="404"/>
      <c r="GM117" s="404"/>
      <c r="GN117" s="404"/>
      <c r="GO117" s="404"/>
      <c r="GP117" s="404"/>
      <c r="GQ117" s="404"/>
      <c r="GR117" s="404"/>
      <c r="GS117" s="404"/>
      <c r="GT117" s="404"/>
      <c r="GU117" s="404"/>
      <c r="GV117" s="404"/>
      <c r="GW117" s="404"/>
      <c r="GX117" s="404"/>
      <c r="GY117" s="404"/>
      <c r="GZ117" s="404"/>
      <c r="HA117" s="404"/>
      <c r="HB117" s="404"/>
      <c r="HC117" s="404"/>
      <c r="HD117" s="404"/>
      <c r="HE117" s="404"/>
      <c r="HF117" s="404"/>
      <c r="HG117" s="404"/>
      <c r="HH117" s="404"/>
      <c r="HI117" s="404"/>
      <c r="HJ117" s="404"/>
      <c r="HK117" s="404"/>
      <c r="HL117" s="404"/>
      <c r="HM117" s="404"/>
      <c r="HN117" s="404"/>
      <c r="HO117" s="404"/>
      <c r="HP117" s="404"/>
      <c r="HQ117" s="404"/>
      <c r="HR117" s="404"/>
      <c r="HS117" s="404"/>
      <c r="HT117" s="404"/>
      <c r="HU117" s="404"/>
      <c r="HV117" s="404"/>
      <c r="HW117" s="404"/>
      <c r="HX117" s="404"/>
      <c r="HY117" s="404"/>
      <c r="HZ117" s="404"/>
      <c r="IA117" s="404"/>
      <c r="IB117" s="404"/>
      <c r="IC117" s="404"/>
      <c r="ID117" s="404"/>
      <c r="IE117" s="404"/>
      <c r="IF117" s="404"/>
    </row>
    <row r="118" spans="1:240" ht="13.5">
      <c r="A118" s="745" t="s">
        <v>30</v>
      </c>
      <c r="B118" s="745"/>
      <c r="C118" s="745"/>
      <c r="D118" s="520">
        <v>85.5</v>
      </c>
      <c r="E118" s="521">
        <v>80.7</v>
      </c>
      <c r="F118" s="521">
        <v>90.7</v>
      </c>
      <c r="G118" s="522">
        <v>100</v>
      </c>
      <c r="H118" s="523">
        <v>100</v>
      </c>
      <c r="I118" s="524">
        <v>100</v>
      </c>
      <c r="J118" s="524">
        <v>100</v>
      </c>
      <c r="K118" s="524">
        <v>100</v>
      </c>
      <c r="L118" s="524">
        <v>98</v>
      </c>
      <c r="M118" s="524">
        <v>100</v>
      </c>
      <c r="N118" s="524">
        <v>100</v>
      </c>
      <c r="O118" s="524">
        <v>100</v>
      </c>
      <c r="P118" s="405">
        <f>AVERAGE(D118:O118)</f>
        <v>96.241666666666674</v>
      </c>
      <c r="Q118" s="406"/>
      <c r="R118" s="406"/>
      <c r="S118" s="406"/>
      <c r="T118" s="406">
        <v>88.888999999999996</v>
      </c>
      <c r="U118" s="403"/>
      <c r="V118" s="404"/>
      <c r="W118" s="404"/>
      <c r="X118" s="404"/>
      <c r="Y118" s="404"/>
      <c r="Z118" s="404"/>
      <c r="AA118" s="404"/>
      <c r="AB118" s="404"/>
      <c r="AC118" s="404"/>
      <c r="AD118" s="404"/>
      <c r="AE118" s="404"/>
      <c r="AF118" s="404"/>
      <c r="AG118" s="404"/>
      <c r="AH118" s="404"/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/>
      <c r="AW118" s="404"/>
      <c r="AX118" s="404"/>
      <c r="AY118" s="404"/>
      <c r="AZ118" s="404"/>
      <c r="BA118" s="404"/>
      <c r="BB118" s="404"/>
      <c r="BC118" s="404"/>
      <c r="BD118" s="404"/>
      <c r="BE118" s="404"/>
      <c r="BF118" s="404"/>
      <c r="BG118" s="404"/>
      <c r="BH118" s="404"/>
      <c r="BI118" s="404"/>
      <c r="BJ118" s="404"/>
      <c r="BK118" s="404"/>
      <c r="BL118" s="404"/>
      <c r="BM118" s="404"/>
      <c r="BN118" s="404"/>
      <c r="BO118" s="404"/>
      <c r="BP118" s="404"/>
      <c r="BQ118" s="404"/>
      <c r="BR118" s="404"/>
      <c r="BS118" s="404"/>
      <c r="BT118" s="404"/>
      <c r="BU118" s="404"/>
      <c r="BV118" s="404"/>
      <c r="BW118" s="404"/>
      <c r="BX118" s="404"/>
      <c r="BY118" s="404"/>
      <c r="BZ118" s="404"/>
      <c r="CA118" s="404"/>
      <c r="CB118" s="404"/>
      <c r="CC118" s="404"/>
      <c r="CD118" s="404"/>
      <c r="CE118" s="404"/>
      <c r="CF118" s="404"/>
      <c r="CG118" s="404"/>
      <c r="CH118" s="404"/>
      <c r="CI118" s="404"/>
      <c r="CJ118" s="404"/>
      <c r="CK118" s="404"/>
      <c r="CL118" s="404"/>
      <c r="CM118" s="404"/>
      <c r="CN118" s="404"/>
      <c r="CO118" s="404"/>
      <c r="CP118" s="404"/>
      <c r="CQ118" s="404"/>
      <c r="CR118" s="404"/>
      <c r="CS118" s="404"/>
      <c r="CT118" s="404"/>
      <c r="CU118" s="404"/>
      <c r="CV118" s="404"/>
      <c r="CW118" s="404"/>
      <c r="CX118" s="404"/>
      <c r="CY118" s="404"/>
      <c r="CZ118" s="404"/>
      <c r="DA118" s="404"/>
      <c r="DB118" s="404"/>
      <c r="DC118" s="404"/>
      <c r="DD118" s="404"/>
      <c r="DE118" s="404"/>
      <c r="DF118" s="404"/>
      <c r="DG118" s="404"/>
      <c r="DH118" s="404"/>
      <c r="DI118" s="404"/>
      <c r="DJ118" s="404"/>
      <c r="DK118" s="404"/>
      <c r="DL118" s="404"/>
      <c r="DM118" s="404"/>
      <c r="DN118" s="404"/>
      <c r="DO118" s="404"/>
      <c r="DP118" s="404"/>
      <c r="DQ118" s="404"/>
      <c r="DR118" s="404"/>
      <c r="DS118" s="404"/>
      <c r="DT118" s="404"/>
      <c r="DU118" s="404"/>
      <c r="DV118" s="404"/>
      <c r="DW118" s="404"/>
      <c r="DX118" s="404"/>
      <c r="DY118" s="404"/>
      <c r="DZ118" s="404"/>
      <c r="EA118" s="404"/>
      <c r="EB118" s="404"/>
      <c r="EC118" s="404"/>
      <c r="ED118" s="404"/>
      <c r="EE118" s="404"/>
      <c r="EF118" s="404"/>
      <c r="EG118" s="404"/>
      <c r="EH118" s="404"/>
      <c r="EI118" s="404"/>
      <c r="EJ118" s="404"/>
      <c r="EK118" s="404"/>
      <c r="EL118" s="404"/>
      <c r="EM118" s="404"/>
      <c r="EN118" s="404"/>
      <c r="EO118" s="404"/>
      <c r="EP118" s="404"/>
      <c r="EQ118" s="404"/>
      <c r="ER118" s="404"/>
      <c r="ES118" s="404"/>
      <c r="ET118" s="404"/>
      <c r="EU118" s="404"/>
      <c r="EV118" s="404"/>
      <c r="EW118" s="404"/>
      <c r="EX118" s="404"/>
      <c r="EY118" s="404"/>
      <c r="EZ118" s="404"/>
      <c r="FA118" s="404"/>
      <c r="FB118" s="404"/>
      <c r="FC118" s="404"/>
      <c r="FD118" s="404"/>
      <c r="FE118" s="404"/>
      <c r="FF118" s="404"/>
      <c r="FG118" s="404"/>
      <c r="FH118" s="404"/>
      <c r="FI118" s="404"/>
      <c r="FJ118" s="404"/>
      <c r="FK118" s="404"/>
      <c r="FL118" s="404"/>
      <c r="FM118" s="404"/>
      <c r="FN118" s="404"/>
      <c r="FO118" s="404"/>
      <c r="FP118" s="404"/>
      <c r="FQ118" s="404"/>
      <c r="FR118" s="404"/>
      <c r="FS118" s="404"/>
      <c r="FT118" s="404"/>
      <c r="FU118" s="404"/>
      <c r="FV118" s="404"/>
      <c r="FW118" s="404"/>
      <c r="FX118" s="404"/>
      <c r="FY118" s="404"/>
      <c r="FZ118" s="404"/>
      <c r="GA118" s="404"/>
      <c r="GB118" s="404"/>
      <c r="GC118" s="404"/>
      <c r="GD118" s="404"/>
      <c r="GE118" s="404"/>
      <c r="GF118" s="404"/>
      <c r="GG118" s="404"/>
      <c r="GH118" s="404"/>
      <c r="GI118" s="404"/>
      <c r="GJ118" s="404"/>
      <c r="GK118" s="404"/>
      <c r="GL118" s="404"/>
      <c r="GM118" s="404"/>
      <c r="GN118" s="404"/>
      <c r="GO118" s="404"/>
      <c r="GP118" s="404"/>
      <c r="GQ118" s="404"/>
      <c r="GR118" s="404"/>
      <c r="GS118" s="404"/>
      <c r="GT118" s="404"/>
      <c r="GU118" s="404"/>
      <c r="GV118" s="404"/>
      <c r="GW118" s="404"/>
      <c r="GX118" s="404"/>
      <c r="GY118" s="404"/>
      <c r="GZ118" s="404"/>
      <c r="HA118" s="404"/>
      <c r="HB118" s="404"/>
      <c r="HC118" s="404"/>
      <c r="HD118" s="404"/>
      <c r="HE118" s="404"/>
      <c r="HF118" s="404"/>
      <c r="HG118" s="404"/>
      <c r="HH118" s="404"/>
      <c r="HI118" s="404"/>
      <c r="HJ118" s="404"/>
      <c r="HK118" s="404"/>
      <c r="HL118" s="404"/>
      <c r="HM118" s="404"/>
      <c r="HN118" s="404"/>
      <c r="HO118" s="404"/>
      <c r="HP118" s="404"/>
      <c r="HQ118" s="404"/>
      <c r="HR118" s="404"/>
      <c r="HS118" s="404"/>
      <c r="HT118" s="404"/>
      <c r="HU118" s="404"/>
      <c r="HV118" s="404"/>
      <c r="HW118" s="404"/>
      <c r="HX118" s="404"/>
      <c r="HY118" s="404"/>
      <c r="HZ118" s="404"/>
      <c r="IA118" s="404"/>
      <c r="IB118" s="404"/>
      <c r="IC118" s="404"/>
      <c r="ID118" s="404"/>
      <c r="IE118" s="404"/>
      <c r="IF118" s="40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671" t="s">
        <v>1</v>
      </c>
      <c r="B121" s="672"/>
      <c r="C121" s="672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683" t="s">
        <v>52</v>
      </c>
      <c r="B122" s="684"/>
      <c r="C122" s="684"/>
      <c r="D122" s="195" t="s">
        <v>330</v>
      </c>
      <c r="E122" s="195" t="s">
        <v>321</v>
      </c>
      <c r="F122" s="195" t="s">
        <v>320</v>
      </c>
      <c r="G122" s="195" t="s">
        <v>341</v>
      </c>
      <c r="H122" s="195" t="s">
        <v>288</v>
      </c>
      <c r="I122" s="195" t="s">
        <v>330</v>
      </c>
      <c r="J122" s="195" t="s">
        <v>321</v>
      </c>
      <c r="K122" s="195" t="s">
        <v>290</v>
      </c>
      <c r="L122" s="195" t="s">
        <v>346</v>
      </c>
      <c r="M122" s="195" t="s">
        <v>289</v>
      </c>
      <c r="N122" s="195" t="s">
        <v>287</v>
      </c>
      <c r="O122" s="195">
        <v>97.9</v>
      </c>
      <c r="P122" s="408">
        <f>AVERAGE(D122:O122)</f>
        <v>97.9</v>
      </c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9"/>
      <c r="BE122" s="409"/>
      <c r="BF122" s="409"/>
      <c r="BG122" s="409"/>
      <c r="BH122" s="409"/>
      <c r="BI122" s="409"/>
      <c r="BJ122" s="409"/>
      <c r="BK122" s="409"/>
      <c r="BL122" s="409"/>
      <c r="BM122" s="409"/>
      <c r="BN122" s="409"/>
      <c r="BO122" s="409"/>
      <c r="BP122" s="409"/>
      <c r="BQ122" s="409"/>
      <c r="BR122" s="409"/>
      <c r="BS122" s="409"/>
      <c r="BT122" s="409"/>
      <c r="BU122" s="409"/>
      <c r="BV122" s="409"/>
      <c r="BW122" s="409"/>
      <c r="BX122" s="409"/>
      <c r="BY122" s="409"/>
      <c r="BZ122" s="409"/>
      <c r="CA122" s="409"/>
      <c r="CB122" s="409"/>
      <c r="CC122" s="409"/>
      <c r="CD122" s="409"/>
      <c r="CE122" s="409"/>
      <c r="CF122" s="409"/>
      <c r="CG122" s="409"/>
      <c r="CH122" s="409"/>
      <c r="CI122" s="409"/>
      <c r="CJ122" s="409"/>
      <c r="CK122" s="409"/>
      <c r="CL122" s="409"/>
      <c r="CM122" s="409"/>
      <c r="CN122" s="409"/>
      <c r="CO122" s="409"/>
      <c r="CP122" s="409"/>
      <c r="CQ122" s="409"/>
      <c r="CR122" s="409"/>
      <c r="CS122" s="409"/>
      <c r="CT122" s="409"/>
      <c r="CU122" s="409"/>
      <c r="CV122" s="409"/>
      <c r="CW122" s="409"/>
      <c r="CX122" s="409"/>
      <c r="CY122" s="409"/>
      <c r="CZ122" s="409"/>
      <c r="DA122" s="409"/>
      <c r="DB122" s="409"/>
      <c r="DC122" s="409"/>
      <c r="DD122" s="409"/>
      <c r="DE122" s="409"/>
      <c r="DF122" s="409"/>
      <c r="DG122" s="409"/>
      <c r="DH122" s="409"/>
      <c r="DI122" s="409"/>
      <c r="DJ122" s="409"/>
      <c r="DK122" s="409"/>
      <c r="DL122" s="409"/>
      <c r="DM122" s="409"/>
      <c r="DN122" s="409"/>
      <c r="DO122" s="409"/>
      <c r="DP122" s="409"/>
      <c r="DQ122" s="409"/>
      <c r="DR122" s="409"/>
      <c r="DS122" s="409"/>
      <c r="DT122" s="409"/>
      <c r="DU122" s="409"/>
      <c r="DV122" s="409"/>
      <c r="DW122" s="409"/>
      <c r="DX122" s="409"/>
      <c r="DY122" s="409"/>
      <c r="DZ122" s="409"/>
      <c r="EA122" s="409"/>
      <c r="EB122" s="409"/>
      <c r="EC122" s="409"/>
      <c r="ED122" s="409"/>
      <c r="EE122" s="409"/>
      <c r="EF122" s="409"/>
      <c r="EG122" s="409"/>
      <c r="EH122" s="409"/>
      <c r="EI122" s="409"/>
      <c r="EJ122" s="409"/>
      <c r="EK122" s="409"/>
      <c r="EL122" s="409"/>
      <c r="EM122" s="409"/>
      <c r="EN122" s="409"/>
      <c r="EO122" s="409"/>
      <c r="EP122" s="409"/>
      <c r="EQ122" s="409"/>
      <c r="ER122" s="409"/>
      <c r="ES122" s="409"/>
      <c r="ET122" s="409"/>
      <c r="EU122" s="409"/>
      <c r="EV122" s="409"/>
      <c r="EW122" s="409"/>
      <c r="EX122" s="409"/>
      <c r="EY122" s="409"/>
      <c r="EZ122" s="409"/>
      <c r="FA122" s="409"/>
      <c r="FB122" s="409"/>
      <c r="FC122" s="409"/>
      <c r="FD122" s="409"/>
      <c r="FE122" s="409"/>
      <c r="FF122" s="409"/>
      <c r="FG122" s="409"/>
      <c r="FH122" s="409"/>
      <c r="FI122" s="409"/>
      <c r="FJ122" s="409"/>
      <c r="FK122" s="409"/>
      <c r="FL122" s="409"/>
      <c r="FM122" s="409"/>
      <c r="FN122" s="409"/>
      <c r="FO122" s="409"/>
      <c r="FP122" s="409"/>
      <c r="FQ122" s="409"/>
      <c r="FR122" s="409"/>
      <c r="FS122" s="409"/>
      <c r="FT122" s="409"/>
      <c r="FU122" s="409"/>
      <c r="FV122" s="409"/>
      <c r="FW122" s="409"/>
      <c r="FX122" s="409"/>
      <c r="FY122" s="409"/>
      <c r="FZ122" s="409"/>
      <c r="GA122" s="409"/>
      <c r="GB122" s="409"/>
      <c r="GC122" s="409"/>
      <c r="GD122" s="409"/>
      <c r="GE122" s="409"/>
      <c r="GF122" s="409"/>
      <c r="GG122" s="409"/>
      <c r="GH122" s="409"/>
      <c r="GI122" s="409"/>
      <c r="GJ122" s="409"/>
      <c r="GK122" s="409"/>
      <c r="GL122" s="409"/>
      <c r="GM122" s="409"/>
      <c r="GN122" s="409"/>
      <c r="GO122" s="409"/>
      <c r="GP122" s="409"/>
      <c r="GQ122" s="409"/>
      <c r="GR122" s="409"/>
      <c r="GS122" s="409"/>
      <c r="GT122" s="409"/>
      <c r="GU122" s="409"/>
      <c r="GV122" s="409"/>
      <c r="GW122" s="409"/>
      <c r="GX122" s="409"/>
      <c r="GY122" s="409"/>
      <c r="GZ122" s="409"/>
      <c r="HA122" s="409"/>
      <c r="HB122" s="409"/>
      <c r="HC122" s="409"/>
      <c r="HD122" s="409"/>
      <c r="HE122" s="409"/>
      <c r="HF122" s="409"/>
      <c r="HG122" s="409"/>
      <c r="HH122" s="409"/>
      <c r="HI122" s="409"/>
      <c r="HJ122" s="409"/>
      <c r="HK122" s="409"/>
      <c r="HL122" s="409"/>
      <c r="HM122" s="409"/>
      <c r="HN122" s="409"/>
      <c r="HO122" s="409"/>
      <c r="HP122" s="409"/>
      <c r="HQ122" s="409"/>
      <c r="HR122" s="409"/>
      <c r="HS122" s="409"/>
      <c r="HT122" s="409"/>
      <c r="HU122" s="409"/>
      <c r="HV122" s="409"/>
      <c r="HW122" s="409"/>
      <c r="HX122" s="409"/>
      <c r="HY122" s="409"/>
      <c r="HZ122" s="409"/>
      <c r="IA122" s="409"/>
      <c r="IB122" s="409"/>
      <c r="IC122" s="409"/>
      <c r="ID122" s="409"/>
      <c r="IE122" s="409"/>
      <c r="IF122" s="409"/>
    </row>
    <row r="123" spans="1:240">
      <c r="A123" s="683" t="s">
        <v>53</v>
      </c>
      <c r="B123" s="684"/>
      <c r="C123" s="684"/>
      <c r="D123" s="195" t="s">
        <v>331</v>
      </c>
      <c r="E123" s="195" t="s">
        <v>331</v>
      </c>
      <c r="F123" s="195" t="s">
        <v>320</v>
      </c>
      <c r="G123" s="195" t="s">
        <v>341</v>
      </c>
      <c r="H123" s="195" t="s">
        <v>286</v>
      </c>
      <c r="I123" s="195" t="s">
        <v>321</v>
      </c>
      <c r="J123" s="195" t="s">
        <v>321</v>
      </c>
      <c r="K123" s="195" t="s">
        <v>326</v>
      </c>
      <c r="L123" s="195" t="s">
        <v>287</v>
      </c>
      <c r="M123" s="195" t="s">
        <v>287</v>
      </c>
      <c r="N123" s="195" t="s">
        <v>287</v>
      </c>
      <c r="O123" s="195">
        <v>98.4</v>
      </c>
      <c r="P123" s="408">
        <f t="shared" ref="P123:P141" si="12">AVERAGE(D123:O123)</f>
        <v>98.4</v>
      </c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9"/>
      <c r="BE123" s="409"/>
      <c r="BF123" s="409"/>
      <c r="BG123" s="409"/>
      <c r="BH123" s="409"/>
      <c r="BI123" s="409"/>
      <c r="BJ123" s="409"/>
      <c r="BK123" s="409"/>
      <c r="BL123" s="409"/>
      <c r="BM123" s="409"/>
      <c r="BN123" s="409"/>
      <c r="BO123" s="409"/>
      <c r="BP123" s="409"/>
      <c r="BQ123" s="409"/>
      <c r="BR123" s="409"/>
      <c r="BS123" s="409"/>
      <c r="BT123" s="409"/>
      <c r="BU123" s="409"/>
      <c r="BV123" s="409"/>
      <c r="BW123" s="409"/>
      <c r="BX123" s="409"/>
      <c r="BY123" s="409"/>
      <c r="BZ123" s="409"/>
      <c r="CA123" s="409"/>
      <c r="CB123" s="409"/>
      <c r="CC123" s="409"/>
      <c r="CD123" s="409"/>
      <c r="CE123" s="409"/>
      <c r="CF123" s="409"/>
      <c r="CG123" s="409"/>
      <c r="CH123" s="409"/>
      <c r="CI123" s="409"/>
      <c r="CJ123" s="409"/>
      <c r="CK123" s="409"/>
      <c r="CL123" s="409"/>
      <c r="CM123" s="409"/>
      <c r="CN123" s="409"/>
      <c r="CO123" s="409"/>
      <c r="CP123" s="409"/>
      <c r="CQ123" s="409"/>
      <c r="CR123" s="409"/>
      <c r="CS123" s="409"/>
      <c r="CT123" s="409"/>
      <c r="CU123" s="409"/>
      <c r="CV123" s="409"/>
      <c r="CW123" s="409"/>
      <c r="CX123" s="409"/>
      <c r="CY123" s="409"/>
      <c r="CZ123" s="409"/>
      <c r="DA123" s="409"/>
      <c r="DB123" s="409"/>
      <c r="DC123" s="409"/>
      <c r="DD123" s="409"/>
      <c r="DE123" s="409"/>
      <c r="DF123" s="409"/>
      <c r="DG123" s="409"/>
      <c r="DH123" s="409"/>
      <c r="DI123" s="409"/>
      <c r="DJ123" s="409"/>
      <c r="DK123" s="409"/>
      <c r="DL123" s="409"/>
      <c r="DM123" s="409"/>
      <c r="DN123" s="409"/>
      <c r="DO123" s="409"/>
      <c r="DP123" s="409"/>
      <c r="DQ123" s="409"/>
      <c r="DR123" s="409"/>
      <c r="DS123" s="409"/>
      <c r="DT123" s="409"/>
      <c r="DU123" s="409"/>
      <c r="DV123" s="409"/>
      <c r="DW123" s="409"/>
      <c r="DX123" s="409"/>
      <c r="DY123" s="409"/>
      <c r="DZ123" s="409"/>
      <c r="EA123" s="409"/>
      <c r="EB123" s="409"/>
      <c r="EC123" s="409"/>
      <c r="ED123" s="409"/>
      <c r="EE123" s="409"/>
      <c r="EF123" s="409"/>
      <c r="EG123" s="409"/>
      <c r="EH123" s="409"/>
      <c r="EI123" s="409"/>
      <c r="EJ123" s="409"/>
      <c r="EK123" s="409"/>
      <c r="EL123" s="409"/>
      <c r="EM123" s="409"/>
      <c r="EN123" s="409"/>
      <c r="EO123" s="409"/>
      <c r="EP123" s="409"/>
      <c r="EQ123" s="409"/>
      <c r="ER123" s="409"/>
      <c r="ES123" s="409"/>
      <c r="ET123" s="409"/>
      <c r="EU123" s="409"/>
      <c r="EV123" s="409"/>
      <c r="EW123" s="409"/>
      <c r="EX123" s="409"/>
      <c r="EY123" s="409"/>
      <c r="EZ123" s="409"/>
      <c r="FA123" s="409"/>
      <c r="FB123" s="409"/>
      <c r="FC123" s="409"/>
      <c r="FD123" s="409"/>
      <c r="FE123" s="409"/>
      <c r="FF123" s="409"/>
      <c r="FG123" s="409"/>
      <c r="FH123" s="409"/>
      <c r="FI123" s="409"/>
      <c r="FJ123" s="409"/>
      <c r="FK123" s="409"/>
      <c r="FL123" s="409"/>
      <c r="FM123" s="409"/>
      <c r="FN123" s="409"/>
      <c r="FO123" s="409"/>
      <c r="FP123" s="409"/>
      <c r="FQ123" s="409"/>
      <c r="FR123" s="409"/>
      <c r="FS123" s="409"/>
      <c r="FT123" s="409"/>
      <c r="FU123" s="409"/>
      <c r="FV123" s="409"/>
      <c r="FW123" s="409"/>
      <c r="FX123" s="409"/>
      <c r="FY123" s="409"/>
      <c r="FZ123" s="409"/>
      <c r="GA123" s="409"/>
      <c r="GB123" s="409"/>
      <c r="GC123" s="409"/>
      <c r="GD123" s="409"/>
      <c r="GE123" s="409"/>
      <c r="GF123" s="409"/>
      <c r="GG123" s="409"/>
      <c r="GH123" s="409"/>
      <c r="GI123" s="409"/>
      <c r="GJ123" s="409"/>
      <c r="GK123" s="409"/>
      <c r="GL123" s="409"/>
      <c r="GM123" s="409"/>
      <c r="GN123" s="409"/>
      <c r="GO123" s="409"/>
      <c r="GP123" s="409"/>
      <c r="GQ123" s="409"/>
      <c r="GR123" s="409"/>
      <c r="GS123" s="409"/>
      <c r="GT123" s="409"/>
      <c r="GU123" s="409"/>
      <c r="GV123" s="409"/>
      <c r="GW123" s="409"/>
      <c r="GX123" s="409"/>
      <c r="GY123" s="409"/>
      <c r="GZ123" s="409"/>
      <c r="HA123" s="409"/>
      <c r="HB123" s="409"/>
      <c r="HC123" s="409"/>
      <c r="HD123" s="409"/>
      <c r="HE123" s="409"/>
      <c r="HF123" s="409"/>
      <c r="HG123" s="409"/>
      <c r="HH123" s="409"/>
      <c r="HI123" s="409"/>
      <c r="HJ123" s="409"/>
      <c r="HK123" s="409"/>
      <c r="HL123" s="409"/>
      <c r="HM123" s="409"/>
      <c r="HN123" s="409"/>
      <c r="HO123" s="409"/>
      <c r="HP123" s="409"/>
      <c r="HQ123" s="409"/>
      <c r="HR123" s="409"/>
      <c r="HS123" s="409"/>
      <c r="HT123" s="409"/>
      <c r="HU123" s="409"/>
      <c r="HV123" s="409"/>
      <c r="HW123" s="409"/>
      <c r="HX123" s="409"/>
      <c r="HY123" s="409"/>
      <c r="HZ123" s="409"/>
      <c r="IA123" s="409"/>
      <c r="IB123" s="409"/>
      <c r="IC123" s="409"/>
      <c r="ID123" s="409"/>
      <c r="IE123" s="409"/>
      <c r="IF123" s="409"/>
    </row>
    <row r="124" spans="1:240">
      <c r="A124" s="683" t="s">
        <v>54</v>
      </c>
      <c r="B124" s="684"/>
      <c r="C124" s="684"/>
      <c r="D124" s="195" t="s">
        <v>307</v>
      </c>
      <c r="E124" s="195" t="s">
        <v>307</v>
      </c>
      <c r="F124" s="195" t="s">
        <v>308</v>
      </c>
      <c r="G124" s="195" t="s">
        <v>308</v>
      </c>
      <c r="H124" s="195" t="s">
        <v>305</v>
      </c>
      <c r="I124" s="195" t="s">
        <v>291</v>
      </c>
      <c r="J124" s="195" t="s">
        <v>307</v>
      </c>
      <c r="K124" s="195" t="s">
        <v>291</v>
      </c>
      <c r="L124" s="195" t="s">
        <v>305</v>
      </c>
      <c r="M124" s="195" t="s">
        <v>291</v>
      </c>
      <c r="N124" s="195" t="s">
        <v>358</v>
      </c>
      <c r="O124" s="195">
        <v>99.1</v>
      </c>
      <c r="P124" s="408">
        <f t="shared" si="12"/>
        <v>99.1</v>
      </c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9"/>
      <c r="BE124" s="409"/>
      <c r="BF124" s="409"/>
      <c r="BG124" s="409"/>
      <c r="BH124" s="409"/>
      <c r="BI124" s="409"/>
      <c r="BJ124" s="409"/>
      <c r="BK124" s="409"/>
      <c r="BL124" s="409"/>
      <c r="BM124" s="409"/>
      <c r="BN124" s="409"/>
      <c r="BO124" s="409"/>
      <c r="BP124" s="409"/>
      <c r="BQ124" s="409"/>
      <c r="BR124" s="409"/>
      <c r="BS124" s="409"/>
      <c r="BT124" s="409"/>
      <c r="BU124" s="409"/>
      <c r="BV124" s="409"/>
      <c r="BW124" s="409"/>
      <c r="BX124" s="409"/>
      <c r="BY124" s="409"/>
      <c r="BZ124" s="409"/>
      <c r="CA124" s="409"/>
      <c r="CB124" s="409"/>
      <c r="CC124" s="409"/>
      <c r="CD124" s="409"/>
      <c r="CE124" s="409"/>
      <c r="CF124" s="409"/>
      <c r="CG124" s="409"/>
      <c r="CH124" s="409"/>
      <c r="CI124" s="409"/>
      <c r="CJ124" s="409"/>
      <c r="CK124" s="409"/>
      <c r="CL124" s="409"/>
      <c r="CM124" s="409"/>
      <c r="CN124" s="409"/>
      <c r="CO124" s="409"/>
      <c r="CP124" s="409"/>
      <c r="CQ124" s="409"/>
      <c r="CR124" s="409"/>
      <c r="CS124" s="409"/>
      <c r="CT124" s="409"/>
      <c r="CU124" s="409"/>
      <c r="CV124" s="409"/>
      <c r="CW124" s="409"/>
      <c r="CX124" s="409"/>
      <c r="CY124" s="409"/>
      <c r="CZ124" s="409"/>
      <c r="DA124" s="409"/>
      <c r="DB124" s="409"/>
      <c r="DC124" s="409"/>
      <c r="DD124" s="409"/>
      <c r="DE124" s="409"/>
      <c r="DF124" s="409"/>
      <c r="DG124" s="409"/>
      <c r="DH124" s="409"/>
      <c r="DI124" s="409"/>
      <c r="DJ124" s="409"/>
      <c r="DK124" s="409"/>
      <c r="DL124" s="409"/>
      <c r="DM124" s="409"/>
      <c r="DN124" s="409"/>
      <c r="DO124" s="409"/>
      <c r="DP124" s="409"/>
      <c r="DQ124" s="409"/>
      <c r="DR124" s="409"/>
      <c r="DS124" s="409"/>
      <c r="DT124" s="409"/>
      <c r="DU124" s="409"/>
      <c r="DV124" s="409"/>
      <c r="DW124" s="409"/>
      <c r="DX124" s="409"/>
      <c r="DY124" s="409"/>
      <c r="DZ124" s="409"/>
      <c r="EA124" s="409"/>
      <c r="EB124" s="409"/>
      <c r="EC124" s="409"/>
      <c r="ED124" s="409"/>
      <c r="EE124" s="409"/>
      <c r="EF124" s="409"/>
      <c r="EG124" s="409"/>
      <c r="EH124" s="409"/>
      <c r="EI124" s="409"/>
      <c r="EJ124" s="409"/>
      <c r="EK124" s="409"/>
      <c r="EL124" s="409"/>
      <c r="EM124" s="409"/>
      <c r="EN124" s="409"/>
      <c r="EO124" s="409"/>
      <c r="EP124" s="409"/>
      <c r="EQ124" s="409"/>
      <c r="ER124" s="409"/>
      <c r="ES124" s="409"/>
      <c r="ET124" s="409"/>
      <c r="EU124" s="409"/>
      <c r="EV124" s="409"/>
      <c r="EW124" s="409"/>
      <c r="EX124" s="409"/>
      <c r="EY124" s="409"/>
      <c r="EZ124" s="409"/>
      <c r="FA124" s="409"/>
      <c r="FB124" s="409"/>
      <c r="FC124" s="409"/>
      <c r="FD124" s="409"/>
      <c r="FE124" s="409"/>
      <c r="FF124" s="409"/>
      <c r="FG124" s="409"/>
      <c r="FH124" s="409"/>
      <c r="FI124" s="409"/>
      <c r="FJ124" s="409"/>
      <c r="FK124" s="409"/>
      <c r="FL124" s="409"/>
      <c r="FM124" s="409"/>
      <c r="FN124" s="409"/>
      <c r="FO124" s="409"/>
      <c r="FP124" s="409"/>
      <c r="FQ124" s="409"/>
      <c r="FR124" s="409"/>
      <c r="FS124" s="409"/>
      <c r="FT124" s="409"/>
      <c r="FU124" s="409"/>
      <c r="FV124" s="409"/>
      <c r="FW124" s="409"/>
      <c r="FX124" s="409"/>
      <c r="FY124" s="409"/>
      <c r="FZ124" s="409"/>
      <c r="GA124" s="409"/>
      <c r="GB124" s="409"/>
      <c r="GC124" s="409"/>
      <c r="GD124" s="409"/>
      <c r="GE124" s="409"/>
      <c r="GF124" s="409"/>
      <c r="GG124" s="409"/>
      <c r="GH124" s="409"/>
      <c r="GI124" s="409"/>
      <c r="GJ124" s="409"/>
      <c r="GK124" s="409"/>
      <c r="GL124" s="409"/>
      <c r="GM124" s="409"/>
      <c r="GN124" s="409"/>
      <c r="GO124" s="409"/>
      <c r="GP124" s="409"/>
      <c r="GQ124" s="409"/>
      <c r="GR124" s="409"/>
      <c r="GS124" s="409"/>
      <c r="GT124" s="409"/>
      <c r="GU124" s="409"/>
      <c r="GV124" s="409"/>
      <c r="GW124" s="409"/>
      <c r="GX124" s="409"/>
      <c r="GY124" s="409"/>
      <c r="GZ124" s="409"/>
      <c r="HA124" s="409"/>
      <c r="HB124" s="409"/>
      <c r="HC124" s="409"/>
      <c r="HD124" s="409"/>
      <c r="HE124" s="409"/>
      <c r="HF124" s="409"/>
      <c r="HG124" s="409"/>
      <c r="HH124" s="409"/>
      <c r="HI124" s="409"/>
      <c r="HJ124" s="409"/>
      <c r="HK124" s="409"/>
      <c r="HL124" s="409"/>
      <c r="HM124" s="409"/>
      <c r="HN124" s="409"/>
      <c r="HO124" s="409"/>
      <c r="HP124" s="409"/>
      <c r="HQ124" s="409"/>
      <c r="HR124" s="409"/>
      <c r="HS124" s="409"/>
      <c r="HT124" s="409"/>
      <c r="HU124" s="409"/>
      <c r="HV124" s="409"/>
      <c r="HW124" s="409"/>
      <c r="HX124" s="409"/>
      <c r="HY124" s="409"/>
      <c r="HZ124" s="409"/>
      <c r="IA124" s="409"/>
      <c r="IB124" s="409"/>
      <c r="IC124" s="409"/>
      <c r="ID124" s="409"/>
      <c r="IE124" s="409"/>
      <c r="IF124" s="409"/>
    </row>
    <row r="125" spans="1:240">
      <c r="A125" s="709" t="s">
        <v>55</v>
      </c>
      <c r="B125" s="710"/>
      <c r="C125" s="711"/>
      <c r="D125" s="199" t="s">
        <v>326</v>
      </c>
      <c r="E125" s="199" t="s">
        <v>286</v>
      </c>
      <c r="F125" s="199" t="s">
        <v>341</v>
      </c>
      <c r="G125" s="199" t="s">
        <v>341</v>
      </c>
      <c r="H125" s="199" t="s">
        <v>288</v>
      </c>
      <c r="I125" s="199" t="s">
        <v>330</v>
      </c>
      <c r="J125" s="199" t="s">
        <v>287</v>
      </c>
      <c r="K125" s="199" t="s">
        <v>330</v>
      </c>
      <c r="L125" s="199" t="s">
        <v>289</v>
      </c>
      <c r="M125" s="199" t="s">
        <v>330</v>
      </c>
      <c r="N125" s="199" t="s">
        <v>330</v>
      </c>
      <c r="O125" s="199">
        <v>98.2</v>
      </c>
      <c r="P125" s="410">
        <f t="shared" si="12"/>
        <v>98.2</v>
      </c>
      <c r="R125" s="409"/>
      <c r="S125" s="409"/>
      <c r="T125" s="409"/>
      <c r="U125" s="409"/>
      <c r="V125" s="409"/>
      <c r="W125" s="409"/>
      <c r="X125" s="409"/>
      <c r="Y125" s="409"/>
      <c r="Z125" s="409"/>
      <c r="AA125" s="409"/>
      <c r="AB125" s="409"/>
      <c r="AC125" s="409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9"/>
      <c r="BE125" s="409"/>
      <c r="BF125" s="409"/>
      <c r="BG125" s="409"/>
      <c r="BH125" s="409"/>
      <c r="BI125" s="409"/>
      <c r="BJ125" s="409"/>
      <c r="BK125" s="409"/>
      <c r="BL125" s="409"/>
      <c r="BM125" s="409"/>
      <c r="BN125" s="409"/>
      <c r="BO125" s="409"/>
      <c r="BP125" s="409"/>
      <c r="BQ125" s="409"/>
      <c r="BR125" s="409"/>
      <c r="BS125" s="409"/>
      <c r="BT125" s="409"/>
      <c r="BU125" s="409"/>
      <c r="BV125" s="409"/>
      <c r="BW125" s="409"/>
      <c r="BX125" s="409"/>
      <c r="BY125" s="409"/>
      <c r="BZ125" s="409"/>
      <c r="CA125" s="409"/>
      <c r="CB125" s="409"/>
      <c r="CC125" s="409"/>
      <c r="CD125" s="409"/>
      <c r="CE125" s="409"/>
      <c r="CF125" s="409"/>
      <c r="CG125" s="409"/>
      <c r="CH125" s="409"/>
      <c r="CI125" s="409"/>
      <c r="CJ125" s="409"/>
      <c r="CK125" s="409"/>
      <c r="CL125" s="409"/>
      <c r="CM125" s="409"/>
      <c r="CN125" s="409"/>
      <c r="CO125" s="409"/>
      <c r="CP125" s="409"/>
      <c r="CQ125" s="409"/>
      <c r="CR125" s="409"/>
      <c r="CS125" s="409"/>
      <c r="CT125" s="409"/>
      <c r="CU125" s="409"/>
      <c r="CV125" s="409"/>
      <c r="CW125" s="409"/>
      <c r="CX125" s="409"/>
      <c r="CY125" s="409"/>
      <c r="CZ125" s="409"/>
      <c r="DA125" s="409"/>
      <c r="DB125" s="409"/>
      <c r="DC125" s="409"/>
      <c r="DD125" s="409"/>
      <c r="DE125" s="409"/>
      <c r="DF125" s="409"/>
      <c r="DG125" s="409"/>
      <c r="DH125" s="409"/>
      <c r="DI125" s="409"/>
      <c r="DJ125" s="409"/>
      <c r="DK125" s="409"/>
      <c r="DL125" s="409"/>
      <c r="DM125" s="409"/>
      <c r="DN125" s="409"/>
      <c r="DO125" s="409"/>
      <c r="DP125" s="409"/>
      <c r="DQ125" s="409"/>
      <c r="DR125" s="409"/>
      <c r="DS125" s="409"/>
      <c r="DT125" s="409"/>
      <c r="DU125" s="409"/>
      <c r="DV125" s="409"/>
      <c r="DW125" s="409"/>
      <c r="DX125" s="409"/>
      <c r="DY125" s="409"/>
      <c r="DZ125" s="409"/>
      <c r="EA125" s="409"/>
      <c r="EB125" s="409"/>
      <c r="EC125" s="409"/>
      <c r="ED125" s="409"/>
      <c r="EE125" s="409"/>
      <c r="EF125" s="409"/>
      <c r="EG125" s="409"/>
      <c r="EH125" s="409"/>
      <c r="EI125" s="409"/>
      <c r="EJ125" s="409"/>
      <c r="EK125" s="409"/>
      <c r="EL125" s="409"/>
      <c r="EM125" s="409"/>
      <c r="EN125" s="409"/>
      <c r="EO125" s="409"/>
      <c r="EP125" s="409"/>
      <c r="EQ125" s="409"/>
      <c r="ER125" s="409"/>
      <c r="ES125" s="409"/>
      <c r="ET125" s="409"/>
      <c r="EU125" s="409"/>
      <c r="EV125" s="409"/>
      <c r="EW125" s="409"/>
      <c r="EX125" s="409"/>
      <c r="EY125" s="409"/>
      <c r="EZ125" s="409"/>
      <c r="FA125" s="409"/>
      <c r="FB125" s="409"/>
      <c r="FC125" s="409"/>
      <c r="FD125" s="409"/>
      <c r="FE125" s="409"/>
      <c r="FF125" s="409"/>
      <c r="FG125" s="409"/>
      <c r="FH125" s="409"/>
      <c r="FI125" s="409"/>
      <c r="FJ125" s="409"/>
      <c r="FK125" s="409"/>
      <c r="FL125" s="409"/>
      <c r="FM125" s="409"/>
      <c r="FN125" s="409"/>
      <c r="FO125" s="409"/>
      <c r="FP125" s="409"/>
      <c r="FQ125" s="409"/>
      <c r="FR125" s="409"/>
      <c r="FS125" s="409"/>
      <c r="FT125" s="409"/>
      <c r="FU125" s="409"/>
      <c r="FV125" s="409"/>
      <c r="FW125" s="409"/>
      <c r="FX125" s="409"/>
      <c r="FY125" s="409"/>
      <c r="FZ125" s="409"/>
      <c r="GA125" s="409"/>
      <c r="GB125" s="409"/>
      <c r="GC125" s="409"/>
      <c r="GD125" s="409"/>
      <c r="GE125" s="409"/>
      <c r="GF125" s="409"/>
      <c r="GG125" s="409"/>
      <c r="GH125" s="409"/>
      <c r="GI125" s="409"/>
      <c r="GJ125" s="409"/>
      <c r="GK125" s="409"/>
      <c r="GL125" s="409"/>
      <c r="GM125" s="409"/>
      <c r="GN125" s="409"/>
      <c r="GO125" s="409"/>
      <c r="GP125" s="409"/>
      <c r="GQ125" s="409"/>
      <c r="GR125" s="409"/>
      <c r="GS125" s="409"/>
      <c r="GT125" s="409"/>
      <c r="GU125" s="409"/>
      <c r="GV125" s="409"/>
      <c r="GW125" s="409"/>
      <c r="GX125" s="409"/>
      <c r="GY125" s="409"/>
      <c r="GZ125" s="409"/>
      <c r="HA125" s="409"/>
      <c r="HB125" s="409"/>
      <c r="HC125" s="409"/>
      <c r="HD125" s="409"/>
      <c r="HE125" s="409"/>
      <c r="HF125" s="409"/>
      <c r="HG125" s="409"/>
      <c r="HH125" s="409"/>
      <c r="HI125" s="409"/>
      <c r="HJ125" s="409"/>
      <c r="HK125" s="409"/>
      <c r="HL125" s="409"/>
      <c r="HM125" s="409"/>
      <c r="HN125" s="409"/>
      <c r="HO125" s="409"/>
      <c r="HP125" s="409"/>
      <c r="HQ125" s="409"/>
      <c r="HR125" s="409"/>
      <c r="HS125" s="409"/>
      <c r="HT125" s="409"/>
      <c r="HU125" s="409"/>
      <c r="HV125" s="409"/>
      <c r="HW125" s="409"/>
      <c r="HX125" s="409"/>
      <c r="HY125" s="409"/>
      <c r="HZ125" s="409"/>
      <c r="IA125" s="409"/>
      <c r="IB125" s="409"/>
      <c r="IC125" s="409"/>
      <c r="ID125" s="409"/>
      <c r="IE125" s="409"/>
      <c r="IF125" s="409"/>
    </row>
    <row r="126" spans="1:240">
      <c r="A126" s="683" t="s">
        <v>12</v>
      </c>
      <c r="B126" s="684"/>
      <c r="C126" s="684"/>
      <c r="D126" s="195" t="s">
        <v>305</v>
      </c>
      <c r="E126" s="195" t="s">
        <v>292</v>
      </c>
      <c r="F126" s="195" t="s">
        <v>292</v>
      </c>
      <c r="G126" s="195" t="s">
        <v>292</v>
      </c>
      <c r="H126" s="195" t="s">
        <v>292</v>
      </c>
      <c r="I126" s="195" t="s">
        <v>292</v>
      </c>
      <c r="J126" s="195" t="s">
        <v>293</v>
      </c>
      <c r="K126" s="195" t="s">
        <v>292</v>
      </c>
      <c r="L126" s="195" t="s">
        <v>292</v>
      </c>
      <c r="M126" s="195" t="s">
        <v>292</v>
      </c>
      <c r="N126" s="195" t="s">
        <v>293</v>
      </c>
      <c r="O126" s="195">
        <v>99.9</v>
      </c>
      <c r="P126" s="408">
        <f t="shared" si="12"/>
        <v>99.9</v>
      </c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09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9"/>
      <c r="BE126" s="409"/>
      <c r="BF126" s="409"/>
      <c r="BG126" s="409"/>
      <c r="BH126" s="409"/>
      <c r="BI126" s="409"/>
      <c r="BJ126" s="409"/>
      <c r="BK126" s="409"/>
      <c r="BL126" s="409"/>
      <c r="BM126" s="409"/>
      <c r="BN126" s="409"/>
      <c r="BO126" s="409"/>
      <c r="BP126" s="409"/>
      <c r="BQ126" s="409"/>
      <c r="BR126" s="409"/>
      <c r="BS126" s="409"/>
      <c r="BT126" s="409"/>
      <c r="BU126" s="409"/>
      <c r="BV126" s="409"/>
      <c r="BW126" s="409"/>
      <c r="BX126" s="409"/>
      <c r="BY126" s="409"/>
      <c r="BZ126" s="409"/>
      <c r="CA126" s="409"/>
      <c r="CB126" s="409"/>
      <c r="CC126" s="409"/>
      <c r="CD126" s="409"/>
      <c r="CE126" s="409"/>
      <c r="CF126" s="409"/>
      <c r="CG126" s="409"/>
      <c r="CH126" s="409"/>
      <c r="CI126" s="409"/>
      <c r="CJ126" s="409"/>
      <c r="CK126" s="409"/>
      <c r="CL126" s="409"/>
      <c r="CM126" s="409"/>
      <c r="CN126" s="409"/>
      <c r="CO126" s="409"/>
      <c r="CP126" s="409"/>
      <c r="CQ126" s="409"/>
      <c r="CR126" s="409"/>
      <c r="CS126" s="409"/>
      <c r="CT126" s="409"/>
      <c r="CU126" s="409"/>
      <c r="CV126" s="409"/>
      <c r="CW126" s="409"/>
      <c r="CX126" s="409"/>
      <c r="CY126" s="409"/>
      <c r="CZ126" s="409"/>
      <c r="DA126" s="409"/>
      <c r="DB126" s="409"/>
      <c r="DC126" s="409"/>
      <c r="DD126" s="409"/>
      <c r="DE126" s="409"/>
      <c r="DF126" s="409"/>
      <c r="DG126" s="409"/>
      <c r="DH126" s="409"/>
      <c r="DI126" s="409"/>
      <c r="DJ126" s="409"/>
      <c r="DK126" s="409"/>
      <c r="DL126" s="409"/>
      <c r="DM126" s="409"/>
      <c r="DN126" s="409"/>
      <c r="DO126" s="409"/>
      <c r="DP126" s="409"/>
      <c r="DQ126" s="409"/>
      <c r="DR126" s="409"/>
      <c r="DS126" s="409"/>
      <c r="DT126" s="409"/>
      <c r="DU126" s="409"/>
      <c r="DV126" s="409"/>
      <c r="DW126" s="409"/>
      <c r="DX126" s="409"/>
      <c r="DY126" s="409"/>
      <c r="DZ126" s="409"/>
      <c r="EA126" s="409"/>
      <c r="EB126" s="409"/>
      <c r="EC126" s="409"/>
      <c r="ED126" s="409"/>
      <c r="EE126" s="409"/>
      <c r="EF126" s="409"/>
      <c r="EG126" s="409"/>
      <c r="EH126" s="409"/>
      <c r="EI126" s="409"/>
      <c r="EJ126" s="409"/>
      <c r="EK126" s="409"/>
      <c r="EL126" s="409"/>
      <c r="EM126" s="409"/>
      <c r="EN126" s="409"/>
      <c r="EO126" s="409"/>
      <c r="EP126" s="409"/>
      <c r="EQ126" s="409"/>
      <c r="ER126" s="409"/>
      <c r="ES126" s="409"/>
      <c r="ET126" s="409"/>
      <c r="EU126" s="409"/>
      <c r="EV126" s="409"/>
      <c r="EW126" s="409"/>
      <c r="EX126" s="409"/>
      <c r="EY126" s="409"/>
      <c r="EZ126" s="409"/>
      <c r="FA126" s="409"/>
      <c r="FB126" s="409"/>
      <c r="FC126" s="409"/>
      <c r="FD126" s="409"/>
      <c r="FE126" s="409"/>
      <c r="FF126" s="409"/>
      <c r="FG126" s="409"/>
      <c r="FH126" s="409"/>
      <c r="FI126" s="409"/>
      <c r="FJ126" s="409"/>
      <c r="FK126" s="409"/>
      <c r="FL126" s="409"/>
      <c r="FM126" s="409"/>
      <c r="FN126" s="409"/>
      <c r="FO126" s="409"/>
      <c r="FP126" s="409"/>
      <c r="FQ126" s="409"/>
      <c r="FR126" s="409"/>
      <c r="FS126" s="409"/>
      <c r="FT126" s="409"/>
      <c r="FU126" s="409"/>
      <c r="FV126" s="409"/>
      <c r="FW126" s="409"/>
      <c r="FX126" s="409"/>
      <c r="FY126" s="409"/>
      <c r="FZ126" s="409"/>
      <c r="GA126" s="409"/>
      <c r="GB126" s="409"/>
      <c r="GC126" s="409"/>
      <c r="GD126" s="409"/>
      <c r="GE126" s="409"/>
      <c r="GF126" s="409"/>
      <c r="GG126" s="409"/>
      <c r="GH126" s="409"/>
      <c r="GI126" s="409"/>
      <c r="GJ126" s="409"/>
      <c r="GK126" s="409"/>
      <c r="GL126" s="409"/>
      <c r="GM126" s="409"/>
      <c r="GN126" s="409"/>
      <c r="GO126" s="409"/>
      <c r="GP126" s="409"/>
      <c r="GQ126" s="409"/>
      <c r="GR126" s="409"/>
      <c r="GS126" s="409"/>
      <c r="GT126" s="409"/>
      <c r="GU126" s="409"/>
      <c r="GV126" s="409"/>
      <c r="GW126" s="409"/>
      <c r="GX126" s="409"/>
      <c r="GY126" s="409"/>
      <c r="GZ126" s="409"/>
      <c r="HA126" s="409"/>
      <c r="HB126" s="409"/>
      <c r="HC126" s="409"/>
      <c r="HD126" s="409"/>
      <c r="HE126" s="409"/>
      <c r="HF126" s="409"/>
      <c r="HG126" s="409"/>
      <c r="HH126" s="409"/>
      <c r="HI126" s="409"/>
      <c r="HJ126" s="409"/>
      <c r="HK126" s="409"/>
      <c r="HL126" s="409"/>
      <c r="HM126" s="409"/>
      <c r="HN126" s="409"/>
      <c r="HO126" s="409"/>
      <c r="HP126" s="409"/>
      <c r="HQ126" s="409"/>
      <c r="HR126" s="409"/>
      <c r="HS126" s="409"/>
      <c r="HT126" s="409"/>
      <c r="HU126" s="409"/>
      <c r="HV126" s="409"/>
      <c r="HW126" s="409"/>
      <c r="HX126" s="409"/>
      <c r="HY126" s="409"/>
      <c r="HZ126" s="409"/>
      <c r="IA126" s="409"/>
      <c r="IB126" s="409"/>
      <c r="IC126" s="409"/>
      <c r="ID126" s="409"/>
      <c r="IE126" s="409"/>
      <c r="IF126" s="409"/>
    </row>
    <row r="127" spans="1:240">
      <c r="A127" s="683" t="s">
        <v>13</v>
      </c>
      <c r="B127" s="684"/>
      <c r="C127" s="684"/>
      <c r="D127" s="195" t="s">
        <v>359</v>
      </c>
      <c r="E127" s="195" t="s">
        <v>360</v>
      </c>
      <c r="F127" s="195" t="s">
        <v>355</v>
      </c>
      <c r="G127" s="195" t="s">
        <v>361</v>
      </c>
      <c r="H127" s="195" t="s">
        <v>362</v>
      </c>
      <c r="I127" s="195" t="s">
        <v>363</v>
      </c>
      <c r="J127" s="195" t="s">
        <v>301</v>
      </c>
      <c r="K127" s="195" t="s">
        <v>364</v>
      </c>
      <c r="L127" s="195" t="s">
        <v>365</v>
      </c>
      <c r="M127" s="195" t="s">
        <v>366</v>
      </c>
      <c r="N127" s="195" t="s">
        <v>367</v>
      </c>
      <c r="O127" s="195">
        <v>69.900000000000006</v>
      </c>
      <c r="P127" s="408">
        <f t="shared" si="12"/>
        <v>69.900000000000006</v>
      </c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9"/>
      <c r="BE127" s="409"/>
      <c r="BF127" s="409"/>
      <c r="BG127" s="409"/>
      <c r="BH127" s="409"/>
      <c r="BI127" s="409"/>
      <c r="BJ127" s="409"/>
      <c r="BK127" s="409"/>
      <c r="BL127" s="409"/>
      <c r="BM127" s="409"/>
      <c r="BN127" s="409"/>
      <c r="BO127" s="409"/>
      <c r="BP127" s="409"/>
      <c r="BQ127" s="409"/>
      <c r="BR127" s="409"/>
      <c r="BS127" s="409"/>
      <c r="BT127" s="409"/>
      <c r="BU127" s="409"/>
      <c r="BV127" s="409"/>
      <c r="BW127" s="409"/>
      <c r="BX127" s="409"/>
      <c r="BY127" s="409"/>
      <c r="BZ127" s="409"/>
      <c r="CA127" s="409"/>
      <c r="CB127" s="409"/>
      <c r="CC127" s="409"/>
      <c r="CD127" s="409"/>
      <c r="CE127" s="409"/>
      <c r="CF127" s="409"/>
      <c r="CG127" s="409"/>
      <c r="CH127" s="409"/>
      <c r="CI127" s="409"/>
      <c r="CJ127" s="409"/>
      <c r="CK127" s="409"/>
      <c r="CL127" s="409"/>
      <c r="CM127" s="409"/>
      <c r="CN127" s="409"/>
      <c r="CO127" s="409"/>
      <c r="CP127" s="409"/>
      <c r="CQ127" s="409"/>
      <c r="CR127" s="409"/>
      <c r="CS127" s="409"/>
      <c r="CT127" s="409"/>
      <c r="CU127" s="409"/>
      <c r="CV127" s="409"/>
      <c r="CW127" s="409"/>
      <c r="CX127" s="409"/>
      <c r="CY127" s="409"/>
      <c r="CZ127" s="409"/>
      <c r="DA127" s="409"/>
      <c r="DB127" s="409"/>
      <c r="DC127" s="409"/>
      <c r="DD127" s="409"/>
      <c r="DE127" s="409"/>
      <c r="DF127" s="409"/>
      <c r="DG127" s="409"/>
      <c r="DH127" s="409"/>
      <c r="DI127" s="409"/>
      <c r="DJ127" s="409"/>
      <c r="DK127" s="409"/>
      <c r="DL127" s="409"/>
      <c r="DM127" s="409"/>
      <c r="DN127" s="409"/>
      <c r="DO127" s="409"/>
      <c r="DP127" s="409"/>
      <c r="DQ127" s="409"/>
      <c r="DR127" s="409"/>
      <c r="DS127" s="409"/>
      <c r="DT127" s="409"/>
      <c r="DU127" s="409"/>
      <c r="DV127" s="409"/>
      <c r="DW127" s="409"/>
      <c r="DX127" s="409"/>
      <c r="DY127" s="409"/>
      <c r="DZ127" s="409"/>
      <c r="EA127" s="409"/>
      <c r="EB127" s="409"/>
      <c r="EC127" s="409"/>
      <c r="ED127" s="409"/>
      <c r="EE127" s="409"/>
      <c r="EF127" s="409"/>
      <c r="EG127" s="409"/>
      <c r="EH127" s="409"/>
      <c r="EI127" s="409"/>
      <c r="EJ127" s="409"/>
      <c r="EK127" s="409"/>
      <c r="EL127" s="409"/>
      <c r="EM127" s="409"/>
      <c r="EN127" s="409"/>
      <c r="EO127" s="409"/>
      <c r="EP127" s="409"/>
      <c r="EQ127" s="409"/>
      <c r="ER127" s="409"/>
      <c r="ES127" s="409"/>
      <c r="ET127" s="409"/>
      <c r="EU127" s="409"/>
      <c r="EV127" s="409"/>
      <c r="EW127" s="409"/>
      <c r="EX127" s="409"/>
      <c r="EY127" s="409"/>
      <c r="EZ127" s="409"/>
      <c r="FA127" s="409"/>
      <c r="FB127" s="409"/>
      <c r="FC127" s="409"/>
      <c r="FD127" s="409"/>
      <c r="FE127" s="409"/>
      <c r="FF127" s="409"/>
      <c r="FG127" s="409"/>
      <c r="FH127" s="409"/>
      <c r="FI127" s="409"/>
      <c r="FJ127" s="409"/>
      <c r="FK127" s="409"/>
      <c r="FL127" s="409"/>
      <c r="FM127" s="409"/>
      <c r="FN127" s="409"/>
      <c r="FO127" s="409"/>
      <c r="FP127" s="409"/>
      <c r="FQ127" s="409"/>
      <c r="FR127" s="409"/>
      <c r="FS127" s="409"/>
      <c r="FT127" s="409"/>
      <c r="FU127" s="409"/>
      <c r="FV127" s="409"/>
      <c r="FW127" s="409"/>
      <c r="FX127" s="409"/>
      <c r="FY127" s="409"/>
      <c r="FZ127" s="409"/>
      <c r="GA127" s="409"/>
      <c r="GB127" s="409"/>
      <c r="GC127" s="409"/>
      <c r="GD127" s="409"/>
      <c r="GE127" s="409"/>
      <c r="GF127" s="409"/>
      <c r="GG127" s="409"/>
      <c r="GH127" s="409"/>
      <c r="GI127" s="409"/>
      <c r="GJ127" s="409"/>
      <c r="GK127" s="409"/>
      <c r="GL127" s="409"/>
      <c r="GM127" s="409"/>
      <c r="GN127" s="409"/>
      <c r="GO127" s="409"/>
      <c r="GP127" s="409"/>
      <c r="GQ127" s="409"/>
      <c r="GR127" s="409"/>
      <c r="GS127" s="409"/>
      <c r="GT127" s="409"/>
      <c r="GU127" s="409"/>
      <c r="GV127" s="409"/>
      <c r="GW127" s="409"/>
      <c r="GX127" s="409"/>
      <c r="GY127" s="409"/>
      <c r="GZ127" s="409"/>
      <c r="HA127" s="409"/>
      <c r="HB127" s="409"/>
      <c r="HC127" s="409"/>
      <c r="HD127" s="409"/>
      <c r="HE127" s="409"/>
      <c r="HF127" s="409"/>
      <c r="HG127" s="409"/>
      <c r="HH127" s="409"/>
      <c r="HI127" s="409"/>
      <c r="HJ127" s="409"/>
      <c r="HK127" s="409"/>
      <c r="HL127" s="409"/>
      <c r="HM127" s="409"/>
      <c r="HN127" s="409"/>
      <c r="HO127" s="409"/>
      <c r="HP127" s="409"/>
      <c r="HQ127" s="409"/>
      <c r="HR127" s="409"/>
      <c r="HS127" s="409"/>
      <c r="HT127" s="409"/>
      <c r="HU127" s="409"/>
      <c r="HV127" s="409"/>
      <c r="HW127" s="409"/>
      <c r="HX127" s="409"/>
      <c r="HY127" s="409"/>
      <c r="HZ127" s="409"/>
      <c r="IA127" s="409"/>
      <c r="IB127" s="409"/>
      <c r="IC127" s="409"/>
      <c r="ID127" s="409"/>
      <c r="IE127" s="409"/>
      <c r="IF127" s="409"/>
    </row>
    <row r="128" spans="1:240">
      <c r="A128" s="683" t="s">
        <v>14</v>
      </c>
      <c r="B128" s="684"/>
      <c r="C128" s="684"/>
      <c r="D128" s="195" t="s">
        <v>304</v>
      </c>
      <c r="E128" s="195" t="s">
        <v>305</v>
      </c>
      <c r="F128" s="195" t="s">
        <v>306</v>
      </c>
      <c r="G128" s="195" t="s">
        <v>307</v>
      </c>
      <c r="H128" s="195" t="s">
        <v>335</v>
      </c>
      <c r="I128" s="195" t="s">
        <v>308</v>
      </c>
      <c r="J128" s="195" t="s">
        <v>304</v>
      </c>
      <c r="K128" s="195" t="s">
        <v>308</v>
      </c>
      <c r="L128" s="195" t="s">
        <v>308</v>
      </c>
      <c r="M128" s="195" t="s">
        <v>306</v>
      </c>
      <c r="N128" s="195" t="s">
        <v>305</v>
      </c>
      <c r="O128" s="195">
        <v>99.5</v>
      </c>
      <c r="P128" s="408">
        <f t="shared" si="12"/>
        <v>99.5</v>
      </c>
      <c r="R128" s="409"/>
      <c r="S128" s="409"/>
      <c r="T128" s="409"/>
      <c r="U128" s="409"/>
      <c r="V128" s="409"/>
      <c r="W128" s="409"/>
      <c r="X128" s="409"/>
      <c r="Y128" s="409"/>
      <c r="Z128" s="409"/>
      <c r="AA128" s="409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9"/>
      <c r="BE128" s="409"/>
      <c r="BF128" s="409"/>
      <c r="BG128" s="409"/>
      <c r="BH128" s="409"/>
      <c r="BI128" s="409"/>
      <c r="BJ128" s="409"/>
      <c r="BK128" s="409"/>
      <c r="BL128" s="409"/>
      <c r="BM128" s="409"/>
      <c r="BN128" s="409"/>
      <c r="BO128" s="409"/>
      <c r="BP128" s="409"/>
      <c r="BQ128" s="409"/>
      <c r="BR128" s="409"/>
      <c r="BS128" s="409"/>
      <c r="BT128" s="409"/>
      <c r="BU128" s="409"/>
      <c r="BV128" s="409"/>
      <c r="BW128" s="409"/>
      <c r="BX128" s="409"/>
      <c r="BY128" s="409"/>
      <c r="BZ128" s="409"/>
      <c r="CA128" s="409"/>
      <c r="CB128" s="409"/>
      <c r="CC128" s="409"/>
      <c r="CD128" s="409"/>
      <c r="CE128" s="409"/>
      <c r="CF128" s="409"/>
      <c r="CG128" s="409"/>
      <c r="CH128" s="409"/>
      <c r="CI128" s="409"/>
      <c r="CJ128" s="409"/>
      <c r="CK128" s="409"/>
      <c r="CL128" s="409"/>
      <c r="CM128" s="409"/>
      <c r="CN128" s="409"/>
      <c r="CO128" s="409"/>
      <c r="CP128" s="409"/>
      <c r="CQ128" s="409"/>
      <c r="CR128" s="409"/>
      <c r="CS128" s="409"/>
      <c r="CT128" s="409"/>
      <c r="CU128" s="409"/>
      <c r="CV128" s="409"/>
      <c r="CW128" s="409"/>
      <c r="CX128" s="409"/>
      <c r="CY128" s="409"/>
      <c r="CZ128" s="409"/>
      <c r="DA128" s="409"/>
      <c r="DB128" s="409"/>
      <c r="DC128" s="409"/>
      <c r="DD128" s="409"/>
      <c r="DE128" s="409"/>
      <c r="DF128" s="409"/>
      <c r="DG128" s="409"/>
      <c r="DH128" s="409"/>
      <c r="DI128" s="409"/>
      <c r="DJ128" s="409"/>
      <c r="DK128" s="409"/>
      <c r="DL128" s="409"/>
      <c r="DM128" s="409"/>
      <c r="DN128" s="409"/>
      <c r="DO128" s="409"/>
      <c r="DP128" s="409"/>
      <c r="DQ128" s="409"/>
      <c r="DR128" s="409"/>
      <c r="DS128" s="409"/>
      <c r="DT128" s="409"/>
      <c r="DU128" s="409"/>
      <c r="DV128" s="409"/>
      <c r="DW128" s="409"/>
      <c r="DX128" s="409"/>
      <c r="DY128" s="409"/>
      <c r="DZ128" s="409"/>
      <c r="EA128" s="409"/>
      <c r="EB128" s="409"/>
      <c r="EC128" s="409"/>
      <c r="ED128" s="409"/>
      <c r="EE128" s="409"/>
      <c r="EF128" s="409"/>
      <c r="EG128" s="409"/>
      <c r="EH128" s="409"/>
      <c r="EI128" s="409"/>
      <c r="EJ128" s="409"/>
      <c r="EK128" s="409"/>
      <c r="EL128" s="409"/>
      <c r="EM128" s="409"/>
      <c r="EN128" s="409"/>
      <c r="EO128" s="409"/>
      <c r="EP128" s="409"/>
      <c r="EQ128" s="409"/>
      <c r="ER128" s="409"/>
      <c r="ES128" s="409"/>
      <c r="ET128" s="409"/>
      <c r="EU128" s="409"/>
      <c r="EV128" s="409"/>
      <c r="EW128" s="409"/>
      <c r="EX128" s="409"/>
      <c r="EY128" s="409"/>
      <c r="EZ128" s="409"/>
      <c r="FA128" s="409"/>
      <c r="FB128" s="409"/>
      <c r="FC128" s="409"/>
      <c r="FD128" s="409"/>
      <c r="FE128" s="409"/>
      <c r="FF128" s="409"/>
      <c r="FG128" s="409"/>
      <c r="FH128" s="409"/>
      <c r="FI128" s="409"/>
      <c r="FJ128" s="409"/>
      <c r="FK128" s="409"/>
      <c r="FL128" s="409"/>
      <c r="FM128" s="409"/>
      <c r="FN128" s="409"/>
      <c r="FO128" s="409"/>
      <c r="FP128" s="409"/>
      <c r="FQ128" s="409"/>
      <c r="FR128" s="409"/>
      <c r="FS128" s="409"/>
      <c r="FT128" s="409"/>
      <c r="FU128" s="409"/>
      <c r="FV128" s="409"/>
      <c r="FW128" s="409"/>
      <c r="FX128" s="409"/>
      <c r="FY128" s="409"/>
      <c r="FZ128" s="409"/>
      <c r="GA128" s="409"/>
      <c r="GB128" s="409"/>
      <c r="GC128" s="409"/>
      <c r="GD128" s="409"/>
      <c r="GE128" s="409"/>
      <c r="GF128" s="409"/>
      <c r="GG128" s="409"/>
      <c r="GH128" s="409"/>
      <c r="GI128" s="409"/>
      <c r="GJ128" s="409"/>
      <c r="GK128" s="409"/>
      <c r="GL128" s="409"/>
      <c r="GM128" s="409"/>
      <c r="GN128" s="409"/>
      <c r="GO128" s="409"/>
      <c r="GP128" s="409"/>
      <c r="GQ128" s="409"/>
      <c r="GR128" s="409"/>
      <c r="GS128" s="409"/>
      <c r="GT128" s="409"/>
      <c r="GU128" s="409"/>
      <c r="GV128" s="409"/>
      <c r="GW128" s="409"/>
      <c r="GX128" s="409"/>
      <c r="GY128" s="409"/>
      <c r="GZ128" s="409"/>
      <c r="HA128" s="409"/>
      <c r="HB128" s="409"/>
      <c r="HC128" s="409"/>
      <c r="HD128" s="409"/>
      <c r="HE128" s="409"/>
      <c r="HF128" s="409"/>
      <c r="HG128" s="409"/>
      <c r="HH128" s="409"/>
      <c r="HI128" s="409"/>
      <c r="HJ128" s="409"/>
      <c r="HK128" s="409"/>
      <c r="HL128" s="409"/>
      <c r="HM128" s="409"/>
      <c r="HN128" s="409"/>
      <c r="HO128" s="409"/>
      <c r="HP128" s="409"/>
      <c r="HQ128" s="409"/>
      <c r="HR128" s="409"/>
      <c r="HS128" s="409"/>
      <c r="HT128" s="409"/>
      <c r="HU128" s="409"/>
      <c r="HV128" s="409"/>
      <c r="HW128" s="409"/>
      <c r="HX128" s="409"/>
      <c r="HY128" s="409"/>
      <c r="HZ128" s="409"/>
      <c r="IA128" s="409"/>
      <c r="IB128" s="409"/>
      <c r="IC128" s="409"/>
      <c r="ID128" s="409"/>
      <c r="IE128" s="409"/>
      <c r="IF128" s="409"/>
    </row>
    <row r="129" spans="1:240">
      <c r="A129" s="683" t="s">
        <v>21</v>
      </c>
      <c r="B129" s="684"/>
      <c r="C129" s="684"/>
      <c r="D129" s="195" t="s">
        <v>334</v>
      </c>
      <c r="E129" s="195" t="s">
        <v>325</v>
      </c>
      <c r="F129" s="195" t="s">
        <v>339</v>
      </c>
      <c r="G129" s="195" t="s">
        <v>342</v>
      </c>
      <c r="H129" s="195" t="s">
        <v>339</v>
      </c>
      <c r="I129" s="195" t="s">
        <v>343</v>
      </c>
      <c r="J129" s="195" t="s">
        <v>364</v>
      </c>
      <c r="K129" s="195" t="s">
        <v>368</v>
      </c>
      <c r="L129" s="195" t="s">
        <v>329</v>
      </c>
      <c r="M129" s="195" t="s">
        <v>352</v>
      </c>
      <c r="N129" s="195" t="s">
        <v>337</v>
      </c>
      <c r="O129" s="195">
        <v>95.7</v>
      </c>
      <c r="P129" s="408">
        <f t="shared" si="12"/>
        <v>95.7</v>
      </c>
      <c r="R129" s="409"/>
      <c r="S129" s="409"/>
      <c r="T129" s="409"/>
      <c r="U129" s="409"/>
      <c r="V129" s="409"/>
      <c r="W129" s="409"/>
      <c r="X129" s="409"/>
      <c r="Y129" s="409"/>
      <c r="Z129" s="409"/>
      <c r="AA129" s="409"/>
      <c r="AB129" s="409"/>
      <c r="AC129" s="409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9"/>
      <c r="BE129" s="409"/>
      <c r="BF129" s="409"/>
      <c r="BG129" s="409"/>
      <c r="BH129" s="409"/>
      <c r="BI129" s="409"/>
      <c r="BJ129" s="409"/>
      <c r="BK129" s="409"/>
      <c r="BL129" s="409"/>
      <c r="BM129" s="409"/>
      <c r="BN129" s="409"/>
      <c r="BO129" s="409"/>
      <c r="BP129" s="409"/>
      <c r="BQ129" s="409"/>
      <c r="BR129" s="409"/>
      <c r="BS129" s="409"/>
      <c r="BT129" s="409"/>
      <c r="BU129" s="409"/>
      <c r="BV129" s="409"/>
      <c r="BW129" s="409"/>
      <c r="BX129" s="409"/>
      <c r="BY129" s="409"/>
      <c r="BZ129" s="409"/>
      <c r="CA129" s="409"/>
      <c r="CB129" s="409"/>
      <c r="CC129" s="409"/>
      <c r="CD129" s="409"/>
      <c r="CE129" s="409"/>
      <c r="CF129" s="409"/>
      <c r="CG129" s="409"/>
      <c r="CH129" s="409"/>
      <c r="CI129" s="409"/>
      <c r="CJ129" s="409"/>
      <c r="CK129" s="409"/>
      <c r="CL129" s="409"/>
      <c r="CM129" s="409"/>
      <c r="CN129" s="409"/>
      <c r="CO129" s="409"/>
      <c r="CP129" s="409"/>
      <c r="CQ129" s="409"/>
      <c r="CR129" s="409"/>
      <c r="CS129" s="409"/>
      <c r="CT129" s="409"/>
      <c r="CU129" s="409"/>
      <c r="CV129" s="409"/>
      <c r="CW129" s="409"/>
      <c r="CX129" s="409"/>
      <c r="CY129" s="409"/>
      <c r="CZ129" s="409"/>
      <c r="DA129" s="409"/>
      <c r="DB129" s="409"/>
      <c r="DC129" s="409"/>
      <c r="DD129" s="409"/>
      <c r="DE129" s="409"/>
      <c r="DF129" s="409"/>
      <c r="DG129" s="409"/>
      <c r="DH129" s="409"/>
      <c r="DI129" s="409"/>
      <c r="DJ129" s="409"/>
      <c r="DK129" s="409"/>
      <c r="DL129" s="409"/>
      <c r="DM129" s="409"/>
      <c r="DN129" s="409"/>
      <c r="DO129" s="409"/>
      <c r="DP129" s="409"/>
      <c r="DQ129" s="409"/>
      <c r="DR129" s="409"/>
      <c r="DS129" s="409"/>
      <c r="DT129" s="409"/>
      <c r="DU129" s="409"/>
      <c r="DV129" s="409"/>
      <c r="DW129" s="409"/>
      <c r="DX129" s="409"/>
      <c r="DY129" s="409"/>
      <c r="DZ129" s="409"/>
      <c r="EA129" s="409"/>
      <c r="EB129" s="409"/>
      <c r="EC129" s="409"/>
      <c r="ED129" s="409"/>
      <c r="EE129" s="409"/>
      <c r="EF129" s="409"/>
      <c r="EG129" s="409"/>
      <c r="EH129" s="409"/>
      <c r="EI129" s="409"/>
      <c r="EJ129" s="409"/>
      <c r="EK129" s="409"/>
      <c r="EL129" s="409"/>
      <c r="EM129" s="409"/>
      <c r="EN129" s="409"/>
      <c r="EO129" s="409"/>
      <c r="EP129" s="409"/>
      <c r="EQ129" s="409"/>
      <c r="ER129" s="409"/>
      <c r="ES129" s="409"/>
      <c r="ET129" s="409"/>
      <c r="EU129" s="409"/>
      <c r="EV129" s="409"/>
      <c r="EW129" s="409"/>
      <c r="EX129" s="409"/>
      <c r="EY129" s="409"/>
      <c r="EZ129" s="409"/>
      <c r="FA129" s="409"/>
      <c r="FB129" s="409"/>
      <c r="FC129" s="409"/>
      <c r="FD129" s="409"/>
      <c r="FE129" s="409"/>
      <c r="FF129" s="409"/>
      <c r="FG129" s="409"/>
      <c r="FH129" s="409"/>
      <c r="FI129" s="409"/>
      <c r="FJ129" s="409"/>
      <c r="FK129" s="409"/>
      <c r="FL129" s="409"/>
      <c r="FM129" s="409"/>
      <c r="FN129" s="409"/>
      <c r="FO129" s="409"/>
      <c r="FP129" s="409"/>
      <c r="FQ129" s="409"/>
      <c r="FR129" s="409"/>
      <c r="FS129" s="409"/>
      <c r="FT129" s="409"/>
      <c r="FU129" s="409"/>
      <c r="FV129" s="409"/>
      <c r="FW129" s="409"/>
      <c r="FX129" s="409"/>
      <c r="FY129" s="409"/>
      <c r="FZ129" s="409"/>
      <c r="GA129" s="409"/>
      <c r="GB129" s="409"/>
      <c r="GC129" s="409"/>
      <c r="GD129" s="409"/>
      <c r="GE129" s="409"/>
      <c r="GF129" s="409"/>
      <c r="GG129" s="409"/>
      <c r="GH129" s="409"/>
      <c r="GI129" s="409"/>
      <c r="GJ129" s="409"/>
      <c r="GK129" s="409"/>
      <c r="GL129" s="409"/>
      <c r="GM129" s="409"/>
      <c r="GN129" s="409"/>
      <c r="GO129" s="409"/>
      <c r="GP129" s="409"/>
      <c r="GQ129" s="409"/>
      <c r="GR129" s="409"/>
      <c r="GS129" s="409"/>
      <c r="GT129" s="409"/>
      <c r="GU129" s="409"/>
      <c r="GV129" s="409"/>
      <c r="GW129" s="409"/>
      <c r="GX129" s="409"/>
      <c r="GY129" s="409"/>
      <c r="GZ129" s="409"/>
      <c r="HA129" s="409"/>
      <c r="HB129" s="409"/>
      <c r="HC129" s="409"/>
      <c r="HD129" s="409"/>
      <c r="HE129" s="409"/>
      <c r="HF129" s="409"/>
      <c r="HG129" s="409"/>
      <c r="HH129" s="409"/>
      <c r="HI129" s="409"/>
      <c r="HJ129" s="409"/>
      <c r="HK129" s="409"/>
      <c r="HL129" s="409"/>
      <c r="HM129" s="409"/>
      <c r="HN129" s="409"/>
      <c r="HO129" s="409"/>
      <c r="HP129" s="409"/>
      <c r="HQ129" s="409"/>
      <c r="HR129" s="409"/>
      <c r="HS129" s="409"/>
      <c r="HT129" s="409"/>
      <c r="HU129" s="409"/>
      <c r="HV129" s="409"/>
      <c r="HW129" s="409"/>
      <c r="HX129" s="409"/>
      <c r="HY129" s="409"/>
      <c r="HZ129" s="409"/>
      <c r="IA129" s="409"/>
      <c r="IB129" s="409"/>
      <c r="IC129" s="409"/>
      <c r="ID129" s="409"/>
      <c r="IE129" s="409"/>
      <c r="IF129" s="409"/>
    </row>
    <row r="130" spans="1:240" ht="12.95" thickBot="1">
      <c r="A130" s="702" t="s">
        <v>16</v>
      </c>
      <c r="B130" s="703"/>
      <c r="C130" s="703"/>
      <c r="D130" s="201" t="s">
        <v>287</v>
      </c>
      <c r="E130" s="201" t="s">
        <v>288</v>
      </c>
      <c r="F130" s="201" t="s">
        <v>318</v>
      </c>
      <c r="G130" s="201" t="s">
        <v>319</v>
      </c>
      <c r="H130" s="201" t="s">
        <v>287</v>
      </c>
      <c r="I130" s="201" t="s">
        <v>330</v>
      </c>
      <c r="J130" s="201" t="s">
        <v>333</v>
      </c>
      <c r="K130" s="201" t="s">
        <v>320</v>
      </c>
      <c r="L130" s="201" t="s">
        <v>289</v>
      </c>
      <c r="M130" s="201" t="s">
        <v>322</v>
      </c>
      <c r="N130" s="201" t="s">
        <v>323</v>
      </c>
      <c r="O130" s="201">
        <v>97.6</v>
      </c>
      <c r="P130" s="412">
        <f t="shared" si="12"/>
        <v>97.6</v>
      </c>
      <c r="R130" s="409"/>
      <c r="S130" s="409"/>
      <c r="T130" s="409"/>
      <c r="U130" s="409"/>
      <c r="V130" s="409"/>
      <c r="W130" s="409"/>
      <c r="X130" s="409"/>
      <c r="Y130" s="409"/>
      <c r="Z130" s="409"/>
      <c r="AA130" s="409"/>
      <c r="AB130" s="409"/>
      <c r="AC130" s="409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9"/>
      <c r="BE130" s="409"/>
      <c r="BF130" s="409"/>
      <c r="BG130" s="409"/>
      <c r="BH130" s="409"/>
      <c r="BI130" s="409"/>
      <c r="BJ130" s="409"/>
      <c r="BK130" s="409"/>
      <c r="BL130" s="409"/>
      <c r="BM130" s="409"/>
      <c r="BN130" s="409"/>
      <c r="BO130" s="409"/>
      <c r="BP130" s="409"/>
      <c r="BQ130" s="409"/>
      <c r="BR130" s="409"/>
      <c r="BS130" s="409"/>
      <c r="BT130" s="409"/>
      <c r="BU130" s="409"/>
      <c r="BV130" s="409"/>
      <c r="BW130" s="409"/>
      <c r="BX130" s="409"/>
      <c r="BY130" s="409"/>
      <c r="BZ130" s="409"/>
      <c r="CA130" s="409"/>
      <c r="CB130" s="409"/>
      <c r="CC130" s="409"/>
      <c r="CD130" s="409"/>
      <c r="CE130" s="409"/>
      <c r="CF130" s="409"/>
      <c r="CG130" s="409"/>
      <c r="CH130" s="409"/>
      <c r="CI130" s="409"/>
      <c r="CJ130" s="409"/>
      <c r="CK130" s="409"/>
      <c r="CL130" s="409"/>
      <c r="CM130" s="409"/>
      <c r="CN130" s="409"/>
      <c r="CO130" s="409"/>
      <c r="CP130" s="409"/>
      <c r="CQ130" s="409"/>
      <c r="CR130" s="409"/>
      <c r="CS130" s="409"/>
      <c r="CT130" s="409"/>
      <c r="CU130" s="409"/>
      <c r="CV130" s="409"/>
      <c r="CW130" s="409"/>
      <c r="CX130" s="409"/>
      <c r="CY130" s="409"/>
      <c r="CZ130" s="409"/>
      <c r="DA130" s="409"/>
      <c r="DB130" s="409"/>
      <c r="DC130" s="409"/>
      <c r="DD130" s="409"/>
      <c r="DE130" s="409"/>
      <c r="DF130" s="409"/>
      <c r="DG130" s="409"/>
      <c r="DH130" s="409"/>
      <c r="DI130" s="409"/>
      <c r="DJ130" s="409"/>
      <c r="DK130" s="409"/>
      <c r="DL130" s="409"/>
      <c r="DM130" s="409"/>
      <c r="DN130" s="409"/>
      <c r="DO130" s="409"/>
      <c r="DP130" s="409"/>
      <c r="DQ130" s="409"/>
      <c r="DR130" s="409"/>
      <c r="DS130" s="409"/>
      <c r="DT130" s="409"/>
      <c r="DU130" s="409"/>
      <c r="DV130" s="409"/>
      <c r="DW130" s="409"/>
      <c r="DX130" s="409"/>
      <c r="DY130" s="409"/>
      <c r="DZ130" s="409"/>
      <c r="EA130" s="409"/>
      <c r="EB130" s="409"/>
      <c r="EC130" s="409"/>
      <c r="ED130" s="409"/>
      <c r="EE130" s="409"/>
      <c r="EF130" s="409"/>
      <c r="EG130" s="409"/>
      <c r="EH130" s="409"/>
      <c r="EI130" s="409"/>
      <c r="EJ130" s="409"/>
      <c r="EK130" s="409"/>
      <c r="EL130" s="409"/>
      <c r="EM130" s="409"/>
      <c r="EN130" s="409"/>
      <c r="EO130" s="409"/>
      <c r="EP130" s="409"/>
      <c r="EQ130" s="409"/>
      <c r="ER130" s="409"/>
      <c r="ES130" s="409"/>
      <c r="ET130" s="409"/>
      <c r="EU130" s="409"/>
      <c r="EV130" s="409"/>
      <c r="EW130" s="409"/>
      <c r="EX130" s="409"/>
      <c r="EY130" s="409"/>
      <c r="EZ130" s="409"/>
      <c r="FA130" s="409"/>
      <c r="FB130" s="409"/>
      <c r="FC130" s="409"/>
      <c r="FD130" s="409"/>
      <c r="FE130" s="409"/>
      <c r="FF130" s="409"/>
      <c r="FG130" s="409"/>
      <c r="FH130" s="409"/>
      <c r="FI130" s="409"/>
      <c r="FJ130" s="409"/>
      <c r="FK130" s="409"/>
      <c r="FL130" s="409"/>
      <c r="FM130" s="409"/>
      <c r="FN130" s="409"/>
      <c r="FO130" s="409"/>
      <c r="FP130" s="409"/>
      <c r="FQ130" s="409"/>
      <c r="FR130" s="409"/>
      <c r="FS130" s="409"/>
      <c r="FT130" s="409"/>
      <c r="FU130" s="409"/>
      <c r="FV130" s="409"/>
      <c r="FW130" s="409"/>
      <c r="FX130" s="409"/>
      <c r="FY130" s="409"/>
      <c r="FZ130" s="409"/>
      <c r="GA130" s="409"/>
      <c r="GB130" s="409"/>
      <c r="GC130" s="409"/>
      <c r="GD130" s="409"/>
      <c r="GE130" s="409"/>
      <c r="GF130" s="409"/>
      <c r="GG130" s="409"/>
      <c r="GH130" s="409"/>
      <c r="GI130" s="409"/>
      <c r="GJ130" s="409"/>
      <c r="GK130" s="409"/>
      <c r="GL130" s="409"/>
      <c r="GM130" s="409"/>
      <c r="GN130" s="409"/>
      <c r="GO130" s="409"/>
      <c r="GP130" s="409"/>
      <c r="GQ130" s="409"/>
      <c r="GR130" s="409"/>
      <c r="GS130" s="409"/>
      <c r="GT130" s="409"/>
      <c r="GU130" s="409"/>
      <c r="GV130" s="409"/>
      <c r="GW130" s="409"/>
      <c r="GX130" s="409"/>
      <c r="GY130" s="409"/>
      <c r="GZ130" s="409"/>
      <c r="HA130" s="409"/>
      <c r="HB130" s="409"/>
      <c r="HC130" s="409"/>
      <c r="HD130" s="409"/>
      <c r="HE130" s="409"/>
      <c r="HF130" s="409"/>
      <c r="HG130" s="409"/>
      <c r="HH130" s="409"/>
      <c r="HI130" s="409"/>
      <c r="HJ130" s="409"/>
      <c r="HK130" s="409"/>
      <c r="HL130" s="409"/>
      <c r="HM130" s="409"/>
      <c r="HN130" s="409"/>
      <c r="HO130" s="409"/>
      <c r="HP130" s="409"/>
      <c r="HQ130" s="409"/>
      <c r="HR130" s="409"/>
      <c r="HS130" s="409"/>
      <c r="HT130" s="409"/>
      <c r="HU130" s="409"/>
      <c r="HV130" s="409"/>
      <c r="HW130" s="409"/>
      <c r="HX130" s="409"/>
      <c r="HY130" s="409"/>
      <c r="HZ130" s="409"/>
      <c r="IA130" s="409"/>
      <c r="IB130" s="409"/>
      <c r="IC130" s="409"/>
      <c r="ID130" s="409"/>
      <c r="IE130" s="409"/>
      <c r="IF130" s="409"/>
    </row>
    <row r="131" spans="1:240">
      <c r="A131" s="683" t="s">
        <v>23</v>
      </c>
      <c r="B131" s="684"/>
      <c r="C131" s="684"/>
      <c r="D131" s="195" t="s">
        <v>286</v>
      </c>
      <c r="E131" s="195" t="s">
        <v>341</v>
      </c>
      <c r="F131" s="195" t="s">
        <v>358</v>
      </c>
      <c r="G131" s="195" t="s">
        <v>305</v>
      </c>
      <c r="H131" s="195" t="s">
        <v>291</v>
      </c>
      <c r="I131" s="195" t="s">
        <v>319</v>
      </c>
      <c r="J131" s="195" t="s">
        <v>319</v>
      </c>
      <c r="K131" s="195" t="s">
        <v>318</v>
      </c>
      <c r="L131" s="195" t="s">
        <v>286</v>
      </c>
      <c r="M131" s="195" t="s">
        <v>320</v>
      </c>
      <c r="N131" s="195" t="s">
        <v>326</v>
      </c>
      <c r="O131" s="195">
        <v>97.9</v>
      </c>
      <c r="P131" s="413">
        <f t="shared" si="12"/>
        <v>97.9</v>
      </c>
      <c r="R131" s="409"/>
      <c r="S131" s="409"/>
      <c r="T131" s="409"/>
      <c r="U131" s="409"/>
      <c r="V131" s="409"/>
      <c r="W131" s="409"/>
      <c r="X131" s="409"/>
      <c r="Y131" s="409"/>
      <c r="Z131" s="409"/>
      <c r="AA131" s="409"/>
      <c r="AB131" s="409"/>
      <c r="AC131" s="409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9"/>
      <c r="BE131" s="409"/>
      <c r="BF131" s="409"/>
      <c r="BG131" s="409"/>
      <c r="BH131" s="409"/>
      <c r="BI131" s="409"/>
      <c r="BJ131" s="409"/>
      <c r="BK131" s="409"/>
      <c r="BL131" s="409"/>
      <c r="BM131" s="409"/>
      <c r="BN131" s="409"/>
      <c r="BO131" s="409"/>
      <c r="BP131" s="409"/>
      <c r="BQ131" s="409"/>
      <c r="BR131" s="409"/>
      <c r="BS131" s="409"/>
      <c r="BT131" s="409"/>
      <c r="BU131" s="409"/>
      <c r="BV131" s="409"/>
      <c r="BW131" s="409"/>
      <c r="BX131" s="409"/>
      <c r="BY131" s="409"/>
      <c r="BZ131" s="409"/>
      <c r="CA131" s="409"/>
      <c r="CB131" s="409"/>
      <c r="CC131" s="409"/>
      <c r="CD131" s="409"/>
      <c r="CE131" s="409"/>
      <c r="CF131" s="409"/>
      <c r="CG131" s="409"/>
      <c r="CH131" s="409"/>
      <c r="CI131" s="409"/>
      <c r="CJ131" s="409"/>
      <c r="CK131" s="409"/>
      <c r="CL131" s="409"/>
      <c r="CM131" s="409"/>
      <c r="CN131" s="409"/>
      <c r="CO131" s="409"/>
      <c r="CP131" s="409"/>
      <c r="CQ131" s="409"/>
      <c r="CR131" s="409"/>
      <c r="CS131" s="409"/>
      <c r="CT131" s="409"/>
      <c r="CU131" s="409"/>
      <c r="CV131" s="409"/>
      <c r="CW131" s="409"/>
      <c r="CX131" s="409"/>
      <c r="CY131" s="409"/>
      <c r="CZ131" s="409"/>
      <c r="DA131" s="409"/>
      <c r="DB131" s="409"/>
      <c r="DC131" s="409"/>
      <c r="DD131" s="409"/>
      <c r="DE131" s="409"/>
      <c r="DF131" s="409"/>
      <c r="DG131" s="409"/>
      <c r="DH131" s="409"/>
      <c r="DI131" s="409"/>
      <c r="DJ131" s="409"/>
      <c r="DK131" s="409"/>
      <c r="DL131" s="409"/>
      <c r="DM131" s="409"/>
      <c r="DN131" s="409"/>
      <c r="DO131" s="409"/>
      <c r="DP131" s="409"/>
      <c r="DQ131" s="409"/>
      <c r="DR131" s="409"/>
      <c r="DS131" s="409"/>
      <c r="DT131" s="409"/>
      <c r="DU131" s="409"/>
      <c r="DV131" s="409"/>
      <c r="DW131" s="409"/>
      <c r="DX131" s="409"/>
      <c r="DY131" s="409"/>
      <c r="DZ131" s="409"/>
      <c r="EA131" s="409"/>
      <c r="EB131" s="409"/>
      <c r="EC131" s="409"/>
      <c r="ED131" s="409"/>
      <c r="EE131" s="409"/>
      <c r="EF131" s="409"/>
      <c r="EG131" s="409"/>
      <c r="EH131" s="409"/>
      <c r="EI131" s="409"/>
      <c r="EJ131" s="409"/>
      <c r="EK131" s="409"/>
      <c r="EL131" s="409"/>
      <c r="EM131" s="409"/>
      <c r="EN131" s="409"/>
      <c r="EO131" s="409"/>
      <c r="EP131" s="409"/>
      <c r="EQ131" s="409"/>
      <c r="ER131" s="409"/>
      <c r="ES131" s="409"/>
      <c r="ET131" s="409"/>
      <c r="EU131" s="409"/>
      <c r="EV131" s="409"/>
      <c r="EW131" s="409"/>
      <c r="EX131" s="409"/>
      <c r="EY131" s="409"/>
      <c r="EZ131" s="409"/>
      <c r="FA131" s="409"/>
      <c r="FB131" s="409"/>
      <c r="FC131" s="409"/>
      <c r="FD131" s="409"/>
      <c r="FE131" s="409"/>
      <c r="FF131" s="409"/>
      <c r="FG131" s="409"/>
      <c r="FH131" s="409"/>
      <c r="FI131" s="409"/>
      <c r="FJ131" s="409"/>
      <c r="FK131" s="409"/>
      <c r="FL131" s="409"/>
      <c r="FM131" s="409"/>
      <c r="FN131" s="409"/>
      <c r="FO131" s="409"/>
      <c r="FP131" s="409"/>
      <c r="FQ131" s="409"/>
      <c r="FR131" s="409"/>
      <c r="FS131" s="409"/>
      <c r="FT131" s="409"/>
      <c r="FU131" s="409"/>
      <c r="FV131" s="409"/>
      <c r="FW131" s="409"/>
      <c r="FX131" s="409"/>
      <c r="FY131" s="409"/>
      <c r="FZ131" s="409"/>
      <c r="GA131" s="409"/>
      <c r="GB131" s="409"/>
      <c r="GC131" s="409"/>
      <c r="GD131" s="409"/>
      <c r="GE131" s="409"/>
      <c r="GF131" s="409"/>
      <c r="GG131" s="409"/>
      <c r="GH131" s="409"/>
      <c r="GI131" s="409"/>
      <c r="GJ131" s="409"/>
      <c r="GK131" s="409"/>
      <c r="GL131" s="409"/>
      <c r="GM131" s="409"/>
      <c r="GN131" s="409"/>
      <c r="GO131" s="409"/>
      <c r="GP131" s="409"/>
      <c r="GQ131" s="409"/>
      <c r="GR131" s="409"/>
      <c r="GS131" s="409"/>
      <c r="GT131" s="409"/>
      <c r="GU131" s="409"/>
      <c r="GV131" s="409"/>
      <c r="GW131" s="409"/>
      <c r="GX131" s="409"/>
      <c r="GY131" s="409"/>
      <c r="GZ131" s="409"/>
      <c r="HA131" s="409"/>
      <c r="HB131" s="409"/>
      <c r="HC131" s="409"/>
      <c r="HD131" s="409"/>
      <c r="HE131" s="409"/>
      <c r="HF131" s="409"/>
      <c r="HG131" s="409"/>
      <c r="HH131" s="409"/>
      <c r="HI131" s="409"/>
      <c r="HJ131" s="409"/>
      <c r="HK131" s="409"/>
      <c r="HL131" s="409"/>
      <c r="HM131" s="409"/>
      <c r="HN131" s="409"/>
      <c r="HO131" s="409"/>
      <c r="HP131" s="409"/>
      <c r="HQ131" s="409"/>
      <c r="HR131" s="409"/>
      <c r="HS131" s="409"/>
      <c r="HT131" s="409"/>
      <c r="HU131" s="409"/>
      <c r="HV131" s="409"/>
      <c r="HW131" s="409"/>
      <c r="HX131" s="409"/>
      <c r="HY131" s="409"/>
      <c r="HZ131" s="409"/>
      <c r="IA131" s="409"/>
      <c r="IB131" s="409"/>
      <c r="IC131" s="409"/>
      <c r="ID131" s="409"/>
      <c r="IE131" s="409"/>
      <c r="IF131" s="409"/>
    </row>
    <row r="132" spans="1:240">
      <c r="A132" s="712" t="s">
        <v>24</v>
      </c>
      <c r="B132" s="713"/>
      <c r="C132" s="714"/>
      <c r="D132" s="260" t="s">
        <v>311</v>
      </c>
      <c r="E132" s="260" t="s">
        <v>306</v>
      </c>
      <c r="F132" s="260" t="s">
        <v>293</v>
      </c>
      <c r="G132" s="260" t="s">
        <v>293</v>
      </c>
      <c r="H132" s="260" t="s">
        <v>335</v>
      </c>
      <c r="I132" s="260" t="s">
        <v>293</v>
      </c>
      <c r="J132" s="260" t="s">
        <v>336</v>
      </c>
      <c r="K132" s="260" t="s">
        <v>293</v>
      </c>
      <c r="L132" s="260" t="s">
        <v>293</v>
      </c>
      <c r="M132" s="260" t="s">
        <v>293</v>
      </c>
      <c r="N132" s="260" t="s">
        <v>293</v>
      </c>
      <c r="O132" s="260">
        <v>99.8</v>
      </c>
      <c r="P132" s="408">
        <f t="shared" si="12"/>
        <v>99.8</v>
      </c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  <c r="BX132" s="409"/>
      <c r="BY132" s="409"/>
      <c r="BZ132" s="409"/>
      <c r="CA132" s="409"/>
      <c r="CB132" s="409"/>
      <c r="CC132" s="409"/>
      <c r="CD132" s="409"/>
      <c r="CE132" s="409"/>
      <c r="CF132" s="409"/>
      <c r="CG132" s="409"/>
      <c r="CH132" s="409"/>
      <c r="CI132" s="409"/>
      <c r="CJ132" s="409"/>
      <c r="CK132" s="409"/>
      <c r="CL132" s="409"/>
      <c r="CM132" s="409"/>
      <c r="CN132" s="409"/>
      <c r="CO132" s="409"/>
      <c r="CP132" s="409"/>
      <c r="CQ132" s="409"/>
      <c r="CR132" s="409"/>
      <c r="CS132" s="409"/>
      <c r="CT132" s="409"/>
      <c r="CU132" s="409"/>
      <c r="CV132" s="409"/>
      <c r="CW132" s="409"/>
      <c r="CX132" s="409"/>
      <c r="CY132" s="409"/>
      <c r="CZ132" s="409"/>
      <c r="DA132" s="409"/>
      <c r="DB132" s="409"/>
      <c r="DC132" s="409"/>
      <c r="DD132" s="409"/>
      <c r="DE132" s="409"/>
      <c r="DF132" s="409"/>
      <c r="DG132" s="409"/>
      <c r="DH132" s="409"/>
      <c r="DI132" s="409"/>
      <c r="DJ132" s="409"/>
      <c r="DK132" s="409"/>
      <c r="DL132" s="409"/>
      <c r="DM132" s="409"/>
      <c r="DN132" s="409"/>
      <c r="DO132" s="409"/>
      <c r="DP132" s="409"/>
      <c r="DQ132" s="409"/>
      <c r="DR132" s="409"/>
      <c r="DS132" s="409"/>
      <c r="DT132" s="409"/>
      <c r="DU132" s="409"/>
      <c r="DV132" s="409"/>
      <c r="DW132" s="409"/>
      <c r="DX132" s="409"/>
      <c r="DY132" s="409"/>
      <c r="DZ132" s="409"/>
      <c r="EA132" s="409"/>
      <c r="EB132" s="409"/>
      <c r="EC132" s="409"/>
      <c r="ED132" s="409"/>
      <c r="EE132" s="409"/>
      <c r="EF132" s="409"/>
      <c r="EG132" s="409"/>
      <c r="EH132" s="409"/>
      <c r="EI132" s="409"/>
      <c r="EJ132" s="409"/>
      <c r="EK132" s="409"/>
      <c r="EL132" s="409"/>
      <c r="EM132" s="409"/>
      <c r="EN132" s="409"/>
      <c r="EO132" s="409"/>
      <c r="EP132" s="409"/>
      <c r="EQ132" s="409"/>
      <c r="ER132" s="409"/>
      <c r="ES132" s="409"/>
      <c r="ET132" s="409"/>
      <c r="EU132" s="409"/>
      <c r="EV132" s="409"/>
      <c r="EW132" s="409"/>
      <c r="EX132" s="409"/>
      <c r="EY132" s="409"/>
      <c r="EZ132" s="409"/>
      <c r="FA132" s="409"/>
      <c r="FB132" s="409"/>
      <c r="FC132" s="409"/>
      <c r="FD132" s="409"/>
      <c r="FE132" s="409"/>
      <c r="FF132" s="409"/>
      <c r="FG132" s="409"/>
      <c r="FH132" s="409"/>
      <c r="FI132" s="409"/>
      <c r="FJ132" s="409"/>
      <c r="FK132" s="409"/>
      <c r="FL132" s="409"/>
      <c r="FM132" s="409"/>
      <c r="FN132" s="409"/>
      <c r="FO132" s="409"/>
      <c r="FP132" s="409"/>
      <c r="FQ132" s="409"/>
      <c r="FR132" s="409"/>
      <c r="FS132" s="409"/>
      <c r="FT132" s="409"/>
      <c r="FU132" s="409"/>
      <c r="FV132" s="409"/>
      <c r="FW132" s="409"/>
      <c r="FX132" s="409"/>
      <c r="FY132" s="409"/>
      <c r="FZ132" s="409"/>
      <c r="GA132" s="409"/>
      <c r="GB132" s="409"/>
      <c r="GC132" s="409"/>
      <c r="GD132" s="409"/>
      <c r="GE132" s="409"/>
      <c r="GF132" s="409"/>
      <c r="GG132" s="409"/>
      <c r="GH132" s="409"/>
      <c r="GI132" s="409"/>
      <c r="GJ132" s="409"/>
      <c r="GK132" s="409"/>
      <c r="GL132" s="409"/>
      <c r="GM132" s="409"/>
      <c r="GN132" s="409"/>
      <c r="GO132" s="409"/>
      <c r="GP132" s="409"/>
      <c r="GQ132" s="409"/>
      <c r="GR132" s="409"/>
      <c r="GS132" s="409"/>
      <c r="GT132" s="409"/>
      <c r="GU132" s="409"/>
      <c r="GV132" s="409"/>
      <c r="GW132" s="409"/>
      <c r="GX132" s="409"/>
      <c r="GY132" s="409"/>
      <c r="GZ132" s="409"/>
      <c r="HA132" s="409"/>
      <c r="HB132" s="409"/>
      <c r="HC132" s="409"/>
      <c r="HD132" s="409"/>
      <c r="HE132" s="409"/>
      <c r="HF132" s="409"/>
      <c r="HG132" s="409"/>
      <c r="HH132" s="409"/>
      <c r="HI132" s="409"/>
      <c r="HJ132" s="409"/>
      <c r="HK132" s="409"/>
      <c r="HL132" s="409"/>
      <c r="HM132" s="409"/>
      <c r="HN132" s="409"/>
      <c r="HO132" s="409"/>
      <c r="HP132" s="409"/>
      <c r="HQ132" s="409"/>
      <c r="HR132" s="409"/>
      <c r="HS132" s="409"/>
      <c r="HT132" s="409"/>
      <c r="HU132" s="409"/>
      <c r="HV132" s="409"/>
      <c r="HW132" s="409"/>
      <c r="HX132" s="409"/>
      <c r="HY132" s="409"/>
      <c r="HZ132" s="409"/>
      <c r="IA132" s="409"/>
      <c r="IB132" s="409"/>
      <c r="IC132" s="409"/>
      <c r="ID132" s="409"/>
      <c r="IE132" s="409"/>
      <c r="IF132" s="409"/>
    </row>
    <row r="133" spans="1:240">
      <c r="A133" s="712" t="s">
        <v>25</v>
      </c>
      <c r="B133" s="713"/>
      <c r="C133" s="714"/>
      <c r="D133" s="260" t="s">
        <v>369</v>
      </c>
      <c r="E133" s="260" t="s">
        <v>314</v>
      </c>
      <c r="F133" s="260" t="s">
        <v>370</v>
      </c>
      <c r="G133" s="260" t="s">
        <v>319</v>
      </c>
      <c r="H133" s="260" t="s">
        <v>288</v>
      </c>
      <c r="I133" s="260" t="s">
        <v>286</v>
      </c>
      <c r="J133" s="260" t="s">
        <v>290</v>
      </c>
      <c r="K133" s="260" t="s">
        <v>318</v>
      </c>
      <c r="L133" s="260" t="s">
        <v>320</v>
      </c>
      <c r="M133" s="260" t="s">
        <v>288</v>
      </c>
      <c r="N133" s="260" t="s">
        <v>320</v>
      </c>
      <c r="O133" s="260">
        <v>97.8</v>
      </c>
      <c r="P133" s="408">
        <f t="shared" si="12"/>
        <v>97.8</v>
      </c>
      <c r="R133" s="409"/>
      <c r="S133" s="409"/>
      <c r="T133" s="409"/>
      <c r="U133" s="409"/>
      <c r="V133" s="409"/>
      <c r="W133" s="409"/>
      <c r="X133" s="409"/>
      <c r="Y133" s="409"/>
      <c r="Z133" s="409"/>
      <c r="AA133" s="409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9"/>
      <c r="BE133" s="409"/>
      <c r="BF133" s="409"/>
      <c r="BG133" s="409"/>
      <c r="BH133" s="409"/>
      <c r="BI133" s="409"/>
      <c r="BJ133" s="409"/>
      <c r="BK133" s="409"/>
      <c r="BL133" s="409"/>
      <c r="BM133" s="409"/>
      <c r="BN133" s="409"/>
      <c r="BO133" s="409"/>
      <c r="BP133" s="409"/>
      <c r="BQ133" s="409"/>
      <c r="BR133" s="409"/>
      <c r="BS133" s="409"/>
      <c r="BT133" s="409"/>
      <c r="BU133" s="409"/>
      <c r="BV133" s="409"/>
      <c r="BW133" s="409"/>
      <c r="BX133" s="409"/>
      <c r="BY133" s="409"/>
      <c r="BZ133" s="409"/>
      <c r="CA133" s="409"/>
      <c r="CB133" s="409"/>
      <c r="CC133" s="409"/>
      <c r="CD133" s="409"/>
      <c r="CE133" s="409"/>
      <c r="CF133" s="409"/>
      <c r="CG133" s="409"/>
      <c r="CH133" s="409"/>
      <c r="CI133" s="409"/>
      <c r="CJ133" s="409"/>
      <c r="CK133" s="409"/>
      <c r="CL133" s="409"/>
      <c r="CM133" s="409"/>
      <c r="CN133" s="409"/>
      <c r="CO133" s="409"/>
      <c r="CP133" s="409"/>
      <c r="CQ133" s="409"/>
      <c r="CR133" s="409"/>
      <c r="CS133" s="409"/>
      <c r="CT133" s="409"/>
      <c r="CU133" s="409"/>
      <c r="CV133" s="409"/>
      <c r="CW133" s="409"/>
      <c r="CX133" s="409"/>
      <c r="CY133" s="409"/>
      <c r="CZ133" s="409"/>
      <c r="DA133" s="409"/>
      <c r="DB133" s="409"/>
      <c r="DC133" s="409"/>
      <c r="DD133" s="409"/>
      <c r="DE133" s="409"/>
      <c r="DF133" s="409"/>
      <c r="DG133" s="409"/>
      <c r="DH133" s="409"/>
      <c r="DI133" s="409"/>
      <c r="DJ133" s="409"/>
      <c r="DK133" s="409"/>
      <c r="DL133" s="409"/>
      <c r="DM133" s="409"/>
      <c r="DN133" s="409"/>
      <c r="DO133" s="409"/>
      <c r="DP133" s="409"/>
      <c r="DQ133" s="409"/>
      <c r="DR133" s="409"/>
      <c r="DS133" s="409"/>
      <c r="DT133" s="409"/>
      <c r="DU133" s="409"/>
      <c r="DV133" s="409"/>
      <c r="DW133" s="409"/>
      <c r="DX133" s="409"/>
      <c r="DY133" s="409"/>
      <c r="DZ133" s="409"/>
      <c r="EA133" s="409"/>
      <c r="EB133" s="409"/>
      <c r="EC133" s="409"/>
      <c r="ED133" s="409"/>
      <c r="EE133" s="409"/>
      <c r="EF133" s="409"/>
      <c r="EG133" s="409"/>
      <c r="EH133" s="409"/>
      <c r="EI133" s="409"/>
      <c r="EJ133" s="409"/>
      <c r="EK133" s="409"/>
      <c r="EL133" s="409"/>
      <c r="EM133" s="409"/>
      <c r="EN133" s="409"/>
      <c r="EO133" s="409"/>
      <c r="EP133" s="409"/>
      <c r="EQ133" s="409"/>
      <c r="ER133" s="409"/>
      <c r="ES133" s="409"/>
      <c r="ET133" s="409"/>
      <c r="EU133" s="409"/>
      <c r="EV133" s="409"/>
      <c r="EW133" s="409"/>
      <c r="EX133" s="409"/>
      <c r="EY133" s="409"/>
      <c r="EZ133" s="409"/>
      <c r="FA133" s="409"/>
      <c r="FB133" s="409"/>
      <c r="FC133" s="409"/>
      <c r="FD133" s="409"/>
      <c r="FE133" s="409"/>
      <c r="FF133" s="409"/>
      <c r="FG133" s="409"/>
      <c r="FH133" s="409"/>
      <c r="FI133" s="409"/>
      <c r="FJ133" s="409"/>
      <c r="FK133" s="409"/>
      <c r="FL133" s="409"/>
      <c r="FM133" s="409"/>
      <c r="FN133" s="409"/>
      <c r="FO133" s="409"/>
      <c r="FP133" s="409"/>
      <c r="FQ133" s="409"/>
      <c r="FR133" s="409"/>
      <c r="FS133" s="409"/>
      <c r="FT133" s="409"/>
      <c r="FU133" s="409"/>
      <c r="FV133" s="409"/>
      <c r="FW133" s="409"/>
      <c r="FX133" s="409"/>
      <c r="FY133" s="409"/>
      <c r="FZ133" s="409"/>
      <c r="GA133" s="409"/>
      <c r="GB133" s="409"/>
      <c r="GC133" s="409"/>
      <c r="GD133" s="409"/>
      <c r="GE133" s="409"/>
      <c r="GF133" s="409"/>
      <c r="GG133" s="409"/>
      <c r="GH133" s="409"/>
      <c r="GI133" s="409"/>
      <c r="GJ133" s="409"/>
      <c r="GK133" s="409"/>
      <c r="GL133" s="409"/>
      <c r="GM133" s="409"/>
      <c r="GN133" s="409"/>
      <c r="GO133" s="409"/>
      <c r="GP133" s="409"/>
      <c r="GQ133" s="409"/>
      <c r="GR133" s="409"/>
      <c r="GS133" s="409"/>
      <c r="GT133" s="409"/>
      <c r="GU133" s="409"/>
      <c r="GV133" s="409"/>
      <c r="GW133" s="409"/>
      <c r="GX133" s="409"/>
      <c r="GY133" s="409"/>
      <c r="GZ133" s="409"/>
      <c r="HA133" s="409"/>
      <c r="HB133" s="409"/>
      <c r="HC133" s="409"/>
      <c r="HD133" s="409"/>
      <c r="HE133" s="409"/>
      <c r="HF133" s="409"/>
      <c r="HG133" s="409"/>
      <c r="HH133" s="409"/>
      <c r="HI133" s="409"/>
      <c r="HJ133" s="409"/>
      <c r="HK133" s="409"/>
      <c r="HL133" s="409"/>
      <c r="HM133" s="409"/>
      <c r="HN133" s="409"/>
      <c r="HO133" s="409"/>
      <c r="HP133" s="409"/>
      <c r="HQ133" s="409"/>
      <c r="HR133" s="409"/>
      <c r="HS133" s="409"/>
      <c r="HT133" s="409"/>
      <c r="HU133" s="409"/>
      <c r="HV133" s="409"/>
      <c r="HW133" s="409"/>
      <c r="HX133" s="409"/>
      <c r="HY133" s="409"/>
      <c r="HZ133" s="409"/>
      <c r="IA133" s="409"/>
      <c r="IB133" s="409"/>
      <c r="IC133" s="409"/>
      <c r="ID133" s="409"/>
      <c r="IE133" s="409"/>
      <c r="IF133" s="409"/>
    </row>
    <row r="134" spans="1:240">
      <c r="A134" s="712" t="s">
        <v>26</v>
      </c>
      <c r="B134" s="713"/>
      <c r="C134" s="714"/>
      <c r="D134" s="260" t="s">
        <v>340</v>
      </c>
      <c r="E134" s="260" t="s">
        <v>339</v>
      </c>
      <c r="F134" s="260" t="s">
        <v>339</v>
      </c>
      <c r="G134" s="260" t="s">
        <v>370</v>
      </c>
      <c r="H134" s="260" t="s">
        <v>321</v>
      </c>
      <c r="I134" s="260" t="s">
        <v>322</v>
      </c>
      <c r="J134" s="260" t="s">
        <v>332</v>
      </c>
      <c r="K134" s="260" t="s">
        <v>332</v>
      </c>
      <c r="L134" s="260" t="s">
        <v>371</v>
      </c>
      <c r="M134" s="260" t="s">
        <v>323</v>
      </c>
      <c r="N134" s="260" t="s">
        <v>353</v>
      </c>
      <c r="O134" s="260">
        <v>97.9</v>
      </c>
      <c r="P134" s="408">
        <f t="shared" si="12"/>
        <v>97.9</v>
      </c>
      <c r="R134" s="409"/>
      <c r="S134" s="409"/>
      <c r="T134" s="409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9"/>
      <c r="BE134" s="409"/>
      <c r="BF134" s="409"/>
      <c r="BG134" s="409"/>
      <c r="BH134" s="409"/>
      <c r="BI134" s="409"/>
      <c r="BJ134" s="409"/>
      <c r="BK134" s="409"/>
      <c r="BL134" s="409"/>
      <c r="BM134" s="409"/>
      <c r="BN134" s="409"/>
      <c r="BO134" s="409"/>
      <c r="BP134" s="409"/>
      <c r="BQ134" s="409"/>
      <c r="BR134" s="409"/>
      <c r="BS134" s="409"/>
      <c r="BT134" s="409"/>
      <c r="BU134" s="409"/>
      <c r="BV134" s="409"/>
      <c r="BW134" s="409"/>
      <c r="BX134" s="409"/>
      <c r="BY134" s="409"/>
      <c r="BZ134" s="409"/>
      <c r="CA134" s="409"/>
      <c r="CB134" s="409"/>
      <c r="CC134" s="409"/>
      <c r="CD134" s="409"/>
      <c r="CE134" s="409"/>
      <c r="CF134" s="409"/>
      <c r="CG134" s="409"/>
      <c r="CH134" s="409"/>
      <c r="CI134" s="409"/>
      <c r="CJ134" s="409"/>
      <c r="CK134" s="409"/>
      <c r="CL134" s="409"/>
      <c r="CM134" s="409"/>
      <c r="CN134" s="409"/>
      <c r="CO134" s="409"/>
      <c r="CP134" s="409"/>
      <c r="CQ134" s="409"/>
      <c r="CR134" s="409"/>
      <c r="CS134" s="409"/>
      <c r="CT134" s="409"/>
      <c r="CU134" s="409"/>
      <c r="CV134" s="409"/>
      <c r="CW134" s="409"/>
      <c r="CX134" s="409"/>
      <c r="CY134" s="409"/>
      <c r="CZ134" s="409"/>
      <c r="DA134" s="409"/>
      <c r="DB134" s="409"/>
      <c r="DC134" s="409"/>
      <c r="DD134" s="409"/>
      <c r="DE134" s="409"/>
      <c r="DF134" s="409"/>
      <c r="DG134" s="409"/>
      <c r="DH134" s="409"/>
      <c r="DI134" s="409"/>
      <c r="DJ134" s="409"/>
      <c r="DK134" s="409"/>
      <c r="DL134" s="409"/>
      <c r="DM134" s="409"/>
      <c r="DN134" s="409"/>
      <c r="DO134" s="409"/>
      <c r="DP134" s="409"/>
      <c r="DQ134" s="409"/>
      <c r="DR134" s="409"/>
      <c r="DS134" s="409"/>
      <c r="DT134" s="409"/>
      <c r="DU134" s="409"/>
      <c r="DV134" s="409"/>
      <c r="DW134" s="409"/>
      <c r="DX134" s="409"/>
      <c r="DY134" s="409"/>
      <c r="DZ134" s="409"/>
      <c r="EA134" s="409"/>
      <c r="EB134" s="409"/>
      <c r="EC134" s="409"/>
      <c r="ED134" s="409"/>
      <c r="EE134" s="409"/>
      <c r="EF134" s="409"/>
      <c r="EG134" s="409"/>
      <c r="EH134" s="409"/>
      <c r="EI134" s="409"/>
      <c r="EJ134" s="409"/>
      <c r="EK134" s="409"/>
      <c r="EL134" s="409"/>
      <c r="EM134" s="409"/>
      <c r="EN134" s="409"/>
      <c r="EO134" s="409"/>
      <c r="EP134" s="409"/>
      <c r="EQ134" s="409"/>
      <c r="ER134" s="409"/>
      <c r="ES134" s="409"/>
      <c r="ET134" s="409"/>
      <c r="EU134" s="409"/>
      <c r="EV134" s="409"/>
      <c r="EW134" s="409"/>
      <c r="EX134" s="409"/>
      <c r="EY134" s="409"/>
      <c r="EZ134" s="409"/>
      <c r="FA134" s="409"/>
      <c r="FB134" s="409"/>
      <c r="FC134" s="409"/>
      <c r="FD134" s="409"/>
      <c r="FE134" s="409"/>
      <c r="FF134" s="409"/>
      <c r="FG134" s="409"/>
      <c r="FH134" s="409"/>
      <c r="FI134" s="409"/>
      <c r="FJ134" s="409"/>
      <c r="FK134" s="409"/>
      <c r="FL134" s="409"/>
      <c r="FM134" s="409"/>
      <c r="FN134" s="409"/>
      <c r="FO134" s="409"/>
      <c r="FP134" s="409"/>
      <c r="FQ134" s="409"/>
      <c r="FR134" s="409"/>
      <c r="FS134" s="409"/>
      <c r="FT134" s="409"/>
      <c r="FU134" s="409"/>
      <c r="FV134" s="409"/>
      <c r="FW134" s="409"/>
      <c r="FX134" s="409"/>
      <c r="FY134" s="409"/>
      <c r="FZ134" s="409"/>
      <c r="GA134" s="409"/>
      <c r="GB134" s="409"/>
      <c r="GC134" s="409"/>
      <c r="GD134" s="409"/>
      <c r="GE134" s="409"/>
      <c r="GF134" s="409"/>
      <c r="GG134" s="409"/>
      <c r="GH134" s="409"/>
      <c r="GI134" s="409"/>
      <c r="GJ134" s="409"/>
      <c r="GK134" s="409"/>
      <c r="GL134" s="409"/>
      <c r="GM134" s="409"/>
      <c r="GN134" s="409"/>
      <c r="GO134" s="409"/>
      <c r="GP134" s="409"/>
      <c r="GQ134" s="409"/>
      <c r="GR134" s="409"/>
      <c r="GS134" s="409"/>
      <c r="GT134" s="409"/>
      <c r="GU134" s="409"/>
      <c r="GV134" s="409"/>
      <c r="GW134" s="409"/>
      <c r="GX134" s="409"/>
      <c r="GY134" s="409"/>
      <c r="GZ134" s="409"/>
      <c r="HA134" s="409"/>
      <c r="HB134" s="409"/>
      <c r="HC134" s="409"/>
      <c r="HD134" s="409"/>
      <c r="HE134" s="409"/>
      <c r="HF134" s="409"/>
      <c r="HG134" s="409"/>
      <c r="HH134" s="409"/>
      <c r="HI134" s="409"/>
      <c r="HJ134" s="409"/>
      <c r="HK134" s="409"/>
      <c r="HL134" s="409"/>
      <c r="HM134" s="409"/>
      <c r="HN134" s="409"/>
      <c r="HO134" s="409"/>
      <c r="HP134" s="409"/>
      <c r="HQ134" s="409"/>
      <c r="HR134" s="409"/>
      <c r="HS134" s="409"/>
      <c r="HT134" s="409"/>
      <c r="HU134" s="409"/>
      <c r="HV134" s="409"/>
      <c r="HW134" s="409"/>
      <c r="HX134" s="409"/>
      <c r="HY134" s="409"/>
      <c r="HZ134" s="409"/>
      <c r="IA134" s="409"/>
      <c r="IB134" s="409"/>
      <c r="IC134" s="409"/>
      <c r="ID134" s="409"/>
      <c r="IE134" s="409"/>
      <c r="IF134" s="409"/>
    </row>
    <row r="135" spans="1:240">
      <c r="A135" s="712" t="s">
        <v>27</v>
      </c>
      <c r="B135" s="713"/>
      <c r="C135" s="714"/>
      <c r="D135" s="260" t="s">
        <v>372</v>
      </c>
      <c r="E135" s="260" t="s">
        <v>373</v>
      </c>
      <c r="F135" s="260" t="s">
        <v>352</v>
      </c>
      <c r="G135" s="260" t="s">
        <v>345</v>
      </c>
      <c r="H135" s="260" t="s">
        <v>374</v>
      </c>
      <c r="I135" s="260" t="s">
        <v>338</v>
      </c>
      <c r="J135" s="260" t="s">
        <v>330</v>
      </c>
      <c r="K135" s="260" t="s">
        <v>360</v>
      </c>
      <c r="L135" s="260" t="s">
        <v>355</v>
      </c>
      <c r="M135" s="260" t="s">
        <v>371</v>
      </c>
      <c r="N135" s="260" t="s">
        <v>309</v>
      </c>
      <c r="O135" s="260">
        <v>90.4</v>
      </c>
      <c r="P135" s="408">
        <f t="shared" si="12"/>
        <v>90.4</v>
      </c>
      <c r="R135" s="409"/>
      <c r="S135" s="409"/>
      <c r="T135" s="409"/>
      <c r="U135" s="409"/>
      <c r="V135" s="409"/>
      <c r="W135" s="409"/>
      <c r="X135" s="409"/>
      <c r="Y135" s="409"/>
      <c r="Z135" s="409"/>
      <c r="AA135" s="409"/>
      <c r="AB135" s="409"/>
      <c r="AC135" s="409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9"/>
      <c r="BE135" s="409"/>
      <c r="BF135" s="409"/>
      <c r="BG135" s="409"/>
      <c r="BH135" s="409"/>
      <c r="BI135" s="409"/>
      <c r="BJ135" s="409"/>
      <c r="BK135" s="409"/>
      <c r="BL135" s="409"/>
      <c r="BM135" s="409"/>
      <c r="BN135" s="409"/>
      <c r="BO135" s="409"/>
      <c r="BP135" s="409"/>
      <c r="BQ135" s="409"/>
      <c r="BR135" s="409"/>
      <c r="BS135" s="409"/>
      <c r="BT135" s="409"/>
      <c r="BU135" s="409"/>
      <c r="BV135" s="409"/>
      <c r="BW135" s="409"/>
      <c r="BX135" s="409"/>
      <c r="BY135" s="409"/>
      <c r="BZ135" s="409"/>
      <c r="CA135" s="409"/>
      <c r="CB135" s="409"/>
      <c r="CC135" s="409"/>
      <c r="CD135" s="409"/>
      <c r="CE135" s="409"/>
      <c r="CF135" s="409"/>
      <c r="CG135" s="409"/>
      <c r="CH135" s="409"/>
      <c r="CI135" s="409"/>
      <c r="CJ135" s="409"/>
      <c r="CK135" s="409"/>
      <c r="CL135" s="409"/>
      <c r="CM135" s="409"/>
      <c r="CN135" s="409"/>
      <c r="CO135" s="409"/>
      <c r="CP135" s="409"/>
      <c r="CQ135" s="409"/>
      <c r="CR135" s="409"/>
      <c r="CS135" s="409"/>
      <c r="CT135" s="409"/>
      <c r="CU135" s="409"/>
      <c r="CV135" s="409"/>
      <c r="CW135" s="409"/>
      <c r="CX135" s="409"/>
      <c r="CY135" s="409"/>
      <c r="CZ135" s="409"/>
      <c r="DA135" s="409"/>
      <c r="DB135" s="409"/>
      <c r="DC135" s="409"/>
      <c r="DD135" s="409"/>
      <c r="DE135" s="409"/>
      <c r="DF135" s="409"/>
      <c r="DG135" s="409"/>
      <c r="DH135" s="409"/>
      <c r="DI135" s="409"/>
      <c r="DJ135" s="409"/>
      <c r="DK135" s="409"/>
      <c r="DL135" s="409"/>
      <c r="DM135" s="409"/>
      <c r="DN135" s="409"/>
      <c r="DO135" s="409"/>
      <c r="DP135" s="409"/>
      <c r="DQ135" s="409"/>
      <c r="DR135" s="409"/>
      <c r="DS135" s="409"/>
      <c r="DT135" s="409"/>
      <c r="DU135" s="409"/>
      <c r="DV135" s="409"/>
      <c r="DW135" s="409"/>
      <c r="DX135" s="409"/>
      <c r="DY135" s="409"/>
      <c r="DZ135" s="409"/>
      <c r="EA135" s="409"/>
      <c r="EB135" s="409"/>
      <c r="EC135" s="409"/>
      <c r="ED135" s="409"/>
      <c r="EE135" s="409"/>
      <c r="EF135" s="409"/>
      <c r="EG135" s="409"/>
      <c r="EH135" s="409"/>
      <c r="EI135" s="409"/>
      <c r="EJ135" s="409"/>
      <c r="EK135" s="409"/>
      <c r="EL135" s="409"/>
      <c r="EM135" s="409"/>
      <c r="EN135" s="409"/>
      <c r="EO135" s="409"/>
      <c r="EP135" s="409"/>
      <c r="EQ135" s="409"/>
      <c r="ER135" s="409"/>
      <c r="ES135" s="409"/>
      <c r="ET135" s="409"/>
      <c r="EU135" s="409"/>
      <c r="EV135" s="409"/>
      <c r="EW135" s="409"/>
      <c r="EX135" s="409"/>
      <c r="EY135" s="409"/>
      <c r="EZ135" s="409"/>
      <c r="FA135" s="409"/>
      <c r="FB135" s="409"/>
      <c r="FC135" s="409"/>
      <c r="FD135" s="409"/>
      <c r="FE135" s="409"/>
      <c r="FF135" s="409"/>
      <c r="FG135" s="409"/>
      <c r="FH135" s="409"/>
      <c r="FI135" s="409"/>
      <c r="FJ135" s="409"/>
      <c r="FK135" s="409"/>
      <c r="FL135" s="409"/>
      <c r="FM135" s="409"/>
      <c r="FN135" s="409"/>
      <c r="FO135" s="409"/>
      <c r="FP135" s="409"/>
      <c r="FQ135" s="409"/>
      <c r="FR135" s="409"/>
      <c r="FS135" s="409"/>
      <c r="FT135" s="409"/>
      <c r="FU135" s="409"/>
      <c r="FV135" s="409"/>
      <c r="FW135" s="409"/>
      <c r="FX135" s="409"/>
      <c r="FY135" s="409"/>
      <c r="FZ135" s="409"/>
      <c r="GA135" s="409"/>
      <c r="GB135" s="409"/>
      <c r="GC135" s="409"/>
      <c r="GD135" s="409"/>
      <c r="GE135" s="409"/>
      <c r="GF135" s="409"/>
      <c r="GG135" s="409"/>
      <c r="GH135" s="409"/>
      <c r="GI135" s="409"/>
      <c r="GJ135" s="409"/>
      <c r="GK135" s="409"/>
      <c r="GL135" s="409"/>
      <c r="GM135" s="409"/>
      <c r="GN135" s="409"/>
      <c r="GO135" s="409"/>
      <c r="GP135" s="409"/>
      <c r="GQ135" s="409"/>
      <c r="GR135" s="409"/>
      <c r="GS135" s="409"/>
      <c r="GT135" s="409"/>
      <c r="GU135" s="409"/>
      <c r="GV135" s="409"/>
      <c r="GW135" s="409"/>
      <c r="GX135" s="409"/>
      <c r="GY135" s="409"/>
      <c r="GZ135" s="409"/>
      <c r="HA135" s="409"/>
      <c r="HB135" s="409"/>
      <c r="HC135" s="409"/>
      <c r="HD135" s="409"/>
      <c r="HE135" s="409"/>
      <c r="HF135" s="409"/>
      <c r="HG135" s="409"/>
      <c r="HH135" s="409"/>
      <c r="HI135" s="409"/>
      <c r="HJ135" s="409"/>
      <c r="HK135" s="409"/>
      <c r="HL135" s="409"/>
      <c r="HM135" s="409"/>
      <c r="HN135" s="409"/>
      <c r="HO135" s="409"/>
      <c r="HP135" s="409"/>
      <c r="HQ135" s="409"/>
      <c r="HR135" s="409"/>
      <c r="HS135" s="409"/>
      <c r="HT135" s="409"/>
      <c r="HU135" s="409"/>
      <c r="HV135" s="409"/>
      <c r="HW135" s="409"/>
      <c r="HX135" s="409"/>
      <c r="HY135" s="409"/>
      <c r="HZ135" s="409"/>
      <c r="IA135" s="409"/>
      <c r="IB135" s="409"/>
      <c r="IC135" s="409"/>
      <c r="ID135" s="409"/>
      <c r="IE135" s="409"/>
      <c r="IF135" s="409"/>
    </row>
    <row r="136" spans="1:240" ht="12.95" thickBot="1">
      <c r="A136" s="746" t="s">
        <v>28</v>
      </c>
      <c r="B136" s="747"/>
      <c r="C136" s="748"/>
      <c r="D136" s="260" t="s">
        <v>356</v>
      </c>
      <c r="E136" s="260" t="s">
        <v>356</v>
      </c>
      <c r="F136" s="260" t="s">
        <v>356</v>
      </c>
      <c r="G136" s="260" t="s">
        <v>356</v>
      </c>
      <c r="H136" s="260" t="s">
        <v>356</v>
      </c>
      <c r="I136" s="260" t="s">
        <v>356</v>
      </c>
      <c r="J136" s="260" t="s">
        <v>356</v>
      </c>
      <c r="K136" s="260" t="s">
        <v>356</v>
      </c>
      <c r="L136" s="260" t="s">
        <v>356</v>
      </c>
      <c r="M136" s="260" t="s">
        <v>356</v>
      </c>
      <c r="N136" s="260" t="s">
        <v>356</v>
      </c>
      <c r="O136" s="260">
        <v>0</v>
      </c>
      <c r="P136" s="412">
        <f t="shared" si="12"/>
        <v>0</v>
      </c>
      <c r="R136" s="409"/>
      <c r="S136" s="409"/>
      <c r="T136" s="409"/>
      <c r="U136" s="409"/>
      <c r="V136" s="409"/>
      <c r="W136" s="409"/>
      <c r="X136" s="409"/>
      <c r="Y136" s="409"/>
      <c r="Z136" s="409"/>
      <c r="AA136" s="409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9"/>
      <c r="BE136" s="409"/>
      <c r="BF136" s="409"/>
      <c r="BG136" s="409"/>
      <c r="BH136" s="409"/>
      <c r="BI136" s="409"/>
      <c r="BJ136" s="409"/>
      <c r="BK136" s="409"/>
      <c r="BL136" s="409"/>
      <c r="BM136" s="409"/>
      <c r="BN136" s="409"/>
      <c r="BO136" s="409"/>
      <c r="BP136" s="409"/>
      <c r="BQ136" s="409"/>
      <c r="BR136" s="409"/>
      <c r="BS136" s="409"/>
      <c r="BT136" s="409"/>
      <c r="BU136" s="409"/>
      <c r="BV136" s="409"/>
      <c r="BW136" s="409"/>
      <c r="BX136" s="409"/>
      <c r="BY136" s="409"/>
      <c r="BZ136" s="409"/>
      <c r="CA136" s="409"/>
      <c r="CB136" s="409"/>
      <c r="CC136" s="409"/>
      <c r="CD136" s="409"/>
      <c r="CE136" s="409"/>
      <c r="CF136" s="409"/>
      <c r="CG136" s="409"/>
      <c r="CH136" s="409"/>
      <c r="CI136" s="409"/>
      <c r="CJ136" s="409"/>
      <c r="CK136" s="409"/>
      <c r="CL136" s="409"/>
      <c r="CM136" s="409"/>
      <c r="CN136" s="409"/>
      <c r="CO136" s="409"/>
      <c r="CP136" s="409"/>
      <c r="CQ136" s="409"/>
      <c r="CR136" s="409"/>
      <c r="CS136" s="409"/>
      <c r="CT136" s="409"/>
      <c r="CU136" s="409"/>
      <c r="CV136" s="409"/>
      <c r="CW136" s="409"/>
      <c r="CX136" s="409"/>
      <c r="CY136" s="409"/>
      <c r="CZ136" s="409"/>
      <c r="DA136" s="409"/>
      <c r="DB136" s="409"/>
      <c r="DC136" s="409"/>
      <c r="DD136" s="409"/>
      <c r="DE136" s="409"/>
      <c r="DF136" s="409"/>
      <c r="DG136" s="409"/>
      <c r="DH136" s="409"/>
      <c r="DI136" s="409"/>
      <c r="DJ136" s="409"/>
      <c r="DK136" s="409"/>
      <c r="DL136" s="409"/>
      <c r="DM136" s="409"/>
      <c r="DN136" s="409"/>
      <c r="DO136" s="409"/>
      <c r="DP136" s="409"/>
      <c r="DQ136" s="409"/>
      <c r="DR136" s="409"/>
      <c r="DS136" s="409"/>
      <c r="DT136" s="409"/>
      <c r="DU136" s="409"/>
      <c r="DV136" s="409"/>
      <c r="DW136" s="409"/>
      <c r="DX136" s="409"/>
      <c r="DY136" s="409"/>
      <c r="DZ136" s="409"/>
      <c r="EA136" s="409"/>
      <c r="EB136" s="409"/>
      <c r="EC136" s="409"/>
      <c r="ED136" s="409"/>
      <c r="EE136" s="409"/>
      <c r="EF136" s="409"/>
      <c r="EG136" s="409"/>
      <c r="EH136" s="409"/>
      <c r="EI136" s="409"/>
      <c r="EJ136" s="409"/>
      <c r="EK136" s="409"/>
      <c r="EL136" s="409"/>
      <c r="EM136" s="409"/>
      <c r="EN136" s="409"/>
      <c r="EO136" s="409"/>
      <c r="EP136" s="409"/>
      <c r="EQ136" s="409"/>
      <c r="ER136" s="409"/>
      <c r="ES136" s="409"/>
      <c r="ET136" s="409"/>
      <c r="EU136" s="409"/>
      <c r="EV136" s="409"/>
      <c r="EW136" s="409"/>
      <c r="EX136" s="409"/>
      <c r="EY136" s="409"/>
      <c r="EZ136" s="409"/>
      <c r="FA136" s="409"/>
      <c r="FB136" s="409"/>
      <c r="FC136" s="409"/>
      <c r="FD136" s="409"/>
      <c r="FE136" s="409"/>
      <c r="FF136" s="409"/>
      <c r="FG136" s="409"/>
      <c r="FH136" s="409"/>
      <c r="FI136" s="409"/>
      <c r="FJ136" s="409"/>
      <c r="FK136" s="409"/>
      <c r="FL136" s="409"/>
      <c r="FM136" s="409"/>
      <c r="FN136" s="409"/>
      <c r="FO136" s="409"/>
      <c r="FP136" s="409"/>
      <c r="FQ136" s="409"/>
      <c r="FR136" s="409"/>
      <c r="FS136" s="409"/>
      <c r="FT136" s="409"/>
      <c r="FU136" s="409"/>
      <c r="FV136" s="409"/>
      <c r="FW136" s="409"/>
      <c r="FX136" s="409"/>
      <c r="FY136" s="409"/>
      <c r="FZ136" s="409"/>
      <c r="GA136" s="409"/>
      <c r="GB136" s="409"/>
      <c r="GC136" s="409"/>
      <c r="GD136" s="409"/>
      <c r="GE136" s="409"/>
      <c r="GF136" s="409"/>
      <c r="GG136" s="409"/>
      <c r="GH136" s="409"/>
      <c r="GI136" s="409"/>
      <c r="GJ136" s="409"/>
      <c r="GK136" s="409"/>
      <c r="GL136" s="409"/>
      <c r="GM136" s="409"/>
      <c r="GN136" s="409"/>
      <c r="GO136" s="409"/>
      <c r="GP136" s="409"/>
      <c r="GQ136" s="409"/>
      <c r="GR136" s="409"/>
      <c r="GS136" s="409"/>
      <c r="GT136" s="409"/>
      <c r="GU136" s="409"/>
      <c r="GV136" s="409"/>
      <c r="GW136" s="409"/>
      <c r="GX136" s="409"/>
      <c r="GY136" s="409"/>
      <c r="GZ136" s="409"/>
      <c r="HA136" s="409"/>
      <c r="HB136" s="409"/>
      <c r="HC136" s="409"/>
      <c r="HD136" s="409"/>
      <c r="HE136" s="409"/>
      <c r="HF136" s="409"/>
      <c r="HG136" s="409"/>
      <c r="HH136" s="409"/>
      <c r="HI136" s="409"/>
      <c r="HJ136" s="409"/>
      <c r="HK136" s="409"/>
      <c r="HL136" s="409"/>
      <c r="HM136" s="409"/>
      <c r="HN136" s="409"/>
      <c r="HO136" s="409"/>
      <c r="HP136" s="409"/>
      <c r="HQ136" s="409"/>
      <c r="HR136" s="409"/>
      <c r="HS136" s="409"/>
      <c r="HT136" s="409"/>
      <c r="HU136" s="409"/>
      <c r="HV136" s="409"/>
      <c r="HW136" s="409"/>
      <c r="HX136" s="409"/>
      <c r="HY136" s="409"/>
      <c r="HZ136" s="409"/>
      <c r="IA136" s="409"/>
      <c r="IB136" s="409"/>
      <c r="IC136" s="409"/>
      <c r="ID136" s="409"/>
      <c r="IE136" s="409"/>
      <c r="IF136" s="409"/>
    </row>
    <row r="137" spans="1:240">
      <c r="A137" s="749" t="s">
        <v>31</v>
      </c>
      <c r="B137" s="750"/>
      <c r="C137" s="751"/>
      <c r="D137" s="282" t="s">
        <v>356</v>
      </c>
      <c r="E137" s="282" t="s">
        <v>356</v>
      </c>
      <c r="F137" s="282" t="s">
        <v>356</v>
      </c>
      <c r="G137" s="282" t="s">
        <v>356</v>
      </c>
      <c r="H137" s="282" t="s">
        <v>356</v>
      </c>
      <c r="I137" s="282" t="s">
        <v>356</v>
      </c>
      <c r="J137" s="282" t="s">
        <v>356</v>
      </c>
      <c r="K137" s="282" t="s">
        <v>356</v>
      </c>
      <c r="L137" s="282" t="s">
        <v>356</v>
      </c>
      <c r="M137" s="282" t="s">
        <v>356</v>
      </c>
      <c r="N137" s="282" t="s">
        <v>356</v>
      </c>
      <c r="O137" s="282">
        <v>0</v>
      </c>
      <c r="P137" s="413">
        <f t="shared" si="12"/>
        <v>0</v>
      </c>
      <c r="R137" s="409"/>
      <c r="S137" s="409"/>
      <c r="T137" s="409"/>
      <c r="U137" s="409"/>
      <c r="V137" s="409"/>
      <c r="W137" s="409"/>
      <c r="X137" s="409"/>
      <c r="Y137" s="409"/>
      <c r="Z137" s="409"/>
      <c r="AA137" s="409"/>
      <c r="AB137" s="409"/>
      <c r="AC137" s="409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9"/>
      <c r="BE137" s="409"/>
      <c r="BF137" s="409"/>
      <c r="BG137" s="409"/>
      <c r="BH137" s="409"/>
      <c r="BI137" s="409"/>
      <c r="BJ137" s="409"/>
      <c r="BK137" s="409"/>
      <c r="BL137" s="409"/>
      <c r="BM137" s="409"/>
      <c r="BN137" s="409"/>
      <c r="BO137" s="409"/>
      <c r="BP137" s="409"/>
      <c r="BQ137" s="409"/>
      <c r="BR137" s="409"/>
      <c r="BS137" s="409"/>
      <c r="BT137" s="409"/>
      <c r="BU137" s="409"/>
      <c r="BV137" s="409"/>
      <c r="BW137" s="409"/>
      <c r="BX137" s="409"/>
      <c r="BY137" s="409"/>
      <c r="BZ137" s="409"/>
      <c r="CA137" s="409"/>
      <c r="CB137" s="409"/>
      <c r="CC137" s="409"/>
      <c r="CD137" s="409"/>
      <c r="CE137" s="409"/>
      <c r="CF137" s="409"/>
      <c r="CG137" s="409"/>
      <c r="CH137" s="409"/>
      <c r="CI137" s="409"/>
      <c r="CJ137" s="409"/>
      <c r="CK137" s="409"/>
      <c r="CL137" s="409"/>
      <c r="CM137" s="409"/>
      <c r="CN137" s="409"/>
      <c r="CO137" s="409"/>
      <c r="CP137" s="409"/>
      <c r="CQ137" s="409"/>
      <c r="CR137" s="409"/>
      <c r="CS137" s="409"/>
      <c r="CT137" s="409"/>
      <c r="CU137" s="409"/>
      <c r="CV137" s="409"/>
      <c r="CW137" s="409"/>
      <c r="CX137" s="409"/>
      <c r="CY137" s="409"/>
      <c r="CZ137" s="409"/>
      <c r="DA137" s="409"/>
      <c r="DB137" s="409"/>
      <c r="DC137" s="409"/>
      <c r="DD137" s="409"/>
      <c r="DE137" s="409"/>
      <c r="DF137" s="409"/>
      <c r="DG137" s="409"/>
      <c r="DH137" s="409"/>
      <c r="DI137" s="409"/>
      <c r="DJ137" s="409"/>
      <c r="DK137" s="409"/>
      <c r="DL137" s="409"/>
      <c r="DM137" s="409"/>
      <c r="DN137" s="409"/>
      <c r="DO137" s="409"/>
      <c r="DP137" s="409"/>
      <c r="DQ137" s="409"/>
      <c r="DR137" s="409"/>
      <c r="DS137" s="409"/>
      <c r="DT137" s="409"/>
      <c r="DU137" s="409"/>
      <c r="DV137" s="409"/>
      <c r="DW137" s="409"/>
      <c r="DX137" s="409"/>
      <c r="DY137" s="409"/>
      <c r="DZ137" s="409"/>
      <c r="EA137" s="409"/>
      <c r="EB137" s="409"/>
      <c r="EC137" s="409"/>
      <c r="ED137" s="409"/>
      <c r="EE137" s="409"/>
      <c r="EF137" s="409"/>
      <c r="EG137" s="409"/>
      <c r="EH137" s="409"/>
      <c r="EI137" s="409"/>
      <c r="EJ137" s="409"/>
      <c r="EK137" s="409"/>
      <c r="EL137" s="409"/>
      <c r="EM137" s="409"/>
      <c r="EN137" s="409"/>
      <c r="EO137" s="409"/>
      <c r="EP137" s="409"/>
      <c r="EQ137" s="409"/>
      <c r="ER137" s="409"/>
      <c r="ES137" s="409"/>
      <c r="ET137" s="409"/>
      <c r="EU137" s="409"/>
      <c r="EV137" s="409"/>
      <c r="EW137" s="409"/>
      <c r="EX137" s="409"/>
      <c r="EY137" s="409"/>
      <c r="EZ137" s="409"/>
      <c r="FA137" s="409"/>
      <c r="FB137" s="409"/>
      <c r="FC137" s="409"/>
      <c r="FD137" s="409"/>
      <c r="FE137" s="409"/>
      <c r="FF137" s="409"/>
      <c r="FG137" s="409"/>
      <c r="FH137" s="409"/>
      <c r="FI137" s="409"/>
      <c r="FJ137" s="409"/>
      <c r="FK137" s="409"/>
      <c r="FL137" s="409"/>
      <c r="FM137" s="409"/>
      <c r="FN137" s="409"/>
      <c r="FO137" s="409"/>
      <c r="FP137" s="409"/>
      <c r="FQ137" s="409"/>
      <c r="FR137" s="409"/>
      <c r="FS137" s="409"/>
      <c r="FT137" s="409"/>
      <c r="FU137" s="409"/>
      <c r="FV137" s="409"/>
      <c r="FW137" s="409"/>
      <c r="FX137" s="409"/>
      <c r="FY137" s="409"/>
      <c r="FZ137" s="409"/>
      <c r="GA137" s="409"/>
      <c r="GB137" s="409"/>
      <c r="GC137" s="409"/>
      <c r="GD137" s="409"/>
      <c r="GE137" s="409"/>
      <c r="GF137" s="409"/>
      <c r="GG137" s="409"/>
      <c r="GH137" s="409"/>
      <c r="GI137" s="409"/>
      <c r="GJ137" s="409"/>
      <c r="GK137" s="409"/>
      <c r="GL137" s="409"/>
      <c r="GM137" s="409"/>
      <c r="GN137" s="409"/>
      <c r="GO137" s="409"/>
      <c r="GP137" s="409"/>
      <c r="GQ137" s="409"/>
      <c r="GR137" s="409"/>
      <c r="GS137" s="409"/>
      <c r="GT137" s="409"/>
      <c r="GU137" s="409"/>
      <c r="GV137" s="409"/>
      <c r="GW137" s="409"/>
      <c r="GX137" s="409"/>
      <c r="GY137" s="409"/>
      <c r="GZ137" s="409"/>
      <c r="HA137" s="409"/>
      <c r="HB137" s="409"/>
      <c r="HC137" s="409"/>
      <c r="HD137" s="409"/>
      <c r="HE137" s="409"/>
      <c r="HF137" s="409"/>
      <c r="HG137" s="409"/>
      <c r="HH137" s="409"/>
      <c r="HI137" s="409"/>
      <c r="HJ137" s="409"/>
      <c r="HK137" s="409"/>
      <c r="HL137" s="409"/>
      <c r="HM137" s="409"/>
      <c r="HN137" s="409"/>
      <c r="HO137" s="409"/>
      <c r="HP137" s="409"/>
      <c r="HQ137" s="409"/>
      <c r="HR137" s="409"/>
      <c r="HS137" s="409"/>
      <c r="HT137" s="409"/>
      <c r="HU137" s="409"/>
      <c r="HV137" s="409"/>
      <c r="HW137" s="409"/>
      <c r="HX137" s="409"/>
      <c r="HY137" s="409"/>
      <c r="HZ137" s="409"/>
      <c r="IA137" s="409"/>
      <c r="IB137" s="409"/>
      <c r="IC137" s="409"/>
      <c r="ID137" s="409"/>
      <c r="IE137" s="409"/>
      <c r="IF137" s="409"/>
    </row>
    <row r="138" spans="1:240">
      <c r="A138" s="752" t="s">
        <v>32</v>
      </c>
      <c r="B138" s="713"/>
      <c r="C138" s="714"/>
      <c r="D138" s="195" t="s">
        <v>356</v>
      </c>
      <c r="E138" s="195" t="s">
        <v>356</v>
      </c>
      <c r="F138" s="195" t="s">
        <v>356</v>
      </c>
      <c r="G138" s="195" t="s">
        <v>356</v>
      </c>
      <c r="H138" s="195" t="s">
        <v>356</v>
      </c>
      <c r="I138" s="195" t="s">
        <v>356</v>
      </c>
      <c r="J138" s="195" t="s">
        <v>356</v>
      </c>
      <c r="K138" s="195" t="s">
        <v>356</v>
      </c>
      <c r="L138" s="195" t="s">
        <v>356</v>
      </c>
      <c r="M138" s="195" t="s">
        <v>356</v>
      </c>
      <c r="N138" s="195" t="s">
        <v>356</v>
      </c>
      <c r="O138" s="195">
        <v>0</v>
      </c>
      <c r="P138" s="408">
        <f t="shared" si="12"/>
        <v>0</v>
      </c>
      <c r="R138" s="409"/>
      <c r="S138" s="409"/>
      <c r="T138" s="409"/>
      <c r="U138" s="409"/>
      <c r="V138" s="409"/>
      <c r="W138" s="409"/>
      <c r="X138" s="409"/>
      <c r="Y138" s="409"/>
      <c r="Z138" s="409"/>
      <c r="AA138" s="409"/>
      <c r="AB138" s="409"/>
      <c r="AC138" s="409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9"/>
      <c r="BE138" s="409"/>
      <c r="BF138" s="409"/>
      <c r="BG138" s="409"/>
      <c r="BH138" s="409"/>
      <c r="BI138" s="409"/>
      <c r="BJ138" s="409"/>
      <c r="BK138" s="409"/>
      <c r="BL138" s="409"/>
      <c r="BM138" s="409"/>
      <c r="BN138" s="409"/>
      <c r="BO138" s="409"/>
      <c r="BP138" s="409"/>
      <c r="BQ138" s="409"/>
      <c r="BR138" s="409"/>
      <c r="BS138" s="409"/>
      <c r="BT138" s="409"/>
      <c r="BU138" s="409"/>
      <c r="BV138" s="409"/>
      <c r="BW138" s="409"/>
      <c r="BX138" s="409"/>
      <c r="BY138" s="409"/>
      <c r="BZ138" s="409"/>
      <c r="CA138" s="409"/>
      <c r="CB138" s="409"/>
      <c r="CC138" s="409"/>
      <c r="CD138" s="409"/>
      <c r="CE138" s="409"/>
      <c r="CF138" s="409"/>
      <c r="CG138" s="409"/>
      <c r="CH138" s="409"/>
      <c r="CI138" s="409"/>
      <c r="CJ138" s="409"/>
      <c r="CK138" s="409"/>
      <c r="CL138" s="409"/>
      <c r="CM138" s="409"/>
      <c r="CN138" s="409"/>
      <c r="CO138" s="409"/>
      <c r="CP138" s="409"/>
      <c r="CQ138" s="409"/>
      <c r="CR138" s="409"/>
      <c r="CS138" s="409"/>
      <c r="CT138" s="409"/>
      <c r="CU138" s="409"/>
      <c r="CV138" s="409"/>
      <c r="CW138" s="409"/>
      <c r="CX138" s="409"/>
      <c r="CY138" s="409"/>
      <c r="CZ138" s="409"/>
      <c r="DA138" s="409"/>
      <c r="DB138" s="409"/>
      <c r="DC138" s="409"/>
      <c r="DD138" s="409"/>
      <c r="DE138" s="409"/>
      <c r="DF138" s="409"/>
      <c r="DG138" s="409"/>
      <c r="DH138" s="409"/>
      <c r="DI138" s="409"/>
      <c r="DJ138" s="409"/>
      <c r="DK138" s="409"/>
      <c r="DL138" s="409"/>
      <c r="DM138" s="409"/>
      <c r="DN138" s="409"/>
      <c r="DO138" s="409"/>
      <c r="DP138" s="409"/>
      <c r="DQ138" s="409"/>
      <c r="DR138" s="409"/>
      <c r="DS138" s="409"/>
      <c r="DT138" s="409"/>
      <c r="DU138" s="409"/>
      <c r="DV138" s="409"/>
      <c r="DW138" s="409"/>
      <c r="DX138" s="409"/>
      <c r="DY138" s="409"/>
      <c r="DZ138" s="409"/>
      <c r="EA138" s="409"/>
      <c r="EB138" s="409"/>
      <c r="EC138" s="409"/>
      <c r="ED138" s="409"/>
      <c r="EE138" s="409"/>
      <c r="EF138" s="409"/>
      <c r="EG138" s="409"/>
      <c r="EH138" s="409"/>
      <c r="EI138" s="409"/>
      <c r="EJ138" s="409"/>
      <c r="EK138" s="409"/>
      <c r="EL138" s="409"/>
      <c r="EM138" s="409"/>
      <c r="EN138" s="409"/>
      <c r="EO138" s="409"/>
      <c r="EP138" s="409"/>
      <c r="EQ138" s="409"/>
      <c r="ER138" s="409"/>
      <c r="ES138" s="409"/>
      <c r="ET138" s="409"/>
      <c r="EU138" s="409"/>
      <c r="EV138" s="409"/>
      <c r="EW138" s="409"/>
      <c r="EX138" s="409"/>
      <c r="EY138" s="409"/>
      <c r="EZ138" s="409"/>
      <c r="FA138" s="409"/>
      <c r="FB138" s="409"/>
      <c r="FC138" s="409"/>
      <c r="FD138" s="409"/>
      <c r="FE138" s="409"/>
      <c r="FF138" s="409"/>
      <c r="FG138" s="409"/>
      <c r="FH138" s="409"/>
      <c r="FI138" s="409"/>
      <c r="FJ138" s="409"/>
      <c r="FK138" s="409"/>
      <c r="FL138" s="409"/>
      <c r="FM138" s="409"/>
      <c r="FN138" s="409"/>
      <c r="FO138" s="409"/>
      <c r="FP138" s="409"/>
      <c r="FQ138" s="409"/>
      <c r="FR138" s="409"/>
      <c r="FS138" s="409"/>
      <c r="FT138" s="409"/>
      <c r="FU138" s="409"/>
      <c r="FV138" s="409"/>
      <c r="FW138" s="409"/>
      <c r="FX138" s="409"/>
      <c r="FY138" s="409"/>
      <c r="FZ138" s="409"/>
      <c r="GA138" s="409"/>
      <c r="GB138" s="409"/>
      <c r="GC138" s="409"/>
      <c r="GD138" s="409"/>
      <c r="GE138" s="409"/>
      <c r="GF138" s="409"/>
      <c r="GG138" s="409"/>
      <c r="GH138" s="409"/>
      <c r="GI138" s="409"/>
      <c r="GJ138" s="409"/>
      <c r="GK138" s="409"/>
      <c r="GL138" s="409"/>
      <c r="GM138" s="409"/>
      <c r="GN138" s="409"/>
      <c r="GO138" s="409"/>
      <c r="GP138" s="409"/>
      <c r="GQ138" s="409"/>
      <c r="GR138" s="409"/>
      <c r="GS138" s="409"/>
      <c r="GT138" s="409"/>
      <c r="GU138" s="409"/>
      <c r="GV138" s="409"/>
      <c r="GW138" s="409"/>
      <c r="GX138" s="409"/>
      <c r="GY138" s="409"/>
      <c r="GZ138" s="409"/>
      <c r="HA138" s="409"/>
      <c r="HB138" s="409"/>
      <c r="HC138" s="409"/>
      <c r="HD138" s="409"/>
      <c r="HE138" s="409"/>
      <c r="HF138" s="409"/>
      <c r="HG138" s="409"/>
      <c r="HH138" s="409"/>
      <c r="HI138" s="409"/>
      <c r="HJ138" s="409"/>
      <c r="HK138" s="409"/>
      <c r="HL138" s="409"/>
      <c r="HM138" s="409"/>
      <c r="HN138" s="409"/>
      <c r="HO138" s="409"/>
      <c r="HP138" s="409"/>
      <c r="HQ138" s="409"/>
      <c r="HR138" s="409"/>
      <c r="HS138" s="409"/>
      <c r="HT138" s="409"/>
      <c r="HU138" s="409"/>
      <c r="HV138" s="409"/>
      <c r="HW138" s="409"/>
      <c r="HX138" s="409"/>
      <c r="HY138" s="409"/>
      <c r="HZ138" s="409"/>
      <c r="IA138" s="409"/>
      <c r="IB138" s="409"/>
      <c r="IC138" s="409"/>
      <c r="ID138" s="409"/>
      <c r="IE138" s="409"/>
      <c r="IF138" s="409"/>
    </row>
    <row r="139" spans="1:240">
      <c r="A139" s="752" t="s">
        <v>33</v>
      </c>
      <c r="B139" s="713"/>
      <c r="C139" s="714"/>
      <c r="D139" s="195" t="s">
        <v>356</v>
      </c>
      <c r="E139" s="195" t="s">
        <v>356</v>
      </c>
      <c r="F139" s="195" t="s">
        <v>356</v>
      </c>
      <c r="G139" s="195" t="s">
        <v>356</v>
      </c>
      <c r="H139" s="195" t="s">
        <v>356</v>
      </c>
      <c r="I139" s="195" t="s">
        <v>356</v>
      </c>
      <c r="J139" s="195" t="s">
        <v>356</v>
      </c>
      <c r="K139" s="195" t="s">
        <v>356</v>
      </c>
      <c r="L139" s="195" t="s">
        <v>356</v>
      </c>
      <c r="M139" s="195" t="s">
        <v>356</v>
      </c>
      <c r="N139" s="195" t="s">
        <v>356</v>
      </c>
      <c r="O139" s="195">
        <v>0</v>
      </c>
      <c r="P139" s="408">
        <f t="shared" si="12"/>
        <v>0</v>
      </c>
      <c r="R139" s="409"/>
      <c r="S139" s="409"/>
      <c r="T139" s="409"/>
      <c r="U139" s="409"/>
      <c r="V139" s="409"/>
      <c r="W139" s="409"/>
      <c r="X139" s="409"/>
      <c r="Y139" s="409"/>
      <c r="Z139" s="409"/>
      <c r="AA139" s="409"/>
      <c r="AB139" s="409"/>
      <c r="AC139" s="409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9"/>
      <c r="BE139" s="409"/>
      <c r="BF139" s="409"/>
      <c r="BG139" s="409"/>
      <c r="BH139" s="409"/>
      <c r="BI139" s="409"/>
      <c r="BJ139" s="409"/>
      <c r="BK139" s="409"/>
      <c r="BL139" s="409"/>
      <c r="BM139" s="409"/>
      <c r="BN139" s="409"/>
      <c r="BO139" s="409"/>
      <c r="BP139" s="409"/>
      <c r="BQ139" s="409"/>
      <c r="BR139" s="409"/>
      <c r="BS139" s="409"/>
      <c r="BT139" s="409"/>
      <c r="BU139" s="409"/>
      <c r="BV139" s="409"/>
      <c r="BW139" s="409"/>
      <c r="BX139" s="409"/>
      <c r="BY139" s="409"/>
      <c r="BZ139" s="409"/>
      <c r="CA139" s="409"/>
      <c r="CB139" s="409"/>
      <c r="CC139" s="409"/>
      <c r="CD139" s="409"/>
      <c r="CE139" s="409"/>
      <c r="CF139" s="409"/>
      <c r="CG139" s="409"/>
      <c r="CH139" s="409"/>
      <c r="CI139" s="409"/>
      <c r="CJ139" s="409"/>
      <c r="CK139" s="409"/>
      <c r="CL139" s="409"/>
      <c r="CM139" s="409"/>
      <c r="CN139" s="409"/>
      <c r="CO139" s="409"/>
      <c r="CP139" s="409"/>
      <c r="CQ139" s="409"/>
      <c r="CR139" s="409"/>
      <c r="CS139" s="409"/>
      <c r="CT139" s="409"/>
      <c r="CU139" s="409"/>
      <c r="CV139" s="409"/>
      <c r="CW139" s="409"/>
      <c r="CX139" s="409"/>
      <c r="CY139" s="409"/>
      <c r="CZ139" s="409"/>
      <c r="DA139" s="409"/>
      <c r="DB139" s="409"/>
      <c r="DC139" s="409"/>
      <c r="DD139" s="409"/>
      <c r="DE139" s="409"/>
      <c r="DF139" s="409"/>
      <c r="DG139" s="409"/>
      <c r="DH139" s="409"/>
      <c r="DI139" s="409"/>
      <c r="DJ139" s="409"/>
      <c r="DK139" s="409"/>
      <c r="DL139" s="409"/>
      <c r="DM139" s="409"/>
      <c r="DN139" s="409"/>
      <c r="DO139" s="409"/>
      <c r="DP139" s="409"/>
      <c r="DQ139" s="409"/>
      <c r="DR139" s="409"/>
      <c r="DS139" s="409"/>
      <c r="DT139" s="409"/>
      <c r="DU139" s="409"/>
      <c r="DV139" s="409"/>
      <c r="DW139" s="409"/>
      <c r="DX139" s="409"/>
      <c r="DY139" s="409"/>
      <c r="DZ139" s="409"/>
      <c r="EA139" s="409"/>
      <c r="EB139" s="409"/>
      <c r="EC139" s="409"/>
      <c r="ED139" s="409"/>
      <c r="EE139" s="409"/>
      <c r="EF139" s="409"/>
      <c r="EG139" s="409"/>
      <c r="EH139" s="409"/>
      <c r="EI139" s="409"/>
      <c r="EJ139" s="409"/>
      <c r="EK139" s="409"/>
      <c r="EL139" s="409"/>
      <c r="EM139" s="409"/>
      <c r="EN139" s="409"/>
      <c r="EO139" s="409"/>
      <c r="EP139" s="409"/>
      <c r="EQ139" s="409"/>
      <c r="ER139" s="409"/>
      <c r="ES139" s="409"/>
      <c r="ET139" s="409"/>
      <c r="EU139" s="409"/>
      <c r="EV139" s="409"/>
      <c r="EW139" s="409"/>
      <c r="EX139" s="409"/>
      <c r="EY139" s="409"/>
      <c r="EZ139" s="409"/>
      <c r="FA139" s="409"/>
      <c r="FB139" s="409"/>
      <c r="FC139" s="409"/>
      <c r="FD139" s="409"/>
      <c r="FE139" s="409"/>
      <c r="FF139" s="409"/>
      <c r="FG139" s="409"/>
      <c r="FH139" s="409"/>
      <c r="FI139" s="409"/>
      <c r="FJ139" s="409"/>
      <c r="FK139" s="409"/>
      <c r="FL139" s="409"/>
      <c r="FM139" s="409"/>
      <c r="FN139" s="409"/>
      <c r="FO139" s="409"/>
      <c r="FP139" s="409"/>
      <c r="FQ139" s="409"/>
      <c r="FR139" s="409"/>
      <c r="FS139" s="409"/>
      <c r="FT139" s="409"/>
      <c r="FU139" s="409"/>
      <c r="FV139" s="409"/>
      <c r="FW139" s="409"/>
      <c r="FX139" s="409"/>
      <c r="FY139" s="409"/>
      <c r="FZ139" s="409"/>
      <c r="GA139" s="409"/>
      <c r="GB139" s="409"/>
      <c r="GC139" s="409"/>
      <c r="GD139" s="409"/>
      <c r="GE139" s="409"/>
      <c r="GF139" s="409"/>
      <c r="GG139" s="409"/>
      <c r="GH139" s="409"/>
      <c r="GI139" s="409"/>
      <c r="GJ139" s="409"/>
      <c r="GK139" s="409"/>
      <c r="GL139" s="409"/>
      <c r="GM139" s="409"/>
      <c r="GN139" s="409"/>
      <c r="GO139" s="409"/>
      <c r="GP139" s="409"/>
      <c r="GQ139" s="409"/>
      <c r="GR139" s="409"/>
      <c r="GS139" s="409"/>
      <c r="GT139" s="409"/>
      <c r="GU139" s="409"/>
      <c r="GV139" s="409"/>
      <c r="GW139" s="409"/>
      <c r="GX139" s="409"/>
      <c r="GY139" s="409"/>
      <c r="GZ139" s="409"/>
      <c r="HA139" s="409"/>
      <c r="HB139" s="409"/>
      <c r="HC139" s="409"/>
      <c r="HD139" s="409"/>
      <c r="HE139" s="409"/>
      <c r="HF139" s="409"/>
      <c r="HG139" s="409"/>
      <c r="HH139" s="409"/>
      <c r="HI139" s="409"/>
      <c r="HJ139" s="409"/>
      <c r="HK139" s="409"/>
      <c r="HL139" s="409"/>
      <c r="HM139" s="409"/>
      <c r="HN139" s="409"/>
      <c r="HO139" s="409"/>
      <c r="HP139" s="409"/>
      <c r="HQ139" s="409"/>
      <c r="HR139" s="409"/>
      <c r="HS139" s="409"/>
      <c r="HT139" s="409"/>
      <c r="HU139" s="409"/>
      <c r="HV139" s="409"/>
      <c r="HW139" s="409"/>
      <c r="HX139" s="409"/>
      <c r="HY139" s="409"/>
      <c r="HZ139" s="409"/>
      <c r="IA139" s="409"/>
      <c r="IB139" s="409"/>
      <c r="IC139" s="409"/>
      <c r="ID139" s="409"/>
      <c r="IE139" s="409"/>
      <c r="IF139" s="409"/>
    </row>
    <row r="140" spans="1:240">
      <c r="A140" s="752" t="s">
        <v>34</v>
      </c>
      <c r="B140" s="713"/>
      <c r="C140" s="714"/>
      <c r="D140" s="195" t="s">
        <v>356</v>
      </c>
      <c r="E140" s="195" t="s">
        <v>356</v>
      </c>
      <c r="F140" s="195" t="s">
        <v>356</v>
      </c>
      <c r="G140" s="195" t="s">
        <v>356</v>
      </c>
      <c r="H140" s="195" t="s">
        <v>356</v>
      </c>
      <c r="I140" s="195" t="s">
        <v>356</v>
      </c>
      <c r="J140" s="195" t="s">
        <v>356</v>
      </c>
      <c r="K140" s="195" t="s">
        <v>356</v>
      </c>
      <c r="L140" s="195" t="s">
        <v>356</v>
      </c>
      <c r="M140" s="195" t="s">
        <v>356</v>
      </c>
      <c r="N140" s="195" t="s">
        <v>356</v>
      </c>
      <c r="O140" s="195">
        <v>0</v>
      </c>
      <c r="P140" s="408">
        <f t="shared" si="12"/>
        <v>0</v>
      </c>
      <c r="R140" s="409"/>
      <c r="S140" s="409"/>
      <c r="T140" s="409"/>
      <c r="U140" s="409"/>
      <c r="V140" s="409"/>
      <c r="W140" s="409"/>
      <c r="X140" s="409"/>
      <c r="Y140" s="409"/>
      <c r="Z140" s="409"/>
      <c r="AA140" s="409"/>
      <c r="AB140" s="409"/>
      <c r="AC140" s="409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9"/>
      <c r="BE140" s="409"/>
      <c r="BF140" s="409"/>
      <c r="BG140" s="409"/>
      <c r="BH140" s="409"/>
      <c r="BI140" s="409"/>
      <c r="BJ140" s="409"/>
      <c r="BK140" s="409"/>
      <c r="BL140" s="409"/>
      <c r="BM140" s="409"/>
      <c r="BN140" s="409"/>
      <c r="BO140" s="409"/>
      <c r="BP140" s="409"/>
      <c r="BQ140" s="409"/>
      <c r="BR140" s="409"/>
      <c r="BS140" s="409"/>
      <c r="BT140" s="409"/>
      <c r="BU140" s="409"/>
      <c r="BV140" s="409"/>
      <c r="BW140" s="409"/>
      <c r="BX140" s="409"/>
      <c r="BY140" s="409"/>
      <c r="BZ140" s="409"/>
      <c r="CA140" s="409"/>
      <c r="CB140" s="409"/>
      <c r="CC140" s="409"/>
      <c r="CD140" s="409"/>
      <c r="CE140" s="409"/>
      <c r="CF140" s="409"/>
      <c r="CG140" s="409"/>
      <c r="CH140" s="409"/>
      <c r="CI140" s="409"/>
      <c r="CJ140" s="409"/>
      <c r="CK140" s="409"/>
      <c r="CL140" s="409"/>
      <c r="CM140" s="409"/>
      <c r="CN140" s="409"/>
      <c r="CO140" s="409"/>
      <c r="CP140" s="409"/>
      <c r="CQ140" s="409"/>
      <c r="CR140" s="409"/>
      <c r="CS140" s="409"/>
      <c r="CT140" s="409"/>
      <c r="CU140" s="409"/>
      <c r="CV140" s="409"/>
      <c r="CW140" s="409"/>
      <c r="CX140" s="409"/>
      <c r="CY140" s="409"/>
      <c r="CZ140" s="409"/>
      <c r="DA140" s="409"/>
      <c r="DB140" s="409"/>
      <c r="DC140" s="409"/>
      <c r="DD140" s="409"/>
      <c r="DE140" s="409"/>
      <c r="DF140" s="409"/>
      <c r="DG140" s="409"/>
      <c r="DH140" s="409"/>
      <c r="DI140" s="409"/>
      <c r="DJ140" s="409"/>
      <c r="DK140" s="409"/>
      <c r="DL140" s="409"/>
      <c r="DM140" s="409"/>
      <c r="DN140" s="409"/>
      <c r="DO140" s="409"/>
      <c r="DP140" s="409"/>
      <c r="DQ140" s="409"/>
      <c r="DR140" s="409"/>
      <c r="DS140" s="409"/>
      <c r="DT140" s="409"/>
      <c r="DU140" s="409"/>
      <c r="DV140" s="409"/>
      <c r="DW140" s="409"/>
      <c r="DX140" s="409"/>
      <c r="DY140" s="409"/>
      <c r="DZ140" s="409"/>
      <c r="EA140" s="409"/>
      <c r="EB140" s="409"/>
      <c r="EC140" s="409"/>
      <c r="ED140" s="409"/>
      <c r="EE140" s="409"/>
      <c r="EF140" s="409"/>
      <c r="EG140" s="409"/>
      <c r="EH140" s="409"/>
      <c r="EI140" s="409"/>
      <c r="EJ140" s="409"/>
      <c r="EK140" s="409"/>
      <c r="EL140" s="409"/>
      <c r="EM140" s="409"/>
      <c r="EN140" s="409"/>
      <c r="EO140" s="409"/>
      <c r="EP140" s="409"/>
      <c r="EQ140" s="409"/>
      <c r="ER140" s="409"/>
      <c r="ES140" s="409"/>
      <c r="ET140" s="409"/>
      <c r="EU140" s="409"/>
      <c r="EV140" s="409"/>
      <c r="EW140" s="409"/>
      <c r="EX140" s="409"/>
      <c r="EY140" s="409"/>
      <c r="EZ140" s="409"/>
      <c r="FA140" s="409"/>
      <c r="FB140" s="409"/>
      <c r="FC140" s="409"/>
      <c r="FD140" s="409"/>
      <c r="FE140" s="409"/>
      <c r="FF140" s="409"/>
      <c r="FG140" s="409"/>
      <c r="FH140" s="409"/>
      <c r="FI140" s="409"/>
      <c r="FJ140" s="409"/>
      <c r="FK140" s="409"/>
      <c r="FL140" s="409"/>
      <c r="FM140" s="409"/>
      <c r="FN140" s="409"/>
      <c r="FO140" s="409"/>
      <c r="FP140" s="409"/>
      <c r="FQ140" s="409"/>
      <c r="FR140" s="409"/>
      <c r="FS140" s="409"/>
      <c r="FT140" s="409"/>
      <c r="FU140" s="409"/>
      <c r="FV140" s="409"/>
      <c r="FW140" s="409"/>
      <c r="FX140" s="409"/>
      <c r="FY140" s="409"/>
      <c r="FZ140" s="409"/>
      <c r="GA140" s="409"/>
      <c r="GB140" s="409"/>
      <c r="GC140" s="409"/>
      <c r="GD140" s="409"/>
      <c r="GE140" s="409"/>
      <c r="GF140" s="409"/>
      <c r="GG140" s="409"/>
      <c r="GH140" s="409"/>
      <c r="GI140" s="409"/>
      <c r="GJ140" s="409"/>
      <c r="GK140" s="409"/>
      <c r="GL140" s="409"/>
      <c r="GM140" s="409"/>
      <c r="GN140" s="409"/>
      <c r="GO140" s="409"/>
      <c r="GP140" s="409"/>
      <c r="GQ140" s="409"/>
      <c r="GR140" s="409"/>
      <c r="GS140" s="409"/>
      <c r="GT140" s="409"/>
      <c r="GU140" s="409"/>
      <c r="GV140" s="409"/>
      <c r="GW140" s="409"/>
      <c r="GX140" s="409"/>
      <c r="GY140" s="409"/>
      <c r="GZ140" s="409"/>
      <c r="HA140" s="409"/>
      <c r="HB140" s="409"/>
      <c r="HC140" s="409"/>
      <c r="HD140" s="409"/>
      <c r="HE140" s="409"/>
      <c r="HF140" s="409"/>
      <c r="HG140" s="409"/>
      <c r="HH140" s="409"/>
      <c r="HI140" s="409"/>
      <c r="HJ140" s="409"/>
      <c r="HK140" s="409"/>
      <c r="HL140" s="409"/>
      <c r="HM140" s="409"/>
      <c r="HN140" s="409"/>
      <c r="HO140" s="409"/>
      <c r="HP140" s="409"/>
      <c r="HQ140" s="409"/>
      <c r="HR140" s="409"/>
      <c r="HS140" s="409"/>
      <c r="HT140" s="409"/>
      <c r="HU140" s="409"/>
      <c r="HV140" s="409"/>
      <c r="HW140" s="409"/>
      <c r="HX140" s="409"/>
      <c r="HY140" s="409"/>
      <c r="HZ140" s="409"/>
      <c r="IA140" s="409"/>
      <c r="IB140" s="409"/>
      <c r="IC140" s="409"/>
      <c r="ID140" s="409"/>
      <c r="IE140" s="409"/>
      <c r="IF140" s="409"/>
    </row>
    <row r="141" spans="1:240" ht="12.95" thickBot="1">
      <c r="A141" s="753" t="s">
        <v>35</v>
      </c>
      <c r="B141" s="747"/>
      <c r="C141" s="748"/>
      <c r="D141" s="411" t="s">
        <v>356</v>
      </c>
      <c r="E141" s="411" t="s">
        <v>356</v>
      </c>
      <c r="F141" s="411" t="s">
        <v>356</v>
      </c>
      <c r="G141" s="411" t="s">
        <v>356</v>
      </c>
      <c r="H141" s="411" t="s">
        <v>356</v>
      </c>
      <c r="I141" s="411" t="s">
        <v>356</v>
      </c>
      <c r="J141" s="411" t="s">
        <v>356</v>
      </c>
      <c r="K141" s="411" t="s">
        <v>356</v>
      </c>
      <c r="L141" s="411" t="s">
        <v>356</v>
      </c>
      <c r="M141" s="411" t="s">
        <v>356</v>
      </c>
      <c r="N141" s="411" t="s">
        <v>356</v>
      </c>
      <c r="O141" s="411">
        <v>0</v>
      </c>
      <c r="P141" s="408">
        <f t="shared" si="12"/>
        <v>0</v>
      </c>
      <c r="R141" s="409"/>
      <c r="S141" s="409"/>
      <c r="T141" s="409"/>
      <c r="U141" s="409"/>
      <c r="V141" s="409"/>
      <c r="W141" s="409"/>
      <c r="X141" s="409"/>
      <c r="Y141" s="409"/>
      <c r="Z141" s="409"/>
      <c r="AA141" s="409"/>
      <c r="AB141" s="409"/>
      <c r="AC141" s="409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9"/>
      <c r="BE141" s="409"/>
      <c r="BF141" s="409"/>
      <c r="BG141" s="409"/>
      <c r="BH141" s="409"/>
      <c r="BI141" s="409"/>
      <c r="BJ141" s="409"/>
      <c r="BK141" s="409"/>
      <c r="BL141" s="409"/>
      <c r="BM141" s="409"/>
      <c r="BN141" s="409"/>
      <c r="BO141" s="409"/>
      <c r="BP141" s="409"/>
      <c r="BQ141" s="409"/>
      <c r="BR141" s="409"/>
      <c r="BS141" s="409"/>
      <c r="BT141" s="409"/>
      <c r="BU141" s="409"/>
      <c r="BV141" s="409"/>
      <c r="BW141" s="409"/>
      <c r="BX141" s="409"/>
      <c r="BY141" s="409"/>
      <c r="BZ141" s="409"/>
      <c r="CA141" s="409"/>
      <c r="CB141" s="409"/>
      <c r="CC141" s="409"/>
      <c r="CD141" s="409"/>
      <c r="CE141" s="409"/>
      <c r="CF141" s="409"/>
      <c r="CG141" s="409"/>
      <c r="CH141" s="409"/>
      <c r="CI141" s="409"/>
      <c r="CJ141" s="409"/>
      <c r="CK141" s="409"/>
      <c r="CL141" s="409"/>
      <c r="CM141" s="409"/>
      <c r="CN141" s="409"/>
      <c r="CO141" s="409"/>
      <c r="CP141" s="409"/>
      <c r="CQ141" s="409"/>
      <c r="CR141" s="409"/>
      <c r="CS141" s="409"/>
      <c r="CT141" s="409"/>
      <c r="CU141" s="409"/>
      <c r="CV141" s="409"/>
      <c r="CW141" s="409"/>
      <c r="CX141" s="409"/>
      <c r="CY141" s="409"/>
      <c r="CZ141" s="409"/>
      <c r="DA141" s="409"/>
      <c r="DB141" s="409"/>
      <c r="DC141" s="409"/>
      <c r="DD141" s="409"/>
      <c r="DE141" s="409"/>
      <c r="DF141" s="409"/>
      <c r="DG141" s="409"/>
      <c r="DH141" s="409"/>
      <c r="DI141" s="409"/>
      <c r="DJ141" s="409"/>
      <c r="DK141" s="409"/>
      <c r="DL141" s="409"/>
      <c r="DM141" s="409"/>
      <c r="DN141" s="409"/>
      <c r="DO141" s="409"/>
      <c r="DP141" s="409"/>
      <c r="DQ141" s="409"/>
      <c r="DR141" s="409"/>
      <c r="DS141" s="409"/>
      <c r="DT141" s="409"/>
      <c r="DU141" s="409"/>
      <c r="DV141" s="409"/>
      <c r="DW141" s="409"/>
      <c r="DX141" s="409"/>
      <c r="DY141" s="409"/>
      <c r="DZ141" s="409"/>
      <c r="EA141" s="409"/>
      <c r="EB141" s="409"/>
      <c r="EC141" s="409"/>
      <c r="ED141" s="409"/>
      <c r="EE141" s="409"/>
      <c r="EF141" s="409"/>
      <c r="EG141" s="409"/>
      <c r="EH141" s="409"/>
      <c r="EI141" s="409"/>
      <c r="EJ141" s="409"/>
      <c r="EK141" s="409"/>
      <c r="EL141" s="409"/>
      <c r="EM141" s="409"/>
      <c r="EN141" s="409"/>
      <c r="EO141" s="409"/>
      <c r="EP141" s="409"/>
      <c r="EQ141" s="409"/>
      <c r="ER141" s="409"/>
      <c r="ES141" s="409"/>
      <c r="ET141" s="409"/>
      <c r="EU141" s="409"/>
      <c r="EV141" s="409"/>
      <c r="EW141" s="409"/>
      <c r="EX141" s="409"/>
      <c r="EY141" s="409"/>
      <c r="EZ141" s="409"/>
      <c r="FA141" s="409"/>
      <c r="FB141" s="409"/>
      <c r="FC141" s="409"/>
      <c r="FD141" s="409"/>
      <c r="FE141" s="409"/>
      <c r="FF141" s="409"/>
      <c r="FG141" s="409"/>
      <c r="FH141" s="409"/>
      <c r="FI141" s="409"/>
      <c r="FJ141" s="409"/>
      <c r="FK141" s="409"/>
      <c r="FL141" s="409"/>
      <c r="FM141" s="409"/>
      <c r="FN141" s="409"/>
      <c r="FO141" s="409"/>
      <c r="FP141" s="409"/>
      <c r="FQ141" s="409"/>
      <c r="FR141" s="409"/>
      <c r="FS141" s="409"/>
      <c r="FT141" s="409"/>
      <c r="FU141" s="409"/>
      <c r="FV141" s="409"/>
      <c r="FW141" s="409"/>
      <c r="FX141" s="409"/>
      <c r="FY141" s="409"/>
      <c r="FZ141" s="409"/>
      <c r="GA141" s="409"/>
      <c r="GB141" s="409"/>
      <c r="GC141" s="409"/>
      <c r="GD141" s="409"/>
      <c r="GE141" s="409"/>
      <c r="GF141" s="409"/>
      <c r="GG141" s="409"/>
      <c r="GH141" s="409"/>
      <c r="GI141" s="409"/>
      <c r="GJ141" s="409"/>
      <c r="GK141" s="409"/>
      <c r="GL141" s="409"/>
      <c r="GM141" s="409"/>
      <c r="GN141" s="409"/>
      <c r="GO141" s="409"/>
      <c r="GP141" s="409"/>
      <c r="GQ141" s="409"/>
      <c r="GR141" s="409"/>
      <c r="GS141" s="409"/>
      <c r="GT141" s="409"/>
      <c r="GU141" s="409"/>
      <c r="GV141" s="409"/>
      <c r="GW141" s="409"/>
      <c r="GX141" s="409"/>
      <c r="GY141" s="409"/>
      <c r="GZ141" s="409"/>
      <c r="HA141" s="409"/>
      <c r="HB141" s="409"/>
      <c r="HC141" s="409"/>
      <c r="HD141" s="409"/>
      <c r="HE141" s="409"/>
      <c r="HF141" s="409"/>
      <c r="HG141" s="409"/>
      <c r="HH141" s="409"/>
      <c r="HI141" s="409"/>
      <c r="HJ141" s="409"/>
      <c r="HK141" s="409"/>
      <c r="HL141" s="409"/>
      <c r="HM141" s="409"/>
      <c r="HN141" s="409"/>
      <c r="HO141" s="409"/>
      <c r="HP141" s="409"/>
      <c r="HQ141" s="409"/>
      <c r="HR141" s="409"/>
      <c r="HS141" s="409"/>
      <c r="HT141" s="409"/>
      <c r="HU141" s="409"/>
      <c r="HV141" s="409"/>
      <c r="HW141" s="409"/>
      <c r="HX141" s="409"/>
      <c r="HY141" s="409"/>
      <c r="HZ141" s="409"/>
      <c r="IA141" s="409"/>
      <c r="IB141" s="409"/>
      <c r="IC141" s="409"/>
      <c r="ID141" s="409"/>
      <c r="IE141" s="409"/>
      <c r="IF141" s="409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671" t="s">
        <v>1</v>
      </c>
      <c r="B144" s="672"/>
      <c r="C144" s="672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15" t="s">
        <v>11</v>
      </c>
      <c r="B145" s="716"/>
      <c r="C145" s="716"/>
      <c r="D145" s="416">
        <v>4435</v>
      </c>
      <c r="E145" s="416">
        <v>5186</v>
      </c>
      <c r="F145" s="416">
        <v>4253</v>
      </c>
      <c r="G145" s="416">
        <v>3663</v>
      </c>
      <c r="H145" s="416">
        <v>4413</v>
      </c>
      <c r="I145" s="416">
        <v>5568</v>
      </c>
      <c r="J145" s="416">
        <v>6382</v>
      </c>
      <c r="K145" s="416">
        <v>5537</v>
      </c>
      <c r="L145" s="416">
        <v>5932</v>
      </c>
      <c r="M145" s="416">
        <v>5596</v>
      </c>
      <c r="N145" s="416">
        <v>5339</v>
      </c>
      <c r="O145" s="416">
        <v>5828</v>
      </c>
      <c r="P145" s="416">
        <f>AVERAGE(D145:O145)</f>
        <v>5177.666666666667</v>
      </c>
    </row>
    <row r="146" spans="1:240">
      <c r="A146" s="707" t="s">
        <v>12</v>
      </c>
      <c r="B146" s="708"/>
      <c r="C146" s="708"/>
      <c r="D146" s="416">
        <v>101</v>
      </c>
      <c r="E146" s="416">
        <v>5</v>
      </c>
      <c r="F146" s="416">
        <v>3</v>
      </c>
      <c r="G146" s="416">
        <v>5</v>
      </c>
      <c r="H146" s="416">
        <v>1</v>
      </c>
      <c r="I146" s="416">
        <v>7</v>
      </c>
      <c r="J146" s="416">
        <v>0</v>
      </c>
      <c r="K146" s="416">
        <v>7</v>
      </c>
      <c r="L146" s="416">
        <v>3</v>
      </c>
      <c r="M146" s="416">
        <v>8</v>
      </c>
      <c r="N146" s="416">
        <v>0</v>
      </c>
      <c r="O146" s="416">
        <v>5</v>
      </c>
      <c r="P146" s="416">
        <f t="shared" ref="P146:P165" si="13">AVERAGE(D146:O146)</f>
        <v>12.083333333333334</v>
      </c>
    </row>
    <row r="147" spans="1:240">
      <c r="A147" s="707" t="s">
        <v>13</v>
      </c>
      <c r="B147" s="708"/>
      <c r="C147" s="708"/>
      <c r="D147" s="416">
        <v>44</v>
      </c>
      <c r="E147" s="416">
        <v>20</v>
      </c>
      <c r="F147" s="416">
        <v>18</v>
      </c>
      <c r="G147" s="416">
        <v>37</v>
      </c>
      <c r="H147" s="416">
        <v>102</v>
      </c>
      <c r="I147" s="416">
        <v>88</v>
      </c>
      <c r="J147" s="416">
        <v>83</v>
      </c>
      <c r="K147" s="416">
        <v>40</v>
      </c>
      <c r="L147" s="416">
        <v>70</v>
      </c>
      <c r="M147" s="416">
        <v>90</v>
      </c>
      <c r="N147" s="416">
        <v>79</v>
      </c>
      <c r="O147" s="416">
        <v>107</v>
      </c>
      <c r="P147" s="416">
        <f t="shared" si="13"/>
        <v>64.833333333333329</v>
      </c>
    </row>
    <row r="148" spans="1:240">
      <c r="A148" s="707" t="s">
        <v>14</v>
      </c>
      <c r="B148" s="708"/>
      <c r="C148" s="708"/>
      <c r="D148" s="416">
        <v>143</v>
      </c>
      <c r="E148" s="416">
        <v>330</v>
      </c>
      <c r="F148" s="416">
        <v>239</v>
      </c>
      <c r="G148" s="416">
        <v>315</v>
      </c>
      <c r="H148" s="416">
        <v>157</v>
      </c>
      <c r="I148" s="416">
        <v>259</v>
      </c>
      <c r="J148" s="416">
        <v>144</v>
      </c>
      <c r="K148" s="416">
        <v>300</v>
      </c>
      <c r="L148" s="416">
        <v>299</v>
      </c>
      <c r="M148" s="416">
        <v>265</v>
      </c>
      <c r="N148" s="416">
        <v>357</v>
      </c>
      <c r="O148" s="416">
        <v>303</v>
      </c>
      <c r="P148" s="416">
        <f t="shared" si="13"/>
        <v>259.25</v>
      </c>
    </row>
    <row r="149" spans="1:240">
      <c r="A149" s="707" t="s">
        <v>21</v>
      </c>
      <c r="B149" s="708"/>
      <c r="C149" s="708"/>
      <c r="D149" s="416">
        <v>570</v>
      </c>
      <c r="E149" s="416">
        <v>546</v>
      </c>
      <c r="F149" s="416">
        <v>665</v>
      </c>
      <c r="G149" s="416">
        <v>434</v>
      </c>
      <c r="H149" s="416">
        <v>640</v>
      </c>
      <c r="I149" s="416">
        <v>650</v>
      </c>
      <c r="J149" s="416">
        <v>1136</v>
      </c>
      <c r="K149" s="416">
        <v>828</v>
      </c>
      <c r="L149" s="416">
        <v>681</v>
      </c>
      <c r="M149" s="416">
        <v>831</v>
      </c>
      <c r="N149" s="416">
        <v>719</v>
      </c>
      <c r="O149" s="416">
        <v>725</v>
      </c>
      <c r="P149" s="416">
        <f t="shared" si="13"/>
        <v>702.08333333333337</v>
      </c>
    </row>
    <row r="150" spans="1:240">
      <c r="A150" s="737" t="s">
        <v>16</v>
      </c>
      <c r="B150" s="738"/>
      <c r="C150" s="738"/>
      <c r="D150" s="416">
        <v>239</v>
      </c>
      <c r="E150" s="416">
        <v>127</v>
      </c>
      <c r="F150" s="416">
        <v>140</v>
      </c>
      <c r="G150" s="416">
        <v>101</v>
      </c>
      <c r="H150" s="416">
        <v>218</v>
      </c>
      <c r="I150" s="416">
        <v>197</v>
      </c>
      <c r="J150" s="416">
        <v>270</v>
      </c>
      <c r="K150" s="416">
        <v>145</v>
      </c>
      <c r="L150" s="416">
        <v>227</v>
      </c>
      <c r="M150" s="416">
        <v>309</v>
      </c>
      <c r="N150" s="416">
        <v>311</v>
      </c>
      <c r="O150" s="416">
        <v>277</v>
      </c>
      <c r="P150" s="416">
        <f t="shared" si="13"/>
        <v>213.41666666666666</v>
      </c>
    </row>
    <row r="151" spans="1:240" ht="13.5">
      <c r="A151" s="665" t="s">
        <v>17</v>
      </c>
      <c r="B151" s="666"/>
      <c r="C151" s="666"/>
      <c r="D151" s="416">
        <v>2</v>
      </c>
      <c r="E151" s="416">
        <v>9</v>
      </c>
      <c r="F151" s="416">
        <v>26</v>
      </c>
      <c r="G151" s="416">
        <v>1</v>
      </c>
      <c r="H151" s="416">
        <v>18</v>
      </c>
      <c r="I151" s="416">
        <v>25</v>
      </c>
      <c r="J151" s="416">
        <v>0</v>
      </c>
      <c r="K151" s="416">
        <v>8</v>
      </c>
      <c r="L151" s="416">
        <v>35</v>
      </c>
      <c r="M151" s="416">
        <v>22</v>
      </c>
      <c r="N151" s="416">
        <v>10</v>
      </c>
      <c r="O151" s="416">
        <v>14</v>
      </c>
      <c r="P151" s="416">
        <f t="shared" si="13"/>
        <v>14.166666666666666</v>
      </c>
    </row>
    <row r="152" spans="1:240" ht="13.5">
      <c r="A152" s="734" t="s">
        <v>49</v>
      </c>
      <c r="B152" s="735"/>
      <c r="C152" s="736"/>
      <c r="D152" s="417">
        <v>5534</v>
      </c>
      <c r="E152" s="417">
        <v>6223</v>
      </c>
      <c r="F152" s="417">
        <v>5344</v>
      </c>
      <c r="G152" s="417">
        <v>4556</v>
      </c>
      <c r="H152" s="417">
        <v>5549</v>
      </c>
      <c r="I152" s="417">
        <v>6794</v>
      </c>
      <c r="J152" s="417">
        <v>8015</v>
      </c>
      <c r="K152" s="417">
        <v>6865</v>
      </c>
      <c r="L152" s="417">
        <v>7247</v>
      </c>
      <c r="M152" s="417">
        <v>7121</v>
      </c>
      <c r="N152" s="417">
        <v>6815</v>
      </c>
      <c r="O152" s="417">
        <v>7259</v>
      </c>
      <c r="P152" s="417">
        <f t="shared" si="13"/>
        <v>6443.5</v>
      </c>
    </row>
    <row r="153" spans="1:240">
      <c r="A153" s="683" t="s">
        <v>23</v>
      </c>
      <c r="B153" s="684"/>
      <c r="C153" s="684"/>
      <c r="D153" s="416">
        <v>884</v>
      </c>
      <c r="E153" s="416">
        <v>782</v>
      </c>
      <c r="F153" s="416">
        <v>727</v>
      </c>
      <c r="G153" s="416">
        <v>575</v>
      </c>
      <c r="H153" s="416">
        <v>594</v>
      </c>
      <c r="I153" s="416">
        <v>767</v>
      </c>
      <c r="J153" s="416">
        <v>806</v>
      </c>
      <c r="K153" s="416">
        <v>829</v>
      </c>
      <c r="L153" s="416">
        <v>1040</v>
      </c>
      <c r="M153" s="416">
        <v>834</v>
      </c>
      <c r="N153" s="416">
        <v>1003</v>
      </c>
      <c r="O153" s="416">
        <v>1297</v>
      </c>
      <c r="P153" s="416">
        <f t="shared" si="13"/>
        <v>844.83333333333337</v>
      </c>
    </row>
    <row r="154" spans="1:240">
      <c r="A154" s="712" t="s">
        <v>24</v>
      </c>
      <c r="B154" s="713"/>
      <c r="C154" s="714"/>
      <c r="D154" s="418">
        <v>26</v>
      </c>
      <c r="E154" s="418">
        <v>2</v>
      </c>
      <c r="F154" s="418">
        <v>0</v>
      </c>
      <c r="G154" s="418">
        <v>0</v>
      </c>
      <c r="H154" s="418">
        <v>2</v>
      </c>
      <c r="I154" s="418">
        <v>0</v>
      </c>
      <c r="J154" s="418">
        <v>1</v>
      </c>
      <c r="K154" s="418">
        <v>0</v>
      </c>
      <c r="L154" s="418">
        <v>0</v>
      </c>
      <c r="M154" s="418">
        <v>0</v>
      </c>
      <c r="N154" s="418">
        <v>0</v>
      </c>
      <c r="O154" s="418">
        <v>1</v>
      </c>
      <c r="P154" s="416">
        <f t="shared" si="13"/>
        <v>2.6666666666666665</v>
      </c>
    </row>
    <row r="155" spans="1:240">
      <c r="A155" s="712" t="s">
        <v>25</v>
      </c>
      <c r="B155" s="713"/>
      <c r="C155" s="714"/>
      <c r="D155" s="418">
        <v>21</v>
      </c>
      <c r="E155" s="418">
        <v>17</v>
      </c>
      <c r="F155" s="418">
        <v>30</v>
      </c>
      <c r="G155" s="418">
        <v>27</v>
      </c>
      <c r="H155" s="418">
        <v>51</v>
      </c>
      <c r="I155" s="418">
        <v>31</v>
      </c>
      <c r="J155" s="418">
        <v>36</v>
      </c>
      <c r="K155" s="418">
        <v>17</v>
      </c>
      <c r="L155" s="418">
        <v>15</v>
      </c>
      <c r="M155" s="418">
        <v>22</v>
      </c>
      <c r="N155" s="418">
        <v>18</v>
      </c>
      <c r="O155" s="418">
        <v>19</v>
      </c>
      <c r="P155" s="416">
        <f t="shared" si="13"/>
        <v>25.333333333333332</v>
      </c>
    </row>
    <row r="156" spans="1:240">
      <c r="A156" s="712" t="s">
        <v>26</v>
      </c>
      <c r="B156" s="713"/>
      <c r="C156" s="714"/>
      <c r="D156" s="418">
        <v>260</v>
      </c>
      <c r="E156" s="418">
        <v>350</v>
      </c>
      <c r="F156" s="418">
        <v>394</v>
      </c>
      <c r="G156" s="418">
        <v>246</v>
      </c>
      <c r="H156" s="418">
        <v>203</v>
      </c>
      <c r="I156" s="418">
        <v>251</v>
      </c>
      <c r="J156" s="418">
        <v>256</v>
      </c>
      <c r="K156" s="418">
        <v>383</v>
      </c>
      <c r="L156" s="418">
        <v>336</v>
      </c>
      <c r="M156" s="418">
        <v>273</v>
      </c>
      <c r="N156" s="418">
        <v>346</v>
      </c>
      <c r="O156" s="418">
        <v>247</v>
      </c>
      <c r="P156" s="416">
        <f t="shared" si="13"/>
        <v>295.41666666666669</v>
      </c>
    </row>
    <row r="157" spans="1:240">
      <c r="A157" s="712" t="s">
        <v>27</v>
      </c>
      <c r="B157" s="713"/>
      <c r="C157" s="714"/>
      <c r="D157" s="418">
        <v>230</v>
      </c>
      <c r="E157" s="418">
        <v>153</v>
      </c>
      <c r="F157" s="418">
        <v>94</v>
      </c>
      <c r="G157" s="418">
        <v>47</v>
      </c>
      <c r="H157" s="418">
        <v>68</v>
      </c>
      <c r="I157" s="418">
        <v>52</v>
      </c>
      <c r="J157" s="418">
        <v>31</v>
      </c>
      <c r="K157" s="418">
        <v>96</v>
      </c>
      <c r="L157" s="418">
        <v>123</v>
      </c>
      <c r="M157" s="418">
        <v>56</v>
      </c>
      <c r="N157" s="418">
        <v>84</v>
      </c>
      <c r="O157" s="418">
        <v>169</v>
      </c>
      <c r="P157" s="416">
        <f t="shared" si="13"/>
        <v>100.25</v>
      </c>
    </row>
    <row r="158" spans="1:240">
      <c r="A158" s="712" t="s">
        <v>28</v>
      </c>
      <c r="B158" s="713"/>
      <c r="C158" s="714"/>
      <c r="D158" s="418">
        <v>0</v>
      </c>
      <c r="E158" s="418">
        <v>3</v>
      </c>
      <c r="F158" s="418">
        <v>0</v>
      </c>
      <c r="G158" s="418">
        <v>1</v>
      </c>
      <c r="H158" s="418">
        <v>0</v>
      </c>
      <c r="I158" s="418">
        <v>1</v>
      </c>
      <c r="J158" s="418">
        <v>1</v>
      </c>
      <c r="K158" s="418">
        <v>0</v>
      </c>
      <c r="L158" s="418">
        <v>0</v>
      </c>
      <c r="M158" s="418">
        <v>1</v>
      </c>
      <c r="N158" s="418">
        <v>1</v>
      </c>
      <c r="O158" s="418">
        <v>0</v>
      </c>
      <c r="P158" s="416">
        <f t="shared" si="13"/>
        <v>0.66666666666666663</v>
      </c>
    </row>
    <row r="159" spans="1:240" ht="14.1" thickBot="1">
      <c r="A159" s="728" t="s">
        <v>50</v>
      </c>
      <c r="B159" s="729"/>
      <c r="C159" s="730"/>
      <c r="D159" s="419">
        <v>1421</v>
      </c>
      <c r="E159" s="419">
        <v>1307</v>
      </c>
      <c r="F159" s="419">
        <v>1245</v>
      </c>
      <c r="G159" s="419">
        <v>896</v>
      </c>
      <c r="H159" s="419">
        <v>918</v>
      </c>
      <c r="I159" s="419">
        <v>1102</v>
      </c>
      <c r="J159" s="419">
        <v>1131</v>
      </c>
      <c r="K159" s="419">
        <v>1325</v>
      </c>
      <c r="L159" s="419">
        <v>1514</v>
      </c>
      <c r="M159" s="419">
        <v>1186</v>
      </c>
      <c r="N159" s="419">
        <v>1452</v>
      </c>
      <c r="O159" s="419">
        <v>1733</v>
      </c>
      <c r="P159" s="419">
        <f t="shared" si="13"/>
        <v>1269.1666666666667</v>
      </c>
    </row>
    <row r="160" spans="1:240">
      <c r="A160" s="754" t="s">
        <v>31</v>
      </c>
      <c r="B160" s="755"/>
      <c r="C160" s="755"/>
      <c r="D160" s="415">
        <v>0</v>
      </c>
      <c r="E160" s="415">
        <v>0</v>
      </c>
      <c r="F160" s="415">
        <v>0</v>
      </c>
      <c r="G160" s="415">
        <v>0</v>
      </c>
      <c r="H160" s="415">
        <v>0</v>
      </c>
      <c r="I160" s="415">
        <v>0</v>
      </c>
      <c r="J160" s="415">
        <v>0</v>
      </c>
      <c r="K160" s="415">
        <v>0</v>
      </c>
      <c r="L160" s="415">
        <v>0</v>
      </c>
      <c r="M160" s="415">
        <v>0</v>
      </c>
      <c r="N160" s="415">
        <v>0</v>
      </c>
      <c r="O160" s="415">
        <v>0</v>
      </c>
      <c r="P160" s="416">
        <f t="shared" si="13"/>
        <v>0</v>
      </c>
      <c r="R160" s="409"/>
      <c r="S160" s="409"/>
      <c r="T160" s="409"/>
      <c r="U160" s="409"/>
      <c r="V160" s="409"/>
      <c r="W160" s="409"/>
      <c r="X160" s="409"/>
      <c r="Y160" s="409"/>
      <c r="Z160" s="409"/>
      <c r="AA160" s="409"/>
      <c r="AB160" s="409"/>
      <c r="AC160" s="409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9"/>
      <c r="BE160" s="409"/>
      <c r="BF160" s="409"/>
      <c r="BG160" s="409"/>
      <c r="BH160" s="409"/>
      <c r="BI160" s="409"/>
      <c r="BJ160" s="409"/>
      <c r="BK160" s="409"/>
      <c r="BL160" s="409"/>
      <c r="BM160" s="409"/>
      <c r="BN160" s="409"/>
      <c r="BO160" s="409"/>
      <c r="BP160" s="409"/>
      <c r="BQ160" s="409"/>
      <c r="BR160" s="409"/>
      <c r="BS160" s="409"/>
      <c r="BT160" s="409"/>
      <c r="BU160" s="409"/>
      <c r="BV160" s="409"/>
      <c r="BW160" s="409"/>
      <c r="BX160" s="409"/>
      <c r="BY160" s="409"/>
      <c r="BZ160" s="409"/>
      <c r="CA160" s="409"/>
      <c r="CB160" s="409"/>
      <c r="CC160" s="409"/>
      <c r="CD160" s="409"/>
      <c r="CE160" s="409"/>
      <c r="CF160" s="409"/>
      <c r="CG160" s="409"/>
      <c r="CH160" s="409"/>
      <c r="CI160" s="409"/>
      <c r="CJ160" s="409"/>
      <c r="CK160" s="409"/>
      <c r="CL160" s="409"/>
      <c r="CM160" s="409"/>
      <c r="CN160" s="409"/>
      <c r="CO160" s="409"/>
      <c r="CP160" s="409"/>
      <c r="CQ160" s="409"/>
      <c r="CR160" s="409"/>
      <c r="CS160" s="409"/>
      <c r="CT160" s="409"/>
      <c r="CU160" s="409"/>
      <c r="CV160" s="409"/>
      <c r="CW160" s="409"/>
      <c r="CX160" s="409"/>
      <c r="CY160" s="409"/>
      <c r="CZ160" s="409"/>
      <c r="DA160" s="409"/>
      <c r="DB160" s="409"/>
      <c r="DC160" s="409"/>
      <c r="DD160" s="409"/>
      <c r="DE160" s="409"/>
      <c r="DF160" s="409"/>
      <c r="DG160" s="409"/>
      <c r="DH160" s="409"/>
      <c r="DI160" s="409"/>
      <c r="DJ160" s="409"/>
      <c r="DK160" s="409"/>
      <c r="DL160" s="409"/>
      <c r="DM160" s="409"/>
      <c r="DN160" s="409"/>
      <c r="DO160" s="409"/>
      <c r="DP160" s="409"/>
      <c r="DQ160" s="409"/>
      <c r="DR160" s="409"/>
      <c r="DS160" s="409"/>
      <c r="DT160" s="409"/>
      <c r="DU160" s="409"/>
      <c r="DV160" s="409"/>
      <c r="DW160" s="409"/>
      <c r="DX160" s="409"/>
      <c r="DY160" s="409"/>
      <c r="DZ160" s="409"/>
      <c r="EA160" s="409"/>
      <c r="EB160" s="409"/>
      <c r="EC160" s="409"/>
      <c r="ED160" s="409"/>
      <c r="EE160" s="409"/>
      <c r="EF160" s="409"/>
      <c r="EG160" s="409"/>
      <c r="EH160" s="409"/>
      <c r="EI160" s="409"/>
      <c r="EJ160" s="409"/>
      <c r="EK160" s="409"/>
      <c r="EL160" s="409"/>
      <c r="EM160" s="409"/>
      <c r="EN160" s="409"/>
      <c r="EO160" s="409"/>
      <c r="EP160" s="409"/>
      <c r="EQ160" s="409"/>
      <c r="ER160" s="409"/>
      <c r="ES160" s="409"/>
      <c r="ET160" s="409"/>
      <c r="EU160" s="409"/>
      <c r="EV160" s="409"/>
      <c r="EW160" s="409"/>
      <c r="EX160" s="409"/>
      <c r="EY160" s="409"/>
      <c r="EZ160" s="409"/>
      <c r="FA160" s="409"/>
      <c r="FB160" s="409"/>
      <c r="FC160" s="409"/>
      <c r="FD160" s="409"/>
      <c r="FE160" s="409"/>
      <c r="FF160" s="409"/>
      <c r="FG160" s="409"/>
      <c r="FH160" s="409"/>
      <c r="FI160" s="409"/>
      <c r="FJ160" s="409"/>
      <c r="FK160" s="409"/>
      <c r="FL160" s="409"/>
      <c r="FM160" s="409"/>
      <c r="FN160" s="409"/>
      <c r="FO160" s="409"/>
      <c r="FP160" s="409"/>
      <c r="FQ160" s="409"/>
      <c r="FR160" s="409"/>
      <c r="FS160" s="409"/>
      <c r="FT160" s="409"/>
      <c r="FU160" s="409"/>
      <c r="FV160" s="409"/>
      <c r="FW160" s="409"/>
      <c r="FX160" s="409"/>
      <c r="FY160" s="409"/>
      <c r="FZ160" s="409"/>
      <c r="GA160" s="409"/>
      <c r="GB160" s="409"/>
      <c r="GC160" s="409"/>
      <c r="GD160" s="409"/>
      <c r="GE160" s="409"/>
      <c r="GF160" s="409"/>
      <c r="GG160" s="409"/>
      <c r="GH160" s="409"/>
      <c r="GI160" s="409"/>
      <c r="GJ160" s="409"/>
      <c r="GK160" s="409"/>
      <c r="GL160" s="409"/>
      <c r="GM160" s="409"/>
      <c r="GN160" s="409"/>
      <c r="GO160" s="409"/>
      <c r="GP160" s="409"/>
      <c r="GQ160" s="409"/>
      <c r="GR160" s="409"/>
      <c r="GS160" s="409"/>
      <c r="GT160" s="409"/>
      <c r="GU160" s="409"/>
      <c r="GV160" s="409"/>
      <c r="GW160" s="409"/>
      <c r="GX160" s="409"/>
      <c r="GY160" s="409"/>
      <c r="GZ160" s="409"/>
      <c r="HA160" s="409"/>
      <c r="HB160" s="409"/>
      <c r="HC160" s="409"/>
      <c r="HD160" s="409"/>
      <c r="HE160" s="409"/>
      <c r="HF160" s="409"/>
      <c r="HG160" s="409"/>
      <c r="HH160" s="409"/>
      <c r="HI160" s="409"/>
      <c r="HJ160" s="409"/>
      <c r="HK160" s="409"/>
      <c r="HL160" s="409"/>
      <c r="HM160" s="409"/>
      <c r="HN160" s="409"/>
      <c r="HO160" s="409"/>
      <c r="HP160" s="409"/>
      <c r="HQ160" s="409"/>
      <c r="HR160" s="409"/>
      <c r="HS160" s="409"/>
      <c r="HT160" s="409"/>
      <c r="HU160" s="409"/>
      <c r="HV160" s="409"/>
      <c r="HW160" s="409"/>
      <c r="HX160" s="409"/>
      <c r="HY160" s="409"/>
      <c r="HZ160" s="409"/>
      <c r="IA160" s="409"/>
      <c r="IB160" s="409"/>
      <c r="IC160" s="409"/>
      <c r="ID160" s="409"/>
      <c r="IE160" s="409"/>
      <c r="IF160" s="409"/>
    </row>
    <row r="161" spans="1:240">
      <c r="A161" s="707" t="s">
        <v>32</v>
      </c>
      <c r="B161" s="708"/>
      <c r="C161" s="708"/>
      <c r="D161" s="407">
        <v>0</v>
      </c>
      <c r="E161" s="407">
        <v>0</v>
      </c>
      <c r="F161" s="407">
        <v>0</v>
      </c>
      <c r="G161" s="407">
        <v>0</v>
      </c>
      <c r="H161" s="407">
        <v>0</v>
      </c>
      <c r="I161" s="407">
        <v>0</v>
      </c>
      <c r="J161" s="407">
        <v>0</v>
      </c>
      <c r="K161" s="407">
        <v>0</v>
      </c>
      <c r="L161" s="407">
        <v>0</v>
      </c>
      <c r="M161" s="407">
        <v>0</v>
      </c>
      <c r="N161" s="407">
        <v>0</v>
      </c>
      <c r="O161" s="407">
        <v>0</v>
      </c>
      <c r="P161" s="416">
        <f t="shared" si="13"/>
        <v>0</v>
      </c>
      <c r="R161" s="409"/>
      <c r="S161" s="409"/>
      <c r="T161" s="409"/>
      <c r="U161" s="409"/>
      <c r="V161" s="409"/>
      <c r="W161" s="409"/>
      <c r="X161" s="409"/>
      <c r="Y161" s="409"/>
      <c r="Z161" s="409"/>
      <c r="AA161" s="409"/>
      <c r="AB161" s="409"/>
      <c r="AC161" s="409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9"/>
      <c r="BE161" s="409"/>
      <c r="BF161" s="409"/>
      <c r="BG161" s="409"/>
      <c r="BH161" s="409"/>
      <c r="BI161" s="409"/>
      <c r="BJ161" s="409"/>
      <c r="BK161" s="409"/>
      <c r="BL161" s="409"/>
      <c r="BM161" s="409"/>
      <c r="BN161" s="409"/>
      <c r="BO161" s="409"/>
      <c r="BP161" s="409"/>
      <c r="BQ161" s="409"/>
      <c r="BR161" s="409"/>
      <c r="BS161" s="409"/>
      <c r="BT161" s="409"/>
      <c r="BU161" s="409"/>
      <c r="BV161" s="409"/>
      <c r="BW161" s="409"/>
      <c r="BX161" s="409"/>
      <c r="BY161" s="409"/>
      <c r="BZ161" s="409"/>
      <c r="CA161" s="409"/>
      <c r="CB161" s="409"/>
      <c r="CC161" s="409"/>
      <c r="CD161" s="409"/>
      <c r="CE161" s="409"/>
      <c r="CF161" s="409"/>
      <c r="CG161" s="409"/>
      <c r="CH161" s="409"/>
      <c r="CI161" s="409"/>
      <c r="CJ161" s="409"/>
      <c r="CK161" s="409"/>
      <c r="CL161" s="409"/>
      <c r="CM161" s="409"/>
      <c r="CN161" s="409"/>
      <c r="CO161" s="409"/>
      <c r="CP161" s="409"/>
      <c r="CQ161" s="409"/>
      <c r="CR161" s="409"/>
      <c r="CS161" s="409"/>
      <c r="CT161" s="409"/>
      <c r="CU161" s="409"/>
      <c r="CV161" s="409"/>
      <c r="CW161" s="409"/>
      <c r="CX161" s="409"/>
      <c r="CY161" s="409"/>
      <c r="CZ161" s="409"/>
      <c r="DA161" s="409"/>
      <c r="DB161" s="409"/>
      <c r="DC161" s="409"/>
      <c r="DD161" s="409"/>
      <c r="DE161" s="409"/>
      <c r="DF161" s="409"/>
      <c r="DG161" s="409"/>
      <c r="DH161" s="409"/>
      <c r="DI161" s="409"/>
      <c r="DJ161" s="409"/>
      <c r="DK161" s="409"/>
      <c r="DL161" s="409"/>
      <c r="DM161" s="409"/>
      <c r="DN161" s="409"/>
      <c r="DO161" s="409"/>
      <c r="DP161" s="409"/>
      <c r="DQ161" s="409"/>
      <c r="DR161" s="409"/>
      <c r="DS161" s="409"/>
      <c r="DT161" s="409"/>
      <c r="DU161" s="409"/>
      <c r="DV161" s="409"/>
      <c r="DW161" s="409"/>
      <c r="DX161" s="409"/>
      <c r="DY161" s="409"/>
      <c r="DZ161" s="409"/>
      <c r="EA161" s="409"/>
      <c r="EB161" s="409"/>
      <c r="EC161" s="409"/>
      <c r="ED161" s="409"/>
      <c r="EE161" s="409"/>
      <c r="EF161" s="409"/>
      <c r="EG161" s="409"/>
      <c r="EH161" s="409"/>
      <c r="EI161" s="409"/>
      <c r="EJ161" s="409"/>
      <c r="EK161" s="409"/>
      <c r="EL161" s="409"/>
      <c r="EM161" s="409"/>
      <c r="EN161" s="409"/>
      <c r="EO161" s="409"/>
      <c r="EP161" s="409"/>
      <c r="EQ161" s="409"/>
      <c r="ER161" s="409"/>
      <c r="ES161" s="409"/>
      <c r="ET161" s="409"/>
      <c r="EU161" s="409"/>
      <c r="EV161" s="409"/>
      <c r="EW161" s="409"/>
      <c r="EX161" s="409"/>
      <c r="EY161" s="409"/>
      <c r="EZ161" s="409"/>
      <c r="FA161" s="409"/>
      <c r="FB161" s="409"/>
      <c r="FC161" s="409"/>
      <c r="FD161" s="409"/>
      <c r="FE161" s="409"/>
      <c r="FF161" s="409"/>
      <c r="FG161" s="409"/>
      <c r="FH161" s="409"/>
      <c r="FI161" s="409"/>
      <c r="FJ161" s="409"/>
      <c r="FK161" s="409"/>
      <c r="FL161" s="409"/>
      <c r="FM161" s="409"/>
      <c r="FN161" s="409"/>
      <c r="FO161" s="409"/>
      <c r="FP161" s="409"/>
      <c r="FQ161" s="409"/>
      <c r="FR161" s="409"/>
      <c r="FS161" s="409"/>
      <c r="FT161" s="409"/>
      <c r="FU161" s="409"/>
      <c r="FV161" s="409"/>
      <c r="FW161" s="409"/>
      <c r="FX161" s="409"/>
      <c r="FY161" s="409"/>
      <c r="FZ161" s="409"/>
      <c r="GA161" s="409"/>
      <c r="GB161" s="409"/>
      <c r="GC161" s="409"/>
      <c r="GD161" s="409"/>
      <c r="GE161" s="409"/>
      <c r="GF161" s="409"/>
      <c r="GG161" s="409"/>
      <c r="GH161" s="409"/>
      <c r="GI161" s="409"/>
      <c r="GJ161" s="409"/>
      <c r="GK161" s="409"/>
      <c r="GL161" s="409"/>
      <c r="GM161" s="409"/>
      <c r="GN161" s="409"/>
      <c r="GO161" s="409"/>
      <c r="GP161" s="409"/>
      <c r="GQ161" s="409"/>
      <c r="GR161" s="409"/>
      <c r="GS161" s="409"/>
      <c r="GT161" s="409"/>
      <c r="GU161" s="409"/>
      <c r="GV161" s="409"/>
      <c r="GW161" s="409"/>
      <c r="GX161" s="409"/>
      <c r="GY161" s="409"/>
      <c r="GZ161" s="409"/>
      <c r="HA161" s="409"/>
      <c r="HB161" s="409"/>
      <c r="HC161" s="409"/>
      <c r="HD161" s="409"/>
      <c r="HE161" s="409"/>
      <c r="HF161" s="409"/>
      <c r="HG161" s="409"/>
      <c r="HH161" s="409"/>
      <c r="HI161" s="409"/>
      <c r="HJ161" s="409"/>
      <c r="HK161" s="409"/>
      <c r="HL161" s="409"/>
      <c r="HM161" s="409"/>
      <c r="HN161" s="409"/>
      <c r="HO161" s="409"/>
      <c r="HP161" s="409"/>
      <c r="HQ161" s="409"/>
      <c r="HR161" s="409"/>
      <c r="HS161" s="409"/>
      <c r="HT161" s="409"/>
      <c r="HU161" s="409"/>
      <c r="HV161" s="409"/>
      <c r="HW161" s="409"/>
      <c r="HX161" s="409"/>
      <c r="HY161" s="409"/>
      <c r="HZ161" s="409"/>
      <c r="IA161" s="409"/>
      <c r="IB161" s="409"/>
      <c r="IC161" s="409"/>
      <c r="ID161" s="409"/>
      <c r="IE161" s="409"/>
      <c r="IF161" s="409"/>
    </row>
    <row r="162" spans="1:240">
      <c r="A162" s="707" t="s">
        <v>33</v>
      </c>
      <c r="B162" s="708"/>
      <c r="C162" s="708"/>
      <c r="D162" s="407">
        <v>0</v>
      </c>
      <c r="E162" s="407">
        <v>0</v>
      </c>
      <c r="F162" s="407">
        <v>0</v>
      </c>
      <c r="G162" s="407">
        <v>0</v>
      </c>
      <c r="H162" s="407">
        <v>0</v>
      </c>
      <c r="I162" s="407">
        <v>0</v>
      </c>
      <c r="J162" s="407">
        <v>0</v>
      </c>
      <c r="K162" s="407">
        <v>0</v>
      </c>
      <c r="L162" s="407">
        <v>0</v>
      </c>
      <c r="M162" s="407">
        <v>0</v>
      </c>
      <c r="N162" s="407">
        <v>0</v>
      </c>
      <c r="O162" s="407">
        <v>0</v>
      </c>
      <c r="P162" s="416">
        <f t="shared" si="13"/>
        <v>0</v>
      </c>
      <c r="R162" s="409"/>
      <c r="S162" s="409"/>
      <c r="T162" s="409"/>
      <c r="U162" s="409"/>
      <c r="V162" s="409"/>
      <c r="W162" s="409"/>
      <c r="X162" s="409"/>
      <c r="Y162" s="409"/>
      <c r="Z162" s="409"/>
      <c r="AA162" s="409"/>
      <c r="AB162" s="409"/>
      <c r="AC162" s="409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9"/>
      <c r="BE162" s="409"/>
      <c r="BF162" s="409"/>
      <c r="BG162" s="409"/>
      <c r="BH162" s="409"/>
      <c r="BI162" s="409"/>
      <c r="BJ162" s="409"/>
      <c r="BK162" s="409"/>
      <c r="BL162" s="409"/>
      <c r="BM162" s="409"/>
      <c r="BN162" s="409"/>
      <c r="BO162" s="409"/>
      <c r="BP162" s="409"/>
      <c r="BQ162" s="409"/>
      <c r="BR162" s="409"/>
      <c r="BS162" s="409"/>
      <c r="BT162" s="409"/>
      <c r="BU162" s="409"/>
      <c r="BV162" s="409"/>
      <c r="BW162" s="409"/>
      <c r="BX162" s="409"/>
      <c r="BY162" s="409"/>
      <c r="BZ162" s="409"/>
      <c r="CA162" s="409"/>
      <c r="CB162" s="409"/>
      <c r="CC162" s="409"/>
      <c r="CD162" s="409"/>
      <c r="CE162" s="409"/>
      <c r="CF162" s="409"/>
      <c r="CG162" s="409"/>
      <c r="CH162" s="409"/>
      <c r="CI162" s="409"/>
      <c r="CJ162" s="409"/>
      <c r="CK162" s="409"/>
      <c r="CL162" s="409"/>
      <c r="CM162" s="409"/>
      <c r="CN162" s="409"/>
      <c r="CO162" s="409"/>
      <c r="CP162" s="409"/>
      <c r="CQ162" s="409"/>
      <c r="CR162" s="409"/>
      <c r="CS162" s="409"/>
      <c r="CT162" s="409"/>
      <c r="CU162" s="409"/>
      <c r="CV162" s="409"/>
      <c r="CW162" s="409"/>
      <c r="CX162" s="409"/>
      <c r="CY162" s="409"/>
      <c r="CZ162" s="409"/>
      <c r="DA162" s="409"/>
      <c r="DB162" s="409"/>
      <c r="DC162" s="409"/>
      <c r="DD162" s="409"/>
      <c r="DE162" s="409"/>
      <c r="DF162" s="409"/>
      <c r="DG162" s="409"/>
      <c r="DH162" s="409"/>
      <c r="DI162" s="409"/>
      <c r="DJ162" s="409"/>
      <c r="DK162" s="409"/>
      <c r="DL162" s="409"/>
      <c r="DM162" s="409"/>
      <c r="DN162" s="409"/>
      <c r="DO162" s="409"/>
      <c r="DP162" s="409"/>
      <c r="DQ162" s="409"/>
      <c r="DR162" s="409"/>
      <c r="DS162" s="409"/>
      <c r="DT162" s="409"/>
      <c r="DU162" s="409"/>
      <c r="DV162" s="409"/>
      <c r="DW162" s="409"/>
      <c r="DX162" s="409"/>
      <c r="DY162" s="409"/>
      <c r="DZ162" s="409"/>
      <c r="EA162" s="409"/>
      <c r="EB162" s="409"/>
      <c r="EC162" s="409"/>
      <c r="ED162" s="409"/>
      <c r="EE162" s="409"/>
      <c r="EF162" s="409"/>
      <c r="EG162" s="409"/>
      <c r="EH162" s="409"/>
      <c r="EI162" s="409"/>
      <c r="EJ162" s="409"/>
      <c r="EK162" s="409"/>
      <c r="EL162" s="409"/>
      <c r="EM162" s="409"/>
      <c r="EN162" s="409"/>
      <c r="EO162" s="409"/>
      <c r="EP162" s="409"/>
      <c r="EQ162" s="409"/>
      <c r="ER162" s="409"/>
      <c r="ES162" s="409"/>
      <c r="ET162" s="409"/>
      <c r="EU162" s="409"/>
      <c r="EV162" s="409"/>
      <c r="EW162" s="409"/>
      <c r="EX162" s="409"/>
      <c r="EY162" s="409"/>
      <c r="EZ162" s="409"/>
      <c r="FA162" s="409"/>
      <c r="FB162" s="409"/>
      <c r="FC162" s="409"/>
      <c r="FD162" s="409"/>
      <c r="FE162" s="409"/>
      <c r="FF162" s="409"/>
      <c r="FG162" s="409"/>
      <c r="FH162" s="409"/>
      <c r="FI162" s="409"/>
      <c r="FJ162" s="409"/>
      <c r="FK162" s="409"/>
      <c r="FL162" s="409"/>
      <c r="FM162" s="409"/>
      <c r="FN162" s="409"/>
      <c r="FO162" s="409"/>
      <c r="FP162" s="409"/>
      <c r="FQ162" s="409"/>
      <c r="FR162" s="409"/>
      <c r="FS162" s="409"/>
      <c r="FT162" s="409"/>
      <c r="FU162" s="409"/>
      <c r="FV162" s="409"/>
      <c r="FW162" s="409"/>
      <c r="FX162" s="409"/>
      <c r="FY162" s="409"/>
      <c r="FZ162" s="409"/>
      <c r="GA162" s="409"/>
      <c r="GB162" s="409"/>
      <c r="GC162" s="409"/>
      <c r="GD162" s="409"/>
      <c r="GE162" s="409"/>
      <c r="GF162" s="409"/>
      <c r="GG162" s="409"/>
      <c r="GH162" s="409"/>
      <c r="GI162" s="409"/>
      <c r="GJ162" s="409"/>
      <c r="GK162" s="409"/>
      <c r="GL162" s="409"/>
      <c r="GM162" s="409"/>
      <c r="GN162" s="409"/>
      <c r="GO162" s="409"/>
      <c r="GP162" s="409"/>
      <c r="GQ162" s="409"/>
      <c r="GR162" s="409"/>
      <c r="GS162" s="409"/>
      <c r="GT162" s="409"/>
      <c r="GU162" s="409"/>
      <c r="GV162" s="409"/>
      <c r="GW162" s="409"/>
      <c r="GX162" s="409"/>
      <c r="GY162" s="409"/>
      <c r="GZ162" s="409"/>
      <c r="HA162" s="409"/>
      <c r="HB162" s="409"/>
      <c r="HC162" s="409"/>
      <c r="HD162" s="409"/>
      <c r="HE162" s="409"/>
      <c r="HF162" s="409"/>
      <c r="HG162" s="409"/>
      <c r="HH162" s="409"/>
      <c r="HI162" s="409"/>
      <c r="HJ162" s="409"/>
      <c r="HK162" s="409"/>
      <c r="HL162" s="409"/>
      <c r="HM162" s="409"/>
      <c r="HN162" s="409"/>
      <c r="HO162" s="409"/>
      <c r="HP162" s="409"/>
      <c r="HQ162" s="409"/>
      <c r="HR162" s="409"/>
      <c r="HS162" s="409"/>
      <c r="HT162" s="409"/>
      <c r="HU162" s="409"/>
      <c r="HV162" s="409"/>
      <c r="HW162" s="409"/>
      <c r="HX162" s="409"/>
      <c r="HY162" s="409"/>
      <c r="HZ162" s="409"/>
      <c r="IA162" s="409"/>
      <c r="IB162" s="409"/>
      <c r="IC162" s="409"/>
      <c r="ID162" s="409"/>
      <c r="IE162" s="409"/>
      <c r="IF162" s="409"/>
    </row>
    <row r="163" spans="1:240">
      <c r="A163" s="420" t="s">
        <v>34</v>
      </c>
      <c r="B163" s="421"/>
      <c r="C163" s="421"/>
      <c r="D163" s="414">
        <v>0</v>
      </c>
      <c r="E163" s="414">
        <v>0</v>
      </c>
      <c r="F163" s="414">
        <v>0</v>
      </c>
      <c r="G163" s="414">
        <v>0</v>
      </c>
      <c r="H163" s="414">
        <v>0</v>
      </c>
      <c r="I163" s="414">
        <v>0</v>
      </c>
      <c r="J163" s="414">
        <v>0</v>
      </c>
      <c r="K163" s="414">
        <v>0</v>
      </c>
      <c r="L163" s="414">
        <v>0</v>
      </c>
      <c r="M163" s="414">
        <v>0</v>
      </c>
      <c r="N163" s="414">
        <v>0</v>
      </c>
      <c r="O163" s="414">
        <v>0</v>
      </c>
      <c r="P163" s="416">
        <f t="shared" si="13"/>
        <v>0</v>
      </c>
      <c r="R163" s="409"/>
      <c r="S163" s="409"/>
      <c r="T163" s="409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9"/>
      <c r="BE163" s="409"/>
      <c r="BF163" s="409"/>
      <c r="BG163" s="409"/>
      <c r="BH163" s="409"/>
      <c r="BI163" s="409"/>
      <c r="BJ163" s="409"/>
      <c r="BK163" s="409"/>
      <c r="BL163" s="409"/>
      <c r="BM163" s="409"/>
      <c r="BN163" s="409"/>
      <c r="BO163" s="409"/>
      <c r="BP163" s="409"/>
      <c r="BQ163" s="409"/>
      <c r="BR163" s="409"/>
      <c r="BS163" s="409"/>
      <c r="BT163" s="409"/>
      <c r="BU163" s="409"/>
      <c r="BV163" s="409"/>
      <c r="BW163" s="409"/>
      <c r="BX163" s="409"/>
      <c r="BY163" s="409"/>
      <c r="BZ163" s="409"/>
      <c r="CA163" s="409"/>
      <c r="CB163" s="409"/>
      <c r="CC163" s="409"/>
      <c r="CD163" s="409"/>
      <c r="CE163" s="409"/>
      <c r="CF163" s="409"/>
      <c r="CG163" s="409"/>
      <c r="CH163" s="409"/>
      <c r="CI163" s="409"/>
      <c r="CJ163" s="409"/>
      <c r="CK163" s="409"/>
      <c r="CL163" s="409"/>
      <c r="CM163" s="409"/>
      <c r="CN163" s="409"/>
      <c r="CO163" s="409"/>
      <c r="CP163" s="409"/>
      <c r="CQ163" s="409"/>
      <c r="CR163" s="409"/>
      <c r="CS163" s="409"/>
      <c r="CT163" s="409"/>
      <c r="CU163" s="409"/>
      <c r="CV163" s="409"/>
      <c r="CW163" s="409"/>
      <c r="CX163" s="409"/>
      <c r="CY163" s="409"/>
      <c r="CZ163" s="409"/>
      <c r="DA163" s="409"/>
      <c r="DB163" s="409"/>
      <c r="DC163" s="409"/>
      <c r="DD163" s="409"/>
      <c r="DE163" s="409"/>
      <c r="DF163" s="409"/>
      <c r="DG163" s="409"/>
      <c r="DH163" s="409"/>
      <c r="DI163" s="409"/>
      <c r="DJ163" s="409"/>
      <c r="DK163" s="409"/>
      <c r="DL163" s="409"/>
      <c r="DM163" s="409"/>
      <c r="DN163" s="409"/>
      <c r="DO163" s="409"/>
      <c r="DP163" s="409"/>
      <c r="DQ163" s="409"/>
      <c r="DR163" s="409"/>
      <c r="DS163" s="409"/>
      <c r="DT163" s="409"/>
      <c r="DU163" s="409"/>
      <c r="DV163" s="409"/>
      <c r="DW163" s="409"/>
      <c r="DX163" s="409"/>
      <c r="DY163" s="409"/>
      <c r="DZ163" s="409"/>
      <c r="EA163" s="409"/>
      <c r="EB163" s="409"/>
      <c r="EC163" s="409"/>
      <c r="ED163" s="409"/>
      <c r="EE163" s="409"/>
      <c r="EF163" s="409"/>
      <c r="EG163" s="409"/>
      <c r="EH163" s="409"/>
      <c r="EI163" s="409"/>
      <c r="EJ163" s="409"/>
      <c r="EK163" s="409"/>
      <c r="EL163" s="409"/>
      <c r="EM163" s="409"/>
      <c r="EN163" s="409"/>
      <c r="EO163" s="409"/>
      <c r="EP163" s="409"/>
      <c r="EQ163" s="409"/>
      <c r="ER163" s="409"/>
      <c r="ES163" s="409"/>
      <c r="ET163" s="409"/>
      <c r="EU163" s="409"/>
      <c r="EV163" s="409"/>
      <c r="EW163" s="409"/>
      <c r="EX163" s="409"/>
      <c r="EY163" s="409"/>
      <c r="EZ163" s="409"/>
      <c r="FA163" s="409"/>
      <c r="FB163" s="409"/>
      <c r="FC163" s="409"/>
      <c r="FD163" s="409"/>
      <c r="FE163" s="409"/>
      <c r="FF163" s="409"/>
      <c r="FG163" s="409"/>
      <c r="FH163" s="409"/>
      <c r="FI163" s="409"/>
      <c r="FJ163" s="409"/>
      <c r="FK163" s="409"/>
      <c r="FL163" s="409"/>
      <c r="FM163" s="409"/>
      <c r="FN163" s="409"/>
      <c r="FO163" s="409"/>
      <c r="FP163" s="409"/>
      <c r="FQ163" s="409"/>
      <c r="FR163" s="409"/>
      <c r="FS163" s="409"/>
      <c r="FT163" s="409"/>
      <c r="FU163" s="409"/>
      <c r="FV163" s="409"/>
      <c r="FW163" s="409"/>
      <c r="FX163" s="409"/>
      <c r="FY163" s="409"/>
      <c r="FZ163" s="409"/>
      <c r="GA163" s="409"/>
      <c r="GB163" s="409"/>
      <c r="GC163" s="409"/>
      <c r="GD163" s="409"/>
      <c r="GE163" s="409"/>
      <c r="GF163" s="409"/>
      <c r="GG163" s="409"/>
      <c r="GH163" s="409"/>
      <c r="GI163" s="409"/>
      <c r="GJ163" s="409"/>
      <c r="GK163" s="409"/>
      <c r="GL163" s="409"/>
      <c r="GM163" s="409"/>
      <c r="GN163" s="409"/>
      <c r="GO163" s="409"/>
      <c r="GP163" s="409"/>
      <c r="GQ163" s="409"/>
      <c r="GR163" s="409"/>
      <c r="GS163" s="409"/>
      <c r="GT163" s="409"/>
      <c r="GU163" s="409"/>
      <c r="GV163" s="409"/>
      <c r="GW163" s="409"/>
      <c r="GX163" s="409"/>
      <c r="GY163" s="409"/>
      <c r="GZ163" s="409"/>
      <c r="HA163" s="409"/>
      <c r="HB163" s="409"/>
      <c r="HC163" s="409"/>
      <c r="HD163" s="409"/>
      <c r="HE163" s="409"/>
      <c r="HF163" s="409"/>
      <c r="HG163" s="409"/>
      <c r="HH163" s="409"/>
      <c r="HI163" s="409"/>
      <c r="HJ163" s="409"/>
      <c r="HK163" s="409"/>
      <c r="HL163" s="409"/>
      <c r="HM163" s="409"/>
      <c r="HN163" s="409"/>
      <c r="HO163" s="409"/>
      <c r="HP163" s="409"/>
      <c r="HQ163" s="409"/>
      <c r="HR163" s="409"/>
      <c r="HS163" s="409"/>
      <c r="HT163" s="409"/>
      <c r="HU163" s="409"/>
      <c r="HV163" s="409"/>
      <c r="HW163" s="409"/>
      <c r="HX163" s="409"/>
      <c r="HY163" s="409"/>
      <c r="HZ163" s="409"/>
      <c r="IA163" s="409"/>
      <c r="IB163" s="409"/>
      <c r="IC163" s="409"/>
      <c r="ID163" s="409"/>
      <c r="IE163" s="409"/>
      <c r="IF163" s="409"/>
    </row>
    <row r="164" spans="1:240">
      <c r="A164" s="737" t="s">
        <v>35</v>
      </c>
      <c r="B164" s="738"/>
      <c r="C164" s="738"/>
      <c r="D164" s="414">
        <v>0</v>
      </c>
      <c r="E164" s="414">
        <v>0</v>
      </c>
      <c r="F164" s="414">
        <v>0</v>
      </c>
      <c r="G164" s="414">
        <v>0</v>
      </c>
      <c r="H164" s="414">
        <v>0</v>
      </c>
      <c r="I164" s="414">
        <v>0</v>
      </c>
      <c r="J164" s="414">
        <v>0</v>
      </c>
      <c r="K164" s="414">
        <v>0</v>
      </c>
      <c r="L164" s="414">
        <v>0</v>
      </c>
      <c r="M164" s="414">
        <v>0</v>
      </c>
      <c r="N164" s="414">
        <v>0</v>
      </c>
      <c r="O164" s="414">
        <v>0</v>
      </c>
      <c r="P164" s="416">
        <f t="shared" si="13"/>
        <v>0</v>
      </c>
      <c r="R164" s="409"/>
      <c r="S164" s="409"/>
      <c r="T164" s="409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9"/>
      <c r="BE164" s="409"/>
      <c r="BF164" s="409"/>
      <c r="BG164" s="409"/>
      <c r="BH164" s="409"/>
      <c r="BI164" s="409"/>
      <c r="BJ164" s="409"/>
      <c r="BK164" s="409"/>
      <c r="BL164" s="409"/>
      <c r="BM164" s="409"/>
      <c r="BN164" s="409"/>
      <c r="BO164" s="409"/>
      <c r="BP164" s="409"/>
      <c r="BQ164" s="409"/>
      <c r="BR164" s="409"/>
      <c r="BS164" s="409"/>
      <c r="BT164" s="409"/>
      <c r="BU164" s="409"/>
      <c r="BV164" s="409"/>
      <c r="BW164" s="409"/>
      <c r="BX164" s="409"/>
      <c r="BY164" s="409"/>
      <c r="BZ164" s="409"/>
      <c r="CA164" s="409"/>
      <c r="CB164" s="409"/>
      <c r="CC164" s="409"/>
      <c r="CD164" s="409"/>
      <c r="CE164" s="409"/>
      <c r="CF164" s="409"/>
      <c r="CG164" s="409"/>
      <c r="CH164" s="409"/>
      <c r="CI164" s="409"/>
      <c r="CJ164" s="409"/>
      <c r="CK164" s="409"/>
      <c r="CL164" s="409"/>
      <c r="CM164" s="409"/>
      <c r="CN164" s="409"/>
      <c r="CO164" s="409"/>
      <c r="CP164" s="409"/>
      <c r="CQ164" s="409"/>
      <c r="CR164" s="409"/>
      <c r="CS164" s="409"/>
      <c r="CT164" s="409"/>
      <c r="CU164" s="409"/>
      <c r="CV164" s="409"/>
      <c r="CW164" s="409"/>
      <c r="CX164" s="409"/>
      <c r="CY164" s="409"/>
      <c r="CZ164" s="409"/>
      <c r="DA164" s="409"/>
      <c r="DB164" s="409"/>
      <c r="DC164" s="409"/>
      <c r="DD164" s="409"/>
      <c r="DE164" s="409"/>
      <c r="DF164" s="409"/>
      <c r="DG164" s="409"/>
      <c r="DH164" s="409"/>
      <c r="DI164" s="409"/>
      <c r="DJ164" s="409"/>
      <c r="DK164" s="409"/>
      <c r="DL164" s="409"/>
      <c r="DM164" s="409"/>
      <c r="DN164" s="409"/>
      <c r="DO164" s="409"/>
      <c r="DP164" s="409"/>
      <c r="DQ164" s="409"/>
      <c r="DR164" s="409"/>
      <c r="DS164" s="409"/>
      <c r="DT164" s="409"/>
      <c r="DU164" s="409"/>
      <c r="DV164" s="409"/>
      <c r="DW164" s="409"/>
      <c r="DX164" s="409"/>
      <c r="DY164" s="409"/>
      <c r="DZ164" s="409"/>
      <c r="EA164" s="409"/>
      <c r="EB164" s="409"/>
      <c r="EC164" s="409"/>
      <c r="ED164" s="409"/>
      <c r="EE164" s="409"/>
      <c r="EF164" s="409"/>
      <c r="EG164" s="409"/>
      <c r="EH164" s="409"/>
      <c r="EI164" s="409"/>
      <c r="EJ164" s="409"/>
      <c r="EK164" s="409"/>
      <c r="EL164" s="409"/>
      <c r="EM164" s="409"/>
      <c r="EN164" s="409"/>
      <c r="EO164" s="409"/>
      <c r="EP164" s="409"/>
      <c r="EQ164" s="409"/>
      <c r="ER164" s="409"/>
      <c r="ES164" s="409"/>
      <c r="ET164" s="409"/>
      <c r="EU164" s="409"/>
      <c r="EV164" s="409"/>
      <c r="EW164" s="409"/>
      <c r="EX164" s="409"/>
      <c r="EY164" s="409"/>
      <c r="EZ164" s="409"/>
      <c r="FA164" s="409"/>
      <c r="FB164" s="409"/>
      <c r="FC164" s="409"/>
      <c r="FD164" s="409"/>
      <c r="FE164" s="409"/>
      <c r="FF164" s="409"/>
      <c r="FG164" s="409"/>
      <c r="FH164" s="409"/>
      <c r="FI164" s="409"/>
      <c r="FJ164" s="409"/>
      <c r="FK164" s="409"/>
      <c r="FL164" s="409"/>
      <c r="FM164" s="409"/>
      <c r="FN164" s="409"/>
      <c r="FO164" s="409"/>
      <c r="FP164" s="409"/>
      <c r="FQ164" s="409"/>
      <c r="FR164" s="409"/>
      <c r="FS164" s="409"/>
      <c r="FT164" s="409"/>
      <c r="FU164" s="409"/>
      <c r="FV164" s="409"/>
      <c r="FW164" s="409"/>
      <c r="FX164" s="409"/>
      <c r="FY164" s="409"/>
      <c r="FZ164" s="409"/>
      <c r="GA164" s="409"/>
      <c r="GB164" s="409"/>
      <c r="GC164" s="409"/>
      <c r="GD164" s="409"/>
      <c r="GE164" s="409"/>
      <c r="GF164" s="409"/>
      <c r="GG164" s="409"/>
      <c r="GH164" s="409"/>
      <c r="GI164" s="409"/>
      <c r="GJ164" s="409"/>
      <c r="GK164" s="409"/>
      <c r="GL164" s="409"/>
      <c r="GM164" s="409"/>
      <c r="GN164" s="409"/>
      <c r="GO164" s="409"/>
      <c r="GP164" s="409"/>
      <c r="GQ164" s="409"/>
      <c r="GR164" s="409"/>
      <c r="GS164" s="409"/>
      <c r="GT164" s="409"/>
      <c r="GU164" s="409"/>
      <c r="GV164" s="409"/>
      <c r="GW164" s="409"/>
      <c r="GX164" s="409"/>
      <c r="GY164" s="409"/>
      <c r="GZ164" s="409"/>
      <c r="HA164" s="409"/>
      <c r="HB164" s="409"/>
      <c r="HC164" s="409"/>
      <c r="HD164" s="409"/>
      <c r="HE164" s="409"/>
      <c r="HF164" s="409"/>
      <c r="HG164" s="409"/>
      <c r="HH164" s="409"/>
      <c r="HI164" s="409"/>
      <c r="HJ164" s="409"/>
      <c r="HK164" s="409"/>
      <c r="HL164" s="409"/>
      <c r="HM164" s="409"/>
      <c r="HN164" s="409"/>
      <c r="HO164" s="409"/>
      <c r="HP164" s="409"/>
      <c r="HQ164" s="409"/>
      <c r="HR164" s="409"/>
      <c r="HS164" s="409"/>
      <c r="HT164" s="409"/>
      <c r="HU164" s="409"/>
      <c r="HV164" s="409"/>
      <c r="HW164" s="409"/>
      <c r="HX164" s="409"/>
      <c r="HY164" s="409"/>
      <c r="HZ164" s="409"/>
      <c r="IA164" s="409"/>
      <c r="IB164" s="409"/>
      <c r="IC164" s="409"/>
      <c r="ID164" s="409"/>
      <c r="IE164" s="409"/>
      <c r="IF164" s="409"/>
    </row>
    <row r="165" spans="1:240" ht="14.1" thickBot="1">
      <c r="A165" s="740" t="s">
        <v>30</v>
      </c>
      <c r="B165" s="741"/>
      <c r="C165" s="742"/>
      <c r="D165" s="422">
        <v>0</v>
      </c>
      <c r="E165" s="422">
        <v>0</v>
      </c>
      <c r="F165" s="422">
        <v>0</v>
      </c>
      <c r="G165" s="422">
        <v>0</v>
      </c>
      <c r="H165" s="422">
        <v>0</v>
      </c>
      <c r="I165" s="422">
        <v>0</v>
      </c>
      <c r="J165" s="422">
        <v>0</v>
      </c>
      <c r="K165" s="422">
        <v>0</v>
      </c>
      <c r="L165" s="422">
        <v>0</v>
      </c>
      <c r="M165" s="422">
        <v>0</v>
      </c>
      <c r="N165" s="422">
        <v>0</v>
      </c>
      <c r="O165" s="422">
        <v>0</v>
      </c>
      <c r="P165" s="419">
        <f t="shared" si="13"/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160:C160"/>
    <mergeCell ref="A161:C161"/>
    <mergeCell ref="A162:C162"/>
    <mergeCell ref="A164:C164"/>
    <mergeCell ref="A165:C165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N10" sqref="N10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375</v>
      </c>
      <c r="B1" s="342"/>
      <c r="C1" s="342"/>
      <c r="D1" s="423">
        <v>1</v>
      </c>
      <c r="E1" s="423">
        <v>2</v>
      </c>
      <c r="F1" s="423">
        <v>3</v>
      </c>
      <c r="G1" s="423">
        <v>4</v>
      </c>
      <c r="H1" s="423">
        <v>5</v>
      </c>
      <c r="I1" s="424">
        <v>6</v>
      </c>
      <c r="J1" s="424">
        <v>7</v>
      </c>
      <c r="K1" s="425">
        <v>8</v>
      </c>
      <c r="L1" s="424">
        <v>9</v>
      </c>
      <c r="M1" s="424">
        <v>10</v>
      </c>
      <c r="N1" s="424">
        <v>11</v>
      </c>
      <c r="O1" s="424">
        <v>12</v>
      </c>
      <c r="Q1" s="426" t="s">
        <v>376</v>
      </c>
      <c r="R1" s="427">
        <v>1</v>
      </c>
      <c r="S1" s="427">
        <v>2</v>
      </c>
      <c r="T1" s="427">
        <v>3</v>
      </c>
      <c r="U1" s="427">
        <v>4</v>
      </c>
      <c r="V1" s="427">
        <v>5</v>
      </c>
      <c r="W1" s="428">
        <v>6</v>
      </c>
      <c r="X1" s="428">
        <v>7</v>
      </c>
      <c r="Y1" s="429">
        <v>8</v>
      </c>
      <c r="Z1" s="428">
        <v>9</v>
      </c>
      <c r="AA1" s="428">
        <v>10</v>
      </c>
      <c r="AB1" s="428">
        <v>11</v>
      </c>
      <c r="AC1" s="428">
        <v>12</v>
      </c>
    </row>
    <row r="2" spans="1:256" ht="13.5">
      <c r="A2" s="671" t="s">
        <v>1</v>
      </c>
      <c r="B2" s="672"/>
      <c r="C2" s="672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463" t="s">
        <v>377</v>
      </c>
      <c r="R2" s="430"/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673" t="s">
        <v>9</v>
      </c>
      <c r="B3" s="674"/>
      <c r="C3" s="675"/>
      <c r="D3" s="431">
        <f>D4+D11+D16</f>
        <v>579705893.65490258</v>
      </c>
      <c r="E3" s="431">
        <f t="shared" ref="E3:O3" si="0">E4+E11+E16</f>
        <v>562805702.9680419</v>
      </c>
      <c r="F3" s="431">
        <f t="shared" si="0"/>
        <v>565835792.20565724</v>
      </c>
      <c r="G3" s="431">
        <f t="shared" si="0"/>
        <v>557288474.32799172</v>
      </c>
      <c r="H3" s="431">
        <f t="shared" si="0"/>
        <v>568641493.45188653</v>
      </c>
      <c r="I3" s="431">
        <f t="shared" si="0"/>
        <v>557360747.80289149</v>
      </c>
      <c r="J3" s="431">
        <f t="shared" si="0"/>
        <v>561833929.14141428</v>
      </c>
      <c r="K3" s="431">
        <f t="shared" si="0"/>
        <v>578452665.25418806</v>
      </c>
      <c r="L3" s="431">
        <f t="shared" si="0"/>
        <v>555562609.57837629</v>
      </c>
      <c r="M3" s="431">
        <f t="shared" si="0"/>
        <v>550626352.92796946</v>
      </c>
      <c r="N3" s="431">
        <f t="shared" si="0"/>
        <v>546436332.64244449</v>
      </c>
      <c r="O3" s="431">
        <f t="shared" si="0"/>
        <v>562171068.81954026</v>
      </c>
      <c r="P3" s="431">
        <f>P4+P11+P16+P24</f>
        <v>625094634.62922966</v>
      </c>
      <c r="Q3" s="348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669" t="s">
        <v>10</v>
      </c>
      <c r="C4" s="670"/>
      <c r="D4" s="351">
        <f>SUM(D5:D10)</f>
        <v>346273480.29676729</v>
      </c>
      <c r="E4" s="351">
        <f t="shared" ref="E4:O4" si="1">SUM(E5:E10)</f>
        <v>337427549.65263373</v>
      </c>
      <c r="F4" s="351">
        <f t="shared" si="1"/>
        <v>338678493.28831357</v>
      </c>
      <c r="G4" s="351">
        <f t="shared" si="1"/>
        <v>334906334.49701101</v>
      </c>
      <c r="H4" s="351">
        <f t="shared" si="1"/>
        <v>348409810.18562704</v>
      </c>
      <c r="I4" s="351">
        <f t="shared" si="1"/>
        <v>342419959.59254318</v>
      </c>
      <c r="J4" s="351">
        <f t="shared" si="1"/>
        <v>349864689.34997547</v>
      </c>
      <c r="K4" s="351">
        <f t="shared" si="1"/>
        <v>358365875.91485548</v>
      </c>
      <c r="L4" s="351">
        <f t="shared" si="1"/>
        <v>340822413.05917668</v>
      </c>
      <c r="M4" s="351">
        <f t="shared" si="1"/>
        <v>337936960.78214312</v>
      </c>
      <c r="N4" s="351">
        <f t="shared" si="1"/>
        <v>333254025.48368216</v>
      </c>
      <c r="O4" s="351">
        <f t="shared" si="1"/>
        <v>346278957.30429709</v>
      </c>
      <c r="P4" s="351">
        <f>SUM(P5:P10)</f>
        <v>342886545.78391874</v>
      </c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</row>
    <row r="5" spans="1:256" ht="13.5">
      <c r="A5" s="126"/>
      <c r="B5" s="127"/>
      <c r="C5" s="128" t="s">
        <v>11</v>
      </c>
      <c r="D5" s="350">
        <v>293879556.33795047</v>
      </c>
      <c r="E5" s="350">
        <v>283686522.48999494</v>
      </c>
      <c r="F5" s="350">
        <v>287883810.96025646</v>
      </c>
      <c r="G5" s="350">
        <v>286532815.97091204</v>
      </c>
      <c r="H5" s="350">
        <v>301200240.25110579</v>
      </c>
      <c r="I5" s="350">
        <v>296451024.60584056</v>
      </c>
      <c r="J5" s="350">
        <v>303603249.08621657</v>
      </c>
      <c r="K5" s="350">
        <v>311071324.98995745</v>
      </c>
      <c r="L5" s="350">
        <v>294268711.53800219</v>
      </c>
      <c r="M5" s="350">
        <v>292419281.62307173</v>
      </c>
      <c r="N5" s="350">
        <v>287810507.24077827</v>
      </c>
      <c r="O5" s="350">
        <v>298517831.81447417</v>
      </c>
      <c r="P5" s="350">
        <f t="shared" ref="P5:P10" si="2">AVERAGE(D5:O5)</f>
        <v>294777073.07571334</v>
      </c>
      <c r="R5" s="433">
        <f>0</f>
        <v>0</v>
      </c>
      <c r="S5" s="434">
        <f>$D5</f>
        <v>293879556.33795047</v>
      </c>
      <c r="T5" s="433">
        <f>SUM($D5:$E5)/2</f>
        <v>288783039.41397274</v>
      </c>
      <c r="U5" s="433">
        <f>SUM($D5:$F5)/3</f>
        <v>288483296.59606731</v>
      </c>
      <c r="V5" s="433">
        <f>SUM($D5:$G5)/4</f>
        <v>287995676.43977851</v>
      </c>
      <c r="W5" s="433">
        <f>SUM($D5:$H5)/5</f>
        <v>290636589.20204395</v>
      </c>
      <c r="X5" s="433">
        <f>SUM($D5:$I5)/6</f>
        <v>291605661.76934338</v>
      </c>
      <c r="Y5" s="433">
        <f t="shared" ref="Y5:Y10" si="3">SUM($D5:$J5)/7</f>
        <v>293319602.81461096</v>
      </c>
      <c r="Z5" s="433">
        <f>SUM($D5:$K5)/8</f>
        <v>295538568.08652925</v>
      </c>
      <c r="AA5" s="433">
        <f>SUM($D5:$L5)/9</f>
        <v>295397472.91447067</v>
      </c>
      <c r="AB5" s="433">
        <f>SUM($D5:$M5)/10</f>
        <v>295099653.78533077</v>
      </c>
      <c r="AC5" s="433">
        <f>SUM($D5:$N5)/11</f>
        <v>294437004.09946239</v>
      </c>
    </row>
    <row r="6" spans="1:256" ht="13.5">
      <c r="A6" s="126"/>
      <c r="B6" s="127"/>
      <c r="C6" s="128" t="s">
        <v>12</v>
      </c>
      <c r="D6" s="350">
        <v>6579748.1000000006</v>
      </c>
      <c r="E6" s="350">
        <v>6865770.9275000002</v>
      </c>
      <c r="F6" s="350">
        <v>6391216.4075000007</v>
      </c>
      <c r="G6" s="350">
        <v>6061640.8849999998</v>
      </c>
      <c r="H6" s="350">
        <v>5800987.0525000002</v>
      </c>
      <c r="I6" s="350">
        <v>5494244.2349999994</v>
      </c>
      <c r="J6" s="350">
        <v>5331651.7374999998</v>
      </c>
      <c r="K6" s="350">
        <v>5282005.3224999998</v>
      </c>
      <c r="L6" s="350">
        <v>5173864.7725</v>
      </c>
      <c r="M6" s="350">
        <v>5114447.5475000003</v>
      </c>
      <c r="N6" s="350">
        <v>5243530.2700000005</v>
      </c>
      <c r="O6" s="350">
        <v>5702889.4225000003</v>
      </c>
      <c r="P6" s="350">
        <f>AVERAGE(D6:O6)</f>
        <v>5753499.7233333336</v>
      </c>
      <c r="R6" s="433">
        <f>0</f>
        <v>0</v>
      </c>
      <c r="S6" s="434">
        <f t="shared" ref="S6:S33" si="4">$D6</f>
        <v>6579748.1000000006</v>
      </c>
      <c r="T6" s="433">
        <f>SUM($D6:$E6)/2</f>
        <v>6722759.5137499999</v>
      </c>
      <c r="U6" s="433">
        <f t="shared" ref="U6:U33" si="5">SUM($D6:$F6)/3</f>
        <v>6612245.1450000005</v>
      </c>
      <c r="V6" s="433">
        <f t="shared" ref="V6:V33" si="6">SUM($D6:$G6)/4</f>
        <v>6474594.0800000001</v>
      </c>
      <c r="W6" s="433">
        <f t="shared" ref="W6:W33" si="7">SUM($D6:$H6)/5</f>
        <v>6339872.6745000007</v>
      </c>
      <c r="X6" s="433">
        <f t="shared" ref="X6:X33" si="8">SUM($D6:$I6)/6</f>
        <v>6198934.6012500003</v>
      </c>
      <c r="Y6" s="433">
        <f t="shared" si="3"/>
        <v>6075037.0492857145</v>
      </c>
      <c r="Z6" s="433">
        <f t="shared" ref="Z6:Z33" si="9">SUM($D6:$K6)/8</f>
        <v>5975908.0834374996</v>
      </c>
      <c r="AA6" s="433">
        <f t="shared" ref="AA6:AA33" si="10">SUM($D6:$L6)/9</f>
        <v>5886792.1600000001</v>
      </c>
      <c r="AB6" s="433">
        <f t="shared" ref="AB6:AB32" si="11">SUM($D6:$M6)/10</f>
        <v>5809557.6987499995</v>
      </c>
      <c r="AC6" s="433">
        <f t="shared" ref="AC6:AC33" si="12">SUM($D6:$N6)/11</f>
        <v>5758100.6597727276</v>
      </c>
    </row>
    <row r="7" spans="1:256" ht="13.5">
      <c r="A7" s="126"/>
      <c r="B7" s="127"/>
      <c r="C7" s="128" t="s">
        <v>13</v>
      </c>
      <c r="D7" s="350">
        <v>9358482.8399999999</v>
      </c>
      <c r="E7" s="350">
        <v>10119638.91</v>
      </c>
      <c r="F7" s="350">
        <v>8500390.1475000009</v>
      </c>
      <c r="G7" s="350">
        <v>7158875.3650000002</v>
      </c>
      <c r="H7" s="350">
        <v>5945057.3925000001</v>
      </c>
      <c r="I7" s="350">
        <v>5083120.3574999999</v>
      </c>
      <c r="J7" s="350">
        <v>5227206</v>
      </c>
      <c r="K7" s="350">
        <v>5574209.6649999991</v>
      </c>
      <c r="L7" s="350">
        <v>5396925.6974999998</v>
      </c>
      <c r="M7" s="350">
        <v>4864851.09</v>
      </c>
      <c r="N7" s="350">
        <v>4440951.9074999997</v>
      </c>
      <c r="O7" s="350">
        <v>6068318.5975000001</v>
      </c>
      <c r="P7" s="350">
        <f>AVERAGE(D7:O7)</f>
        <v>6478168.9974999996</v>
      </c>
      <c r="R7" s="433">
        <f>0</f>
        <v>0</v>
      </c>
      <c r="S7" s="434">
        <f t="shared" si="4"/>
        <v>9358482.8399999999</v>
      </c>
      <c r="T7" s="433">
        <f t="shared" ref="T7:T33" si="13">SUM($D7:$E7)/2</f>
        <v>9739060.875</v>
      </c>
      <c r="U7" s="433">
        <f t="shared" si="5"/>
        <v>9326170.6325000003</v>
      </c>
      <c r="V7" s="433">
        <f t="shared" si="6"/>
        <v>8784346.8156250007</v>
      </c>
      <c r="W7" s="433">
        <f t="shared" si="7"/>
        <v>8216488.9309999999</v>
      </c>
      <c r="X7" s="433">
        <f t="shared" si="8"/>
        <v>7694260.8354166672</v>
      </c>
      <c r="Y7" s="433">
        <f t="shared" si="3"/>
        <v>7341824.4303571433</v>
      </c>
      <c r="Z7" s="433">
        <f t="shared" si="9"/>
        <v>7120872.5846875003</v>
      </c>
      <c r="AA7" s="433">
        <f t="shared" si="10"/>
        <v>6929322.930555556</v>
      </c>
      <c r="AB7" s="433">
        <f t="shared" si="11"/>
        <v>6722875.7465000004</v>
      </c>
      <c r="AC7" s="433">
        <f t="shared" si="12"/>
        <v>6515428.1247727275</v>
      </c>
    </row>
    <row r="8" spans="1:256" ht="13.5">
      <c r="A8" s="126"/>
      <c r="B8" s="127"/>
      <c r="C8" s="128" t="s">
        <v>14</v>
      </c>
      <c r="D8" s="350">
        <v>25110082.860864751</v>
      </c>
      <c r="E8" s="350">
        <v>24433004.503758501</v>
      </c>
      <c r="F8" s="350">
        <v>23708506.347156249</v>
      </c>
      <c r="G8" s="350">
        <v>23439362.879019249</v>
      </c>
      <c r="H8" s="350">
        <v>23584031.297240499</v>
      </c>
      <c r="I8" s="350">
        <v>23758947.16015175</v>
      </c>
      <c r="J8" s="350">
        <v>24212199.0403945</v>
      </c>
      <c r="K8" s="350">
        <v>24499426.142834</v>
      </c>
      <c r="L8" s="350">
        <v>23994499.617467001</v>
      </c>
      <c r="M8" s="350">
        <v>23537053.610507004</v>
      </c>
      <c r="N8" s="350">
        <v>23677625.537071001</v>
      </c>
      <c r="O8" s="350">
        <v>24619150.403923497</v>
      </c>
      <c r="P8" s="350">
        <f t="shared" si="2"/>
        <v>24047824.116698999</v>
      </c>
      <c r="R8" s="433">
        <f>0</f>
        <v>0</v>
      </c>
      <c r="S8" s="434">
        <f t="shared" si="4"/>
        <v>25110082.860864751</v>
      </c>
      <c r="T8" s="433">
        <f t="shared" si="13"/>
        <v>24771543.682311624</v>
      </c>
      <c r="U8" s="433">
        <f t="shared" si="5"/>
        <v>24417197.903926503</v>
      </c>
      <c r="V8" s="433">
        <f t="shared" si="6"/>
        <v>24172739.147699688</v>
      </c>
      <c r="W8" s="433">
        <f t="shared" si="7"/>
        <v>24054997.577607848</v>
      </c>
      <c r="X8" s="433">
        <f t="shared" si="8"/>
        <v>24005655.84136517</v>
      </c>
      <c r="Y8" s="433">
        <f t="shared" si="3"/>
        <v>24035162.012655072</v>
      </c>
      <c r="Z8" s="433">
        <f t="shared" si="9"/>
        <v>24093195.028927438</v>
      </c>
      <c r="AA8" s="433">
        <f t="shared" si="10"/>
        <v>24082228.872098498</v>
      </c>
      <c r="AB8" s="433">
        <f t="shared" si="11"/>
        <v>24027711.345939349</v>
      </c>
      <c r="AC8" s="433">
        <f t="shared" si="12"/>
        <v>23995885.363314953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33">
        <f>0</f>
        <v>0</v>
      </c>
      <c r="S9" s="434">
        <f t="shared" si="4"/>
        <v>0</v>
      </c>
      <c r="T9" s="433">
        <f t="shared" si="13"/>
        <v>0</v>
      </c>
      <c r="U9" s="433">
        <f t="shared" si="5"/>
        <v>0</v>
      </c>
      <c r="V9" s="433">
        <f t="shared" si="6"/>
        <v>0</v>
      </c>
      <c r="W9" s="433">
        <f t="shared" si="7"/>
        <v>0</v>
      </c>
      <c r="X9" s="433">
        <f t="shared" si="8"/>
        <v>0</v>
      </c>
      <c r="Y9" s="433">
        <f t="shared" si="3"/>
        <v>0</v>
      </c>
      <c r="Z9" s="433">
        <f t="shared" si="9"/>
        <v>0</v>
      </c>
      <c r="AA9" s="433">
        <f t="shared" si="10"/>
        <v>0</v>
      </c>
      <c r="AB9" s="433">
        <f t="shared" si="11"/>
        <v>0</v>
      </c>
      <c r="AC9" s="433">
        <f t="shared" si="12"/>
        <v>0</v>
      </c>
    </row>
    <row r="10" spans="1:256" ht="13.5">
      <c r="A10" s="126"/>
      <c r="B10" s="132"/>
      <c r="C10" s="128" t="s">
        <v>16</v>
      </c>
      <c r="D10" s="350">
        <v>11345610.157952055</v>
      </c>
      <c r="E10" s="350">
        <v>12322612.821380271</v>
      </c>
      <c r="F10" s="350">
        <v>12194569.425900873</v>
      </c>
      <c r="G10" s="350">
        <v>11713639.397079688</v>
      </c>
      <c r="H10" s="350">
        <v>11879494.192280779</v>
      </c>
      <c r="I10" s="350">
        <v>11632623.234050792</v>
      </c>
      <c r="J10" s="350">
        <v>11490383.485864431</v>
      </c>
      <c r="K10" s="350">
        <v>11938909.794564027</v>
      </c>
      <c r="L10" s="350">
        <v>11988411.433707546</v>
      </c>
      <c r="M10" s="350">
        <v>12001326.911064375</v>
      </c>
      <c r="N10" s="350">
        <v>12081410.528332863</v>
      </c>
      <c r="O10" s="350">
        <v>11370767.065899393</v>
      </c>
      <c r="P10" s="350">
        <f t="shared" si="2"/>
        <v>11829979.87067309</v>
      </c>
      <c r="R10" s="433">
        <f>0</f>
        <v>0</v>
      </c>
      <c r="S10" s="434">
        <f t="shared" si="4"/>
        <v>11345610.157952055</v>
      </c>
      <c r="T10" s="433">
        <f t="shared" si="13"/>
        <v>11834111.489666164</v>
      </c>
      <c r="U10" s="433">
        <f t="shared" si="5"/>
        <v>11954264.135077735</v>
      </c>
      <c r="V10" s="433">
        <f t="shared" si="6"/>
        <v>11894107.950578224</v>
      </c>
      <c r="W10" s="433">
        <f t="shared" si="7"/>
        <v>11891185.198918734</v>
      </c>
      <c r="X10" s="433">
        <f t="shared" si="8"/>
        <v>11848091.53810741</v>
      </c>
      <c r="Y10" s="433">
        <f t="shared" si="3"/>
        <v>11796990.387786984</v>
      </c>
      <c r="Z10" s="433">
        <f t="shared" si="9"/>
        <v>11814730.313634114</v>
      </c>
      <c r="AA10" s="433">
        <f t="shared" si="10"/>
        <v>11834028.215864496</v>
      </c>
      <c r="AB10" s="433">
        <f t="shared" si="11"/>
        <v>11850758.085384484</v>
      </c>
      <c r="AC10" s="433">
        <f t="shared" si="12"/>
        <v>11871726.489288881</v>
      </c>
    </row>
    <row r="11" spans="1:256" ht="13.5">
      <c r="A11" s="126"/>
      <c r="B11" s="676" t="s">
        <v>17</v>
      </c>
      <c r="C11" s="677"/>
      <c r="D11" s="351">
        <v>6828523.25913525</v>
      </c>
      <c r="E11" s="351">
        <v>6778376.2637414988</v>
      </c>
      <c r="F11" s="351">
        <v>6795335.3153437506</v>
      </c>
      <c r="G11" s="351">
        <v>7088266.4809807502</v>
      </c>
      <c r="H11" s="351">
        <v>7696036.3402594998</v>
      </c>
      <c r="I11" s="351">
        <v>8605593.6223482508</v>
      </c>
      <c r="J11" s="351">
        <v>9378350.3321054988</v>
      </c>
      <c r="K11" s="351">
        <v>8867897.4396660011</v>
      </c>
      <c r="L11" s="351">
        <v>7371752.4125330001</v>
      </c>
      <c r="M11" s="351">
        <v>6503155.2794930004</v>
      </c>
      <c r="N11" s="351">
        <v>6552756.3054290004</v>
      </c>
      <c r="O11" s="351">
        <v>6779464.8785765003</v>
      </c>
      <c r="P11" s="351">
        <f>SUM(P12:P15)</f>
        <v>7437125.660800999</v>
      </c>
      <c r="R11" s="433"/>
      <c r="S11" s="434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33">
        <f>0</f>
        <v>0</v>
      </c>
      <c r="S12" s="434">
        <f t="shared" si="4"/>
        <v>0</v>
      </c>
      <c r="T12" s="433">
        <f t="shared" si="13"/>
        <v>0</v>
      </c>
      <c r="U12" s="433">
        <f t="shared" si="5"/>
        <v>0</v>
      </c>
      <c r="V12" s="433">
        <f t="shared" si="6"/>
        <v>0</v>
      </c>
      <c r="W12" s="433">
        <f t="shared" si="7"/>
        <v>0</v>
      </c>
      <c r="X12" s="433">
        <f t="shared" si="8"/>
        <v>0</v>
      </c>
      <c r="Y12" s="433">
        <f>SUM($D12:$J12)/7</f>
        <v>0</v>
      </c>
      <c r="Z12" s="433">
        <f t="shared" si="9"/>
        <v>0</v>
      </c>
      <c r="AA12" s="433">
        <f t="shared" si="10"/>
        <v>0</v>
      </c>
      <c r="AB12" s="433">
        <f t="shared" si="11"/>
        <v>0</v>
      </c>
      <c r="AC12" s="433">
        <f t="shared" si="12"/>
        <v>0</v>
      </c>
    </row>
    <row r="13" spans="1:256" ht="13.5">
      <c r="A13" s="126"/>
      <c r="B13" s="127"/>
      <c r="C13" s="134" t="s">
        <v>19</v>
      </c>
      <c r="D13" s="350">
        <v>1695987.94</v>
      </c>
      <c r="E13" s="350">
        <v>1533244.0249999999</v>
      </c>
      <c r="F13" s="350">
        <v>1605976.0325000002</v>
      </c>
      <c r="G13" s="350">
        <v>1943082.2400000002</v>
      </c>
      <c r="H13" s="350">
        <v>2377616.0499999998</v>
      </c>
      <c r="I13" s="350">
        <v>3380970.7575000003</v>
      </c>
      <c r="J13" s="350">
        <v>4237559.88</v>
      </c>
      <c r="K13" s="350">
        <v>3667920.7675000001</v>
      </c>
      <c r="L13" s="350">
        <v>2553540.6999999997</v>
      </c>
      <c r="M13" s="350">
        <v>2054440.9424999999</v>
      </c>
      <c r="N13" s="350">
        <v>1959951.1875</v>
      </c>
      <c r="O13" s="350">
        <v>1850973.0575000001</v>
      </c>
      <c r="P13" s="350">
        <f>AVERAGE(D13:O13)</f>
        <v>2405105.2983333333</v>
      </c>
      <c r="R13" s="433">
        <f>0</f>
        <v>0</v>
      </c>
      <c r="S13" s="434">
        <f t="shared" si="4"/>
        <v>1695987.94</v>
      </c>
      <c r="T13" s="433">
        <f t="shared" si="13"/>
        <v>1614615.9824999999</v>
      </c>
      <c r="U13" s="433">
        <f t="shared" si="5"/>
        <v>1611735.9991666668</v>
      </c>
      <c r="V13" s="433">
        <f t="shared" si="6"/>
        <v>1694572.5593750002</v>
      </c>
      <c r="W13" s="433">
        <f t="shared" si="7"/>
        <v>1831181.2575000003</v>
      </c>
      <c r="X13" s="433">
        <f t="shared" si="8"/>
        <v>2089479.5075000003</v>
      </c>
      <c r="Y13" s="433">
        <f>SUM($D13:$J13)/7</f>
        <v>2396348.1321428572</v>
      </c>
      <c r="Z13" s="433">
        <f t="shared" si="9"/>
        <v>2555294.7115625003</v>
      </c>
      <c r="AA13" s="433">
        <f t="shared" si="10"/>
        <v>2555099.8213888891</v>
      </c>
      <c r="AB13" s="433">
        <f t="shared" si="11"/>
        <v>2505033.9335000003</v>
      </c>
      <c r="AC13" s="433">
        <f t="shared" si="12"/>
        <v>2455480.956590909</v>
      </c>
    </row>
    <row r="14" spans="1:256" ht="13.5">
      <c r="A14" s="126"/>
      <c r="B14" s="127"/>
      <c r="C14" s="233" t="s">
        <v>20</v>
      </c>
      <c r="D14" s="350">
        <v>263735.70500000002</v>
      </c>
      <c r="E14" s="350">
        <v>302878.8175</v>
      </c>
      <c r="F14" s="350">
        <v>298163.73500000004</v>
      </c>
      <c r="G14" s="350">
        <v>266906.07</v>
      </c>
      <c r="H14" s="350">
        <v>231017.05000000002</v>
      </c>
      <c r="I14" s="350">
        <v>240350.53000000003</v>
      </c>
      <c r="J14" s="350">
        <v>278471.60499999998</v>
      </c>
      <c r="K14" s="350">
        <v>256371.5325</v>
      </c>
      <c r="L14" s="350">
        <v>192208.61</v>
      </c>
      <c r="M14" s="350">
        <v>146368.44</v>
      </c>
      <c r="N14" s="350">
        <v>140673.26999999999</v>
      </c>
      <c r="O14" s="350">
        <v>191394.58499999999</v>
      </c>
      <c r="P14" s="350">
        <f>AVERAGE(D14:O14)</f>
        <v>234044.99583333335</v>
      </c>
      <c r="R14" s="433">
        <f>0</f>
        <v>0</v>
      </c>
      <c r="S14" s="434">
        <f t="shared" si="4"/>
        <v>263735.70500000002</v>
      </c>
      <c r="T14" s="433">
        <f t="shared" si="13"/>
        <v>283307.26124999998</v>
      </c>
      <c r="U14" s="433">
        <f t="shared" si="5"/>
        <v>288259.41916666669</v>
      </c>
      <c r="V14" s="433">
        <f t="shared" si="6"/>
        <v>282921.08187500003</v>
      </c>
      <c r="W14" s="433">
        <f t="shared" si="7"/>
        <v>272540.27550000005</v>
      </c>
      <c r="X14" s="433">
        <f t="shared" si="8"/>
        <v>267175.31791666668</v>
      </c>
      <c r="Y14" s="433">
        <f>SUM($D14:$J14)/7</f>
        <v>268789.07321428572</v>
      </c>
      <c r="Z14" s="433">
        <f t="shared" si="9"/>
        <v>267236.88062500005</v>
      </c>
      <c r="AA14" s="433">
        <f t="shared" si="10"/>
        <v>258900.40611111114</v>
      </c>
      <c r="AB14" s="433">
        <f t="shared" si="11"/>
        <v>247647.20950000003</v>
      </c>
      <c r="AC14" s="433">
        <f t="shared" si="12"/>
        <v>237922.30590909094</v>
      </c>
    </row>
    <row r="15" spans="1:256" ht="13.5">
      <c r="A15" s="126"/>
      <c r="B15" s="127"/>
      <c r="C15" s="233" t="s">
        <v>21</v>
      </c>
      <c r="D15" s="350">
        <v>4868799.6141352504</v>
      </c>
      <c r="E15" s="350">
        <v>4942253.4212414995</v>
      </c>
      <c r="F15" s="350">
        <v>4891195.5478437506</v>
      </c>
      <c r="G15" s="350">
        <v>4878278.1709807497</v>
      </c>
      <c r="H15" s="350">
        <v>5087403.2402595002</v>
      </c>
      <c r="I15" s="350">
        <v>4984272.3348482503</v>
      </c>
      <c r="J15" s="350">
        <v>4862318.8471054994</v>
      </c>
      <c r="K15" s="350">
        <v>4943605.1396660004</v>
      </c>
      <c r="L15" s="350">
        <v>4626003.1025330005</v>
      </c>
      <c r="M15" s="350">
        <v>4302345.8969930001</v>
      </c>
      <c r="N15" s="350">
        <v>4452131.8479289999</v>
      </c>
      <c r="O15" s="350">
        <v>4737097.2360765003</v>
      </c>
      <c r="P15" s="350">
        <f>AVERAGE(D15:O15)</f>
        <v>4797975.3666343326</v>
      </c>
      <c r="R15" s="433">
        <f>0</f>
        <v>0</v>
      </c>
      <c r="S15" s="434">
        <f t="shared" si="4"/>
        <v>4868799.6141352504</v>
      </c>
      <c r="T15" s="433">
        <f t="shared" si="13"/>
        <v>4905526.517688375</v>
      </c>
      <c r="U15" s="433">
        <f t="shared" si="5"/>
        <v>4900749.5277401665</v>
      </c>
      <c r="V15" s="433">
        <f t="shared" si="6"/>
        <v>4895131.6885503121</v>
      </c>
      <c r="W15" s="433">
        <f t="shared" si="7"/>
        <v>4933585.998892149</v>
      </c>
      <c r="X15" s="433">
        <f t="shared" si="8"/>
        <v>4942033.7215514993</v>
      </c>
      <c r="Y15" s="433">
        <f>SUM($D15:$J15)/7</f>
        <v>4930645.8823449286</v>
      </c>
      <c r="Z15" s="433">
        <f t="shared" si="9"/>
        <v>4932265.789510062</v>
      </c>
      <c r="AA15" s="433">
        <f t="shared" si="10"/>
        <v>4898236.6020681662</v>
      </c>
      <c r="AB15" s="433">
        <f t="shared" si="11"/>
        <v>4838647.5315606492</v>
      </c>
      <c r="AC15" s="433">
        <f t="shared" si="12"/>
        <v>4803509.74213959</v>
      </c>
    </row>
    <row r="16" spans="1:256" ht="13.5">
      <c r="A16" s="126"/>
      <c r="B16" s="669" t="s">
        <v>22</v>
      </c>
      <c r="C16" s="670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274770963.18450993</v>
      </c>
      <c r="R16" s="433"/>
      <c r="S16" s="434"/>
      <c r="T16" s="433"/>
      <c r="U16" s="433"/>
      <c r="V16" s="433"/>
      <c r="W16" s="433"/>
      <c r="X16" s="433"/>
      <c r="Y16" s="433"/>
      <c r="Z16" s="433"/>
      <c r="AA16" s="433"/>
      <c r="AB16" s="433"/>
      <c r="AC16" s="433"/>
    </row>
    <row r="17" spans="1:256" ht="13.5">
      <c r="A17" s="126"/>
      <c r="B17" s="127"/>
      <c r="C17" s="128" t="s">
        <v>23</v>
      </c>
      <c r="D17" s="350">
        <v>242678348.50187168</v>
      </c>
      <c r="E17" s="350">
        <v>235533609.35746878</v>
      </c>
      <c r="F17" s="350">
        <v>249872903.06866309</v>
      </c>
      <c r="G17" s="350">
        <v>252831455.49092695</v>
      </c>
      <c r="H17" s="350">
        <v>250245391.88903522</v>
      </c>
      <c r="I17" s="350">
        <v>243715587.09166667</v>
      </c>
      <c r="J17" s="350">
        <v>242336713.61666667</v>
      </c>
      <c r="K17" s="350">
        <v>251994535.59999999</v>
      </c>
      <c r="L17" s="350">
        <v>226456690.16666669</v>
      </c>
      <c r="M17" s="350">
        <v>218800263.15000001</v>
      </c>
      <c r="N17" s="350">
        <v>221784221.40000001</v>
      </c>
      <c r="O17" s="350">
        <v>225895300.05000001</v>
      </c>
      <c r="P17" s="350">
        <f t="shared" ref="P17:P22" si="14">AVERAGE(D17:O17)</f>
        <v>238512084.9485805</v>
      </c>
      <c r="R17" s="433">
        <f>0</f>
        <v>0</v>
      </c>
      <c r="S17" s="434">
        <f t="shared" si="4"/>
        <v>242678348.50187168</v>
      </c>
      <c r="T17" s="433">
        <f t="shared" si="13"/>
        <v>239105978.92967021</v>
      </c>
      <c r="U17" s="433">
        <f t="shared" si="5"/>
        <v>242694953.64266786</v>
      </c>
      <c r="V17" s="433">
        <f t="shared" si="6"/>
        <v>245229079.10473263</v>
      </c>
      <c r="W17" s="433">
        <f t="shared" si="7"/>
        <v>246232341.66159314</v>
      </c>
      <c r="X17" s="433">
        <f t="shared" si="8"/>
        <v>245812882.56660542</v>
      </c>
      <c r="Y17" s="433">
        <f t="shared" ref="Y17:Y23" si="15">SUM($D17:$J17)/7</f>
        <v>245316287.00232846</v>
      </c>
      <c r="Z17" s="433">
        <f t="shared" si="9"/>
        <v>246151068.07703739</v>
      </c>
      <c r="AA17" s="433">
        <f t="shared" si="10"/>
        <v>243962803.86477396</v>
      </c>
      <c r="AB17" s="433">
        <f t="shared" si="11"/>
        <v>241446549.79329658</v>
      </c>
      <c r="AC17" s="433">
        <f t="shared" si="12"/>
        <v>239659065.393906</v>
      </c>
    </row>
    <row r="18" spans="1:256" ht="13.5">
      <c r="A18" s="126"/>
      <c r="B18" s="127"/>
      <c r="C18" s="134" t="s">
        <v>24</v>
      </c>
      <c r="D18" s="350">
        <v>1930843.414920751</v>
      </c>
      <c r="E18" s="350">
        <v>1755480.3140312529</v>
      </c>
      <c r="F18" s="350">
        <v>1817456.969672194</v>
      </c>
      <c r="G18" s="350">
        <v>1699708.5530655531</v>
      </c>
      <c r="H18" s="350">
        <v>1863588.0502068053</v>
      </c>
      <c r="I18" s="350">
        <v>1804969.5567508282</v>
      </c>
      <c r="J18" s="350">
        <v>1902223.3108539688</v>
      </c>
      <c r="K18" s="350">
        <v>1959922.0803721987</v>
      </c>
      <c r="L18" s="350">
        <v>1943421.0283117918</v>
      </c>
      <c r="M18" s="350">
        <v>1891895.3447086222</v>
      </c>
      <c r="N18" s="350">
        <v>1885940.0775644297</v>
      </c>
      <c r="O18" s="350">
        <v>1973729.5248397272</v>
      </c>
      <c r="P18" s="350">
        <f t="shared" si="14"/>
        <v>1869098.1854415101</v>
      </c>
      <c r="R18" s="433">
        <f>0</f>
        <v>0</v>
      </c>
      <c r="S18" s="434">
        <f t="shared" si="4"/>
        <v>1930843.414920751</v>
      </c>
      <c r="T18" s="433">
        <f t="shared" si="13"/>
        <v>1843161.8644760018</v>
      </c>
      <c r="U18" s="433">
        <f t="shared" si="5"/>
        <v>1834593.5662080657</v>
      </c>
      <c r="V18" s="433">
        <f t="shared" si="6"/>
        <v>1800872.3129224377</v>
      </c>
      <c r="W18" s="433">
        <f t="shared" si="7"/>
        <v>1813415.4603793111</v>
      </c>
      <c r="X18" s="433">
        <f t="shared" si="8"/>
        <v>1812007.8097745639</v>
      </c>
      <c r="Y18" s="433">
        <f t="shared" si="15"/>
        <v>1824895.7385001932</v>
      </c>
      <c r="Z18" s="433">
        <f t="shared" si="9"/>
        <v>1841774.0312341941</v>
      </c>
      <c r="AA18" s="433">
        <f t="shared" si="10"/>
        <v>1853068.1420205939</v>
      </c>
      <c r="AB18" s="433">
        <f t="shared" si="11"/>
        <v>1856950.8622893966</v>
      </c>
      <c r="AC18" s="433">
        <f t="shared" si="12"/>
        <v>1859586.2454962179</v>
      </c>
    </row>
    <row r="19" spans="1:256" ht="13.5">
      <c r="A19" s="126"/>
      <c r="B19" s="127"/>
      <c r="C19" s="134" t="s">
        <v>25</v>
      </c>
      <c r="D19" s="350">
        <v>17510093.952699214</v>
      </c>
      <c r="E19" s="350">
        <v>16154772.747188604</v>
      </c>
      <c r="F19" s="350">
        <v>17022386.774882607</v>
      </c>
      <c r="G19" s="350">
        <v>15919549.611167105</v>
      </c>
      <c r="H19" s="350">
        <v>17454452.627503615</v>
      </c>
      <c r="I19" s="350">
        <v>16905429.082836948</v>
      </c>
      <c r="J19" s="350">
        <v>17816312.281326972</v>
      </c>
      <c r="K19" s="350">
        <v>18356721.648681212</v>
      </c>
      <c r="L19" s="350">
        <v>18202172.025195286</v>
      </c>
      <c r="M19" s="350">
        <v>17719580.068538629</v>
      </c>
      <c r="N19" s="350">
        <v>17663802.758611742</v>
      </c>
      <c r="O19" s="350">
        <v>18486042.817776833</v>
      </c>
      <c r="P19" s="350">
        <f t="shared" si="14"/>
        <v>17434276.3663674</v>
      </c>
      <c r="R19" s="433">
        <f>0</f>
        <v>0</v>
      </c>
      <c r="S19" s="434">
        <f t="shared" si="4"/>
        <v>17510093.952699214</v>
      </c>
      <c r="T19" s="433">
        <f t="shared" si="13"/>
        <v>16832433.34994391</v>
      </c>
      <c r="U19" s="433">
        <f t="shared" si="5"/>
        <v>16895751.15825681</v>
      </c>
      <c r="V19" s="433">
        <f t="shared" si="6"/>
        <v>16651700.771484382</v>
      </c>
      <c r="W19" s="433">
        <f t="shared" si="7"/>
        <v>16812251.14268823</v>
      </c>
      <c r="X19" s="433">
        <f t="shared" si="8"/>
        <v>16827780.79937968</v>
      </c>
      <c r="Y19" s="433">
        <f t="shared" si="15"/>
        <v>16968999.582515009</v>
      </c>
      <c r="Z19" s="433">
        <f t="shared" si="9"/>
        <v>17142464.840785787</v>
      </c>
      <c r="AA19" s="433">
        <f t="shared" si="10"/>
        <v>17260210.083497956</v>
      </c>
      <c r="AB19" s="433">
        <f t="shared" si="11"/>
        <v>17306147.082002021</v>
      </c>
      <c r="AC19" s="433">
        <f t="shared" si="12"/>
        <v>17338661.234421089</v>
      </c>
    </row>
    <row r="20" spans="1:256" ht="13.5">
      <c r="A20" s="126"/>
      <c r="B20" s="127"/>
      <c r="C20" s="134" t="s">
        <v>26</v>
      </c>
      <c r="D20" s="350">
        <v>10860934.495993618</v>
      </c>
      <c r="E20" s="350">
        <v>9649226.2337582726</v>
      </c>
      <c r="F20" s="350">
        <v>9704866.0166092589</v>
      </c>
      <c r="G20" s="350">
        <v>9076112.419740634</v>
      </c>
      <c r="H20" s="350">
        <v>9951196.9962475616</v>
      </c>
      <c r="I20" s="350">
        <v>9638185.6652621832</v>
      </c>
      <c r="J20" s="350">
        <v>10157501.758535899</v>
      </c>
      <c r="K20" s="350">
        <v>10465601.942937311</v>
      </c>
      <c r="L20" s="350">
        <v>10377489.540799821</v>
      </c>
      <c r="M20" s="350">
        <v>10102352.432121448</v>
      </c>
      <c r="N20" s="350">
        <v>10070552.466184471</v>
      </c>
      <c r="O20" s="350">
        <v>10539331.005481943</v>
      </c>
      <c r="P20" s="350">
        <f t="shared" si="14"/>
        <v>10049445.914472703</v>
      </c>
      <c r="R20" s="433">
        <f>0</f>
        <v>0</v>
      </c>
      <c r="S20" s="434">
        <f t="shared" si="4"/>
        <v>10860934.495993618</v>
      </c>
      <c r="T20" s="433">
        <f t="shared" si="13"/>
        <v>10255080.364875946</v>
      </c>
      <c r="U20" s="433">
        <f t="shared" si="5"/>
        <v>10071675.582120383</v>
      </c>
      <c r="V20" s="433">
        <f t="shared" si="6"/>
        <v>9822784.7915254459</v>
      </c>
      <c r="W20" s="433">
        <f t="shared" si="7"/>
        <v>9848467.2324698679</v>
      </c>
      <c r="X20" s="433">
        <f t="shared" si="8"/>
        <v>9813420.3046019208</v>
      </c>
      <c r="Y20" s="433">
        <f t="shared" si="15"/>
        <v>9862574.7980210613</v>
      </c>
      <c r="Z20" s="433">
        <f t="shared" si="9"/>
        <v>9937953.1911355928</v>
      </c>
      <c r="AA20" s="433">
        <f t="shared" si="10"/>
        <v>9986790.5633205082</v>
      </c>
      <c r="AB20" s="433">
        <f t="shared" si="11"/>
        <v>9998346.7502006032</v>
      </c>
      <c r="AC20" s="433">
        <f t="shared" si="12"/>
        <v>10004910.906199135</v>
      </c>
    </row>
    <row r="21" spans="1:256" ht="13.5">
      <c r="A21" s="126"/>
      <c r="B21" s="127"/>
      <c r="C21" s="134" t="s">
        <v>27</v>
      </c>
      <c r="D21" s="350">
        <v>6940985.0056950701</v>
      </c>
      <c r="E21" s="350">
        <v>6349298.1417852482</v>
      </c>
      <c r="F21" s="350">
        <v>6622426.9051736267</v>
      </c>
      <c r="G21" s="350">
        <v>6193376.701955854</v>
      </c>
      <c r="H21" s="350">
        <v>6790518.7576878807</v>
      </c>
      <c r="I21" s="350">
        <v>6576925.4266316723</v>
      </c>
      <c r="J21" s="350">
        <v>6931297.4357351093</v>
      </c>
      <c r="K21" s="350">
        <v>7141539.488245354</v>
      </c>
      <c r="L21" s="350">
        <v>7081413.1617616992</v>
      </c>
      <c r="M21" s="350">
        <v>6893664.5222642599</v>
      </c>
      <c r="N21" s="350">
        <v>6871964.7945560934</v>
      </c>
      <c r="O21" s="350">
        <v>7191850.8811747553</v>
      </c>
      <c r="P21" s="350">
        <f t="shared" si="14"/>
        <v>6798771.7685555527</v>
      </c>
      <c r="R21" s="433">
        <f>0</f>
        <v>0</v>
      </c>
      <c r="S21" s="434">
        <f t="shared" si="4"/>
        <v>6940985.0056950701</v>
      </c>
      <c r="T21" s="433">
        <f t="shared" si="13"/>
        <v>6645141.5737401592</v>
      </c>
      <c r="U21" s="433">
        <f t="shared" si="5"/>
        <v>6637570.017551315</v>
      </c>
      <c r="V21" s="433">
        <f t="shared" si="6"/>
        <v>6526521.6886524502</v>
      </c>
      <c r="W21" s="433">
        <f t="shared" si="7"/>
        <v>6579321.1024595369</v>
      </c>
      <c r="X21" s="433">
        <f t="shared" si="8"/>
        <v>6578921.8231548928</v>
      </c>
      <c r="Y21" s="433">
        <f t="shared" si="15"/>
        <v>6629261.1963806376</v>
      </c>
      <c r="Z21" s="433">
        <f t="shared" si="9"/>
        <v>6693295.982863727</v>
      </c>
      <c r="AA21" s="433">
        <f t="shared" si="10"/>
        <v>6736420.113852391</v>
      </c>
      <c r="AB21" s="433">
        <f t="shared" si="11"/>
        <v>6752144.5546935778</v>
      </c>
      <c r="AC21" s="433">
        <f t="shared" si="12"/>
        <v>6763037.3037719885</v>
      </c>
    </row>
    <row r="22" spans="1:256" ht="13.5">
      <c r="A22" s="126"/>
      <c r="B22" s="127"/>
      <c r="C22" s="134" t="s">
        <v>28</v>
      </c>
      <c r="D22" s="350">
        <v>112649.15836754908</v>
      </c>
      <c r="E22" s="350">
        <v>101563.48349042443</v>
      </c>
      <c r="F22" s="350">
        <v>104067.92768110713</v>
      </c>
      <c r="G22" s="350">
        <v>97325.631214965775</v>
      </c>
      <c r="H22" s="350">
        <v>106709.40202302409</v>
      </c>
      <c r="I22" s="350">
        <v>103352.89607017481</v>
      </c>
      <c r="J22" s="350">
        <v>108921.66430931907</v>
      </c>
      <c r="K22" s="350">
        <v>112225.50669662745</v>
      </c>
      <c r="L22" s="350">
        <v>111280.65335421552</v>
      </c>
      <c r="M22" s="350">
        <v>108330.28302665753</v>
      </c>
      <c r="N22" s="350">
        <v>107989.28331066688</v>
      </c>
      <c r="O22" s="350">
        <v>113016.12356199775</v>
      </c>
      <c r="P22" s="350">
        <f t="shared" si="14"/>
        <v>107286.00109222747</v>
      </c>
      <c r="R22" s="433">
        <f>0</f>
        <v>0</v>
      </c>
      <c r="S22" s="434">
        <f t="shared" si="4"/>
        <v>112649.15836754908</v>
      </c>
      <c r="T22" s="433">
        <f t="shared" si="13"/>
        <v>107106.32092898677</v>
      </c>
      <c r="U22" s="433">
        <f t="shared" si="5"/>
        <v>106093.52317969355</v>
      </c>
      <c r="V22" s="433">
        <f t="shared" si="6"/>
        <v>103901.55018851161</v>
      </c>
      <c r="W22" s="433">
        <f t="shared" si="7"/>
        <v>104463.12055541411</v>
      </c>
      <c r="X22" s="433">
        <f t="shared" si="8"/>
        <v>104278.08314120756</v>
      </c>
      <c r="Y22" s="433">
        <f t="shared" si="15"/>
        <v>104941.45187950922</v>
      </c>
      <c r="Z22" s="433">
        <f t="shared" si="9"/>
        <v>105851.95873164899</v>
      </c>
      <c r="AA22" s="433">
        <f t="shared" si="10"/>
        <v>106455.14702304528</v>
      </c>
      <c r="AB22" s="433">
        <f t="shared" si="11"/>
        <v>106642.6606234065</v>
      </c>
      <c r="AC22" s="433">
        <f t="shared" si="12"/>
        <v>106765.0808677029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ref="P23" si="16">AVERAGE(D23:O23)</f>
        <v>0</v>
      </c>
      <c r="R23" s="433">
        <f>0</f>
        <v>0</v>
      </c>
      <c r="S23" s="434">
        <f t="shared" si="4"/>
        <v>0</v>
      </c>
      <c r="T23" s="433">
        <f t="shared" si="13"/>
        <v>0</v>
      </c>
      <c r="U23" s="433">
        <f t="shared" si="5"/>
        <v>0</v>
      </c>
      <c r="V23" s="433">
        <f t="shared" si="6"/>
        <v>0</v>
      </c>
      <c r="W23" s="433">
        <f t="shared" si="7"/>
        <v>0</v>
      </c>
      <c r="X23" s="433">
        <f t="shared" si="8"/>
        <v>0</v>
      </c>
      <c r="Y23" s="433">
        <f t="shared" si="15"/>
        <v>0</v>
      </c>
      <c r="Z23" s="433">
        <f t="shared" si="9"/>
        <v>0</v>
      </c>
      <c r="AA23" s="433">
        <f t="shared" si="10"/>
        <v>0</v>
      </c>
      <c r="AB23" s="433">
        <f t="shared" si="11"/>
        <v>0</v>
      </c>
      <c r="AC23" s="433">
        <f t="shared" si="12"/>
        <v>0</v>
      </c>
    </row>
    <row r="24" spans="1:256" ht="13.5">
      <c r="A24" s="126"/>
      <c r="B24" s="352"/>
      <c r="C24" s="353" t="s">
        <v>30</v>
      </c>
      <c r="D24" s="435">
        <v>0</v>
      </c>
      <c r="E24" s="435">
        <v>0</v>
      </c>
      <c r="F24" s="435">
        <v>0</v>
      </c>
      <c r="G24" s="435">
        <v>0</v>
      </c>
      <c r="H24" s="435">
        <v>0</v>
      </c>
      <c r="I24" s="435">
        <v>0</v>
      </c>
      <c r="J24" s="435">
        <v>0</v>
      </c>
      <c r="K24" s="435">
        <v>0</v>
      </c>
      <c r="L24" s="435">
        <v>0</v>
      </c>
      <c r="M24" s="435">
        <v>0</v>
      </c>
      <c r="N24" s="435">
        <v>0</v>
      </c>
      <c r="O24" s="435">
        <v>0</v>
      </c>
      <c r="P24" s="436">
        <f>SUM(P25:P29)</f>
        <v>0</v>
      </c>
      <c r="Q24" s="354"/>
      <c r="R24" s="433"/>
      <c r="S24" s="434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  <c r="IG24" s="354"/>
      <c r="IH24" s="354"/>
      <c r="II24" s="354"/>
      <c r="IJ24" s="354"/>
      <c r="IK24" s="354"/>
      <c r="IL24" s="354"/>
      <c r="IM24" s="354"/>
      <c r="IN24" s="354"/>
      <c r="IO24" s="354"/>
      <c r="IP24" s="354"/>
      <c r="IQ24" s="354"/>
      <c r="IR24" s="354"/>
      <c r="IS24" s="354"/>
      <c r="IT24" s="354"/>
      <c r="IU24" s="354"/>
      <c r="IV24" s="354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37">
        <f t="shared" ref="P25:P33" si="17">AVERAGE(D25:O25)</f>
        <v>0</v>
      </c>
      <c r="Q25" s="354"/>
      <c r="R25" s="433">
        <f>0</f>
        <v>0</v>
      </c>
      <c r="S25" s="434">
        <f t="shared" si="4"/>
        <v>0</v>
      </c>
      <c r="T25" s="433">
        <f t="shared" si="13"/>
        <v>0</v>
      </c>
      <c r="U25" s="433">
        <f t="shared" si="5"/>
        <v>0</v>
      </c>
      <c r="V25" s="433">
        <f t="shared" si="6"/>
        <v>0</v>
      </c>
      <c r="W25" s="433">
        <f t="shared" si="7"/>
        <v>0</v>
      </c>
      <c r="X25" s="433">
        <f t="shared" si="8"/>
        <v>0</v>
      </c>
      <c r="Y25" s="433">
        <f t="shared" ref="Y25:Y33" si="18">SUM($D25:$J25)/7</f>
        <v>0</v>
      </c>
      <c r="Z25" s="433">
        <f t="shared" si="9"/>
        <v>0</v>
      </c>
      <c r="AA25" s="433">
        <f t="shared" si="10"/>
        <v>0</v>
      </c>
      <c r="AB25" s="433">
        <f t="shared" si="11"/>
        <v>0</v>
      </c>
      <c r="AC25" s="433">
        <f t="shared" si="12"/>
        <v>0</v>
      </c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  <c r="IG25" s="354"/>
      <c r="IH25" s="354"/>
      <c r="II25" s="354"/>
      <c r="IJ25" s="354"/>
      <c r="IK25" s="354"/>
      <c r="IL25" s="354"/>
      <c r="IM25" s="354"/>
      <c r="IN25" s="354"/>
      <c r="IO25" s="354"/>
      <c r="IP25" s="354"/>
      <c r="IQ25" s="354"/>
      <c r="IR25" s="354"/>
      <c r="IS25" s="354"/>
      <c r="IT25" s="354"/>
      <c r="IU25" s="354"/>
      <c r="IV25" s="354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37">
        <f t="shared" si="17"/>
        <v>0</v>
      </c>
      <c r="Q26" s="354"/>
      <c r="R26" s="433">
        <f>0</f>
        <v>0</v>
      </c>
      <c r="S26" s="434">
        <f t="shared" si="4"/>
        <v>0</v>
      </c>
      <c r="T26" s="433">
        <f t="shared" si="13"/>
        <v>0</v>
      </c>
      <c r="U26" s="433">
        <f t="shared" si="5"/>
        <v>0</v>
      </c>
      <c r="V26" s="433">
        <f t="shared" si="6"/>
        <v>0</v>
      </c>
      <c r="W26" s="433">
        <f t="shared" si="7"/>
        <v>0</v>
      </c>
      <c r="X26" s="433">
        <f t="shared" si="8"/>
        <v>0</v>
      </c>
      <c r="Y26" s="433">
        <f t="shared" si="18"/>
        <v>0</v>
      </c>
      <c r="Z26" s="433">
        <f t="shared" si="9"/>
        <v>0</v>
      </c>
      <c r="AA26" s="433">
        <f t="shared" si="10"/>
        <v>0</v>
      </c>
      <c r="AB26" s="433">
        <f t="shared" si="11"/>
        <v>0</v>
      </c>
      <c r="AC26" s="433">
        <f t="shared" si="12"/>
        <v>0</v>
      </c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  <c r="IG26" s="354"/>
      <c r="IH26" s="354"/>
      <c r="II26" s="354"/>
      <c r="IJ26" s="354"/>
      <c r="IK26" s="354"/>
      <c r="IL26" s="354"/>
      <c r="IM26" s="354"/>
      <c r="IN26" s="354"/>
      <c r="IO26" s="354"/>
      <c r="IP26" s="354"/>
      <c r="IQ26" s="354"/>
      <c r="IR26" s="354"/>
      <c r="IS26" s="354"/>
      <c r="IT26" s="354"/>
      <c r="IU26" s="354"/>
      <c r="IV26" s="354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37">
        <f>AVERAGE(D27:O27)</f>
        <v>0</v>
      </c>
      <c r="Q27" s="354"/>
      <c r="R27" s="433">
        <f>0</f>
        <v>0</v>
      </c>
      <c r="S27" s="434">
        <f t="shared" si="4"/>
        <v>0</v>
      </c>
      <c r="T27" s="433">
        <f t="shared" si="13"/>
        <v>0</v>
      </c>
      <c r="U27" s="433">
        <f t="shared" si="5"/>
        <v>0</v>
      </c>
      <c r="V27" s="433">
        <f t="shared" si="6"/>
        <v>0</v>
      </c>
      <c r="W27" s="433">
        <f t="shared" si="7"/>
        <v>0</v>
      </c>
      <c r="X27" s="433">
        <f t="shared" si="8"/>
        <v>0</v>
      </c>
      <c r="Y27" s="433">
        <f t="shared" si="18"/>
        <v>0</v>
      </c>
      <c r="Z27" s="433">
        <f t="shared" si="9"/>
        <v>0</v>
      </c>
      <c r="AA27" s="433">
        <f t="shared" si="10"/>
        <v>0</v>
      </c>
      <c r="AB27" s="433">
        <f t="shared" si="11"/>
        <v>0</v>
      </c>
      <c r="AC27" s="433">
        <f t="shared" si="12"/>
        <v>0</v>
      </c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  <c r="IG27" s="354"/>
      <c r="IH27" s="354"/>
      <c r="II27" s="354"/>
      <c r="IJ27" s="354"/>
      <c r="IK27" s="354"/>
      <c r="IL27" s="354"/>
      <c r="IM27" s="354"/>
      <c r="IN27" s="354"/>
      <c r="IO27" s="354"/>
      <c r="IP27" s="354"/>
      <c r="IQ27" s="354"/>
      <c r="IR27" s="354"/>
      <c r="IS27" s="354"/>
      <c r="IT27" s="354"/>
      <c r="IU27" s="354"/>
      <c r="IV27" s="354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37">
        <f>AVERAGE(D28:O28)</f>
        <v>0</v>
      </c>
      <c r="Q28" s="354"/>
      <c r="R28" s="433">
        <f>0</f>
        <v>0</v>
      </c>
      <c r="S28" s="434">
        <f t="shared" si="4"/>
        <v>0</v>
      </c>
      <c r="T28" s="433">
        <f t="shared" si="13"/>
        <v>0</v>
      </c>
      <c r="U28" s="433">
        <f t="shared" si="5"/>
        <v>0</v>
      </c>
      <c r="V28" s="433">
        <f t="shared" si="6"/>
        <v>0</v>
      </c>
      <c r="W28" s="433">
        <f t="shared" si="7"/>
        <v>0</v>
      </c>
      <c r="X28" s="433">
        <f t="shared" si="8"/>
        <v>0</v>
      </c>
      <c r="Y28" s="433">
        <f t="shared" si="18"/>
        <v>0</v>
      </c>
      <c r="Z28" s="433">
        <f t="shared" si="9"/>
        <v>0</v>
      </c>
      <c r="AA28" s="433">
        <f t="shared" si="10"/>
        <v>0</v>
      </c>
      <c r="AB28" s="433">
        <f t="shared" si="11"/>
        <v>0</v>
      </c>
      <c r="AC28" s="433">
        <f t="shared" si="12"/>
        <v>0</v>
      </c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  <c r="IG28" s="354"/>
      <c r="IH28" s="354"/>
      <c r="II28" s="354"/>
      <c r="IJ28" s="354"/>
      <c r="IK28" s="354"/>
      <c r="IL28" s="354"/>
      <c r="IM28" s="354"/>
      <c r="IN28" s="354"/>
      <c r="IO28" s="354"/>
      <c r="IP28" s="354"/>
      <c r="IQ28" s="354"/>
      <c r="IR28" s="354"/>
      <c r="IS28" s="354"/>
      <c r="IT28" s="354"/>
      <c r="IU28" s="354"/>
      <c r="IV28" s="354"/>
    </row>
    <row r="29" spans="1:256" ht="14.1" thickBot="1">
      <c r="A29" s="126"/>
      <c r="B29" s="254"/>
      <c r="C29" s="233" t="s">
        <v>35</v>
      </c>
      <c r="D29" s="438">
        <v>0</v>
      </c>
      <c r="E29" s="439">
        <v>0</v>
      </c>
      <c r="F29" s="440">
        <v>0</v>
      </c>
      <c r="G29" s="440">
        <v>0</v>
      </c>
      <c r="H29" s="441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3">
        <f t="shared" si="17"/>
        <v>0</v>
      </c>
      <c r="Q29" s="354"/>
      <c r="R29" s="433">
        <f>0</f>
        <v>0</v>
      </c>
      <c r="S29" s="434">
        <f t="shared" si="4"/>
        <v>0</v>
      </c>
      <c r="T29" s="433">
        <f t="shared" si="13"/>
        <v>0</v>
      </c>
      <c r="U29" s="433">
        <f t="shared" si="5"/>
        <v>0</v>
      </c>
      <c r="V29" s="433">
        <f t="shared" si="6"/>
        <v>0</v>
      </c>
      <c r="W29" s="433">
        <f t="shared" si="7"/>
        <v>0</v>
      </c>
      <c r="X29" s="433">
        <f t="shared" si="8"/>
        <v>0</v>
      </c>
      <c r="Y29" s="433">
        <f t="shared" si="18"/>
        <v>0</v>
      </c>
      <c r="Z29" s="433">
        <f t="shared" si="9"/>
        <v>0</v>
      </c>
      <c r="AA29" s="433">
        <f t="shared" si="10"/>
        <v>0</v>
      </c>
      <c r="AB29" s="433">
        <f t="shared" si="11"/>
        <v>0</v>
      </c>
      <c r="AC29" s="433">
        <f t="shared" si="12"/>
        <v>0</v>
      </c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  <c r="IG29" s="354"/>
      <c r="IH29" s="354"/>
      <c r="II29" s="354"/>
      <c r="IJ29" s="354"/>
      <c r="IK29" s="354"/>
      <c r="IL29" s="354"/>
      <c r="IM29" s="354"/>
      <c r="IN29" s="354"/>
      <c r="IO29" s="354"/>
      <c r="IP29" s="354"/>
      <c r="IQ29" s="354"/>
      <c r="IR29" s="354"/>
      <c r="IS29" s="354"/>
      <c r="IT29" s="354"/>
      <c r="IU29" s="354"/>
      <c r="IV29" s="354"/>
    </row>
    <row r="30" spans="1:256" ht="13.5">
      <c r="A30" s="756" t="s">
        <v>36</v>
      </c>
      <c r="B30" s="757"/>
      <c r="C30" s="356" t="s">
        <v>37</v>
      </c>
      <c r="D30" s="444">
        <v>0</v>
      </c>
      <c r="E30" s="444">
        <v>0</v>
      </c>
      <c r="F30" s="444">
        <v>0</v>
      </c>
      <c r="G30" s="444">
        <v>0</v>
      </c>
      <c r="H30" s="444">
        <v>0</v>
      </c>
      <c r="I30" s="444">
        <v>0</v>
      </c>
      <c r="J30" s="444">
        <v>0</v>
      </c>
      <c r="K30" s="444">
        <v>0</v>
      </c>
      <c r="L30" s="444">
        <v>0</v>
      </c>
      <c r="M30" s="444">
        <v>0</v>
      </c>
      <c r="N30" s="444">
        <v>0</v>
      </c>
      <c r="O30" s="444">
        <v>0</v>
      </c>
      <c r="P30" s="445">
        <f t="shared" si="17"/>
        <v>0</v>
      </c>
      <c r="R30" s="433">
        <f>0</f>
        <v>0</v>
      </c>
      <c r="S30" s="434">
        <f t="shared" si="4"/>
        <v>0</v>
      </c>
      <c r="T30" s="433">
        <f t="shared" si="13"/>
        <v>0</v>
      </c>
      <c r="U30" s="433">
        <f t="shared" si="5"/>
        <v>0</v>
      </c>
      <c r="V30" s="433">
        <f t="shared" si="6"/>
        <v>0</v>
      </c>
      <c r="W30" s="433">
        <f t="shared" si="7"/>
        <v>0</v>
      </c>
      <c r="X30" s="433">
        <f t="shared" si="8"/>
        <v>0</v>
      </c>
      <c r="Y30" s="433">
        <f t="shared" si="18"/>
        <v>0</v>
      </c>
      <c r="Z30" s="433">
        <f t="shared" si="9"/>
        <v>0</v>
      </c>
      <c r="AA30" s="433">
        <f t="shared" si="10"/>
        <v>0</v>
      </c>
      <c r="AB30" s="433">
        <f t="shared" si="11"/>
        <v>0</v>
      </c>
      <c r="AC30" s="433">
        <f t="shared" si="12"/>
        <v>0</v>
      </c>
    </row>
    <row r="31" spans="1:256" ht="13.5">
      <c r="A31" s="661"/>
      <c r="B31" s="662"/>
      <c r="C31" s="139" t="s">
        <v>38</v>
      </c>
      <c r="D31" s="446">
        <v>0</v>
      </c>
      <c r="E31" s="446">
        <v>0</v>
      </c>
      <c r="F31" s="446">
        <v>0</v>
      </c>
      <c r="G31" s="446">
        <v>0</v>
      </c>
      <c r="H31" s="446">
        <v>0</v>
      </c>
      <c r="I31" s="446">
        <v>0</v>
      </c>
      <c r="J31" s="446">
        <v>0</v>
      </c>
      <c r="K31" s="446">
        <v>0</v>
      </c>
      <c r="L31" s="446">
        <v>0</v>
      </c>
      <c r="M31" s="446">
        <v>0</v>
      </c>
      <c r="N31" s="446">
        <v>0</v>
      </c>
      <c r="O31" s="446">
        <v>0</v>
      </c>
      <c r="P31" s="447">
        <f t="shared" si="17"/>
        <v>0</v>
      </c>
      <c r="R31" s="433">
        <f>0</f>
        <v>0</v>
      </c>
      <c r="S31" s="434">
        <f t="shared" si="4"/>
        <v>0</v>
      </c>
      <c r="T31" s="433">
        <f t="shared" si="13"/>
        <v>0</v>
      </c>
      <c r="U31" s="433">
        <f t="shared" si="5"/>
        <v>0</v>
      </c>
      <c r="V31" s="433">
        <f t="shared" si="6"/>
        <v>0</v>
      </c>
      <c r="W31" s="433">
        <f t="shared" si="7"/>
        <v>0</v>
      </c>
      <c r="X31" s="433">
        <f t="shared" si="8"/>
        <v>0</v>
      </c>
      <c r="Y31" s="433">
        <f t="shared" si="18"/>
        <v>0</v>
      </c>
      <c r="Z31" s="433">
        <f t="shared" si="9"/>
        <v>0</v>
      </c>
      <c r="AA31" s="433">
        <f t="shared" si="10"/>
        <v>0</v>
      </c>
      <c r="AB31" s="433">
        <f t="shared" si="11"/>
        <v>0</v>
      </c>
      <c r="AC31" s="433">
        <f t="shared" si="12"/>
        <v>0</v>
      </c>
    </row>
    <row r="32" spans="1:256" ht="13.5">
      <c r="A32" s="661"/>
      <c r="B32" s="662"/>
      <c r="C32" s="239" t="s">
        <v>39</v>
      </c>
      <c r="D32" s="446">
        <v>0</v>
      </c>
      <c r="E32" s="446">
        <v>0</v>
      </c>
      <c r="F32" s="446">
        <v>0</v>
      </c>
      <c r="G32" s="446">
        <v>0</v>
      </c>
      <c r="H32" s="446">
        <v>0</v>
      </c>
      <c r="I32" s="446">
        <v>0</v>
      </c>
      <c r="J32" s="446">
        <v>0</v>
      </c>
      <c r="K32" s="446">
        <v>0</v>
      </c>
      <c r="L32" s="446">
        <v>0</v>
      </c>
      <c r="M32" s="446">
        <v>0</v>
      </c>
      <c r="N32" s="446">
        <v>0</v>
      </c>
      <c r="O32" s="446">
        <v>0</v>
      </c>
      <c r="P32" s="447">
        <f t="shared" si="17"/>
        <v>0</v>
      </c>
      <c r="R32" s="433">
        <f>0</f>
        <v>0</v>
      </c>
      <c r="S32" s="434">
        <f t="shared" si="4"/>
        <v>0</v>
      </c>
      <c r="T32" s="433">
        <f t="shared" si="13"/>
        <v>0</v>
      </c>
      <c r="U32" s="433">
        <f t="shared" si="5"/>
        <v>0</v>
      </c>
      <c r="V32" s="433">
        <f t="shared" si="6"/>
        <v>0</v>
      </c>
      <c r="W32" s="433">
        <f t="shared" si="7"/>
        <v>0</v>
      </c>
      <c r="X32" s="433">
        <f t="shared" si="8"/>
        <v>0</v>
      </c>
      <c r="Y32" s="433">
        <f t="shared" si="18"/>
        <v>0</v>
      </c>
      <c r="Z32" s="433">
        <f t="shared" si="9"/>
        <v>0</v>
      </c>
      <c r="AA32" s="433">
        <f t="shared" si="10"/>
        <v>0</v>
      </c>
      <c r="AB32" s="433">
        <f t="shared" si="11"/>
        <v>0</v>
      </c>
      <c r="AC32" s="433">
        <f t="shared" si="12"/>
        <v>0</v>
      </c>
    </row>
    <row r="33" spans="1:29" ht="14.1" thickBot="1">
      <c r="A33" s="663"/>
      <c r="B33" s="664"/>
      <c r="C33" s="146" t="s">
        <v>40</v>
      </c>
      <c r="D33" s="448">
        <v>0</v>
      </c>
      <c r="E33" s="448">
        <v>0</v>
      </c>
      <c r="F33" s="448">
        <v>0</v>
      </c>
      <c r="G33" s="448">
        <v>0</v>
      </c>
      <c r="H33" s="448">
        <v>0</v>
      </c>
      <c r="I33" s="448">
        <v>0</v>
      </c>
      <c r="J33" s="448">
        <v>0</v>
      </c>
      <c r="K33" s="448">
        <v>0</v>
      </c>
      <c r="L33" s="448">
        <v>0</v>
      </c>
      <c r="M33" s="448">
        <v>0</v>
      </c>
      <c r="N33" s="448">
        <v>0</v>
      </c>
      <c r="O33" s="448">
        <v>0</v>
      </c>
      <c r="P33" s="449">
        <f t="shared" si="17"/>
        <v>0</v>
      </c>
      <c r="R33" s="433">
        <f>0</f>
        <v>0</v>
      </c>
      <c r="S33" s="434">
        <f t="shared" si="4"/>
        <v>0</v>
      </c>
      <c r="T33" s="433">
        <f t="shared" si="13"/>
        <v>0</v>
      </c>
      <c r="U33" s="433">
        <f t="shared" si="5"/>
        <v>0</v>
      </c>
      <c r="V33" s="433">
        <f t="shared" si="6"/>
        <v>0</v>
      </c>
      <c r="W33" s="433">
        <f t="shared" si="7"/>
        <v>0</v>
      </c>
      <c r="X33" s="433">
        <f t="shared" si="8"/>
        <v>0</v>
      </c>
      <c r="Y33" s="433">
        <f t="shared" si="18"/>
        <v>0</v>
      </c>
      <c r="Z33" s="433">
        <f t="shared" si="9"/>
        <v>0</v>
      </c>
      <c r="AA33" s="433">
        <f t="shared" si="10"/>
        <v>0</v>
      </c>
      <c r="AB33" s="433">
        <f>SUM($D33:$M33)/10</f>
        <v>0</v>
      </c>
      <c r="AC33" s="433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I18" sqref="I18"/>
    </sheetView>
  </sheetViews>
  <sheetFormatPr defaultColWidth="9" defaultRowHeight="17.100000000000001"/>
  <cols>
    <col min="1" max="1" width="14.5" style="450" customWidth="1"/>
    <col min="2" max="13" width="16.25" style="450" bestFit="1" customWidth="1"/>
    <col min="14" max="14" width="16.125" style="450" bestFit="1" customWidth="1"/>
    <col min="15" max="16384" width="9" style="450"/>
  </cols>
  <sheetData>
    <row r="1" spans="1:14">
      <c r="A1" s="342" t="s">
        <v>378</v>
      </c>
    </row>
    <row r="2" spans="1:14" ht="17.45" thickBot="1">
      <c r="B2" s="450">
        <v>1</v>
      </c>
      <c r="C2" s="450">
        <v>2</v>
      </c>
      <c r="D2" s="450">
        <v>3</v>
      </c>
      <c r="E2" s="450">
        <v>4</v>
      </c>
      <c r="F2" s="450">
        <v>5</v>
      </c>
      <c r="G2" s="450">
        <v>6</v>
      </c>
      <c r="H2" s="450">
        <v>7</v>
      </c>
      <c r="I2" s="450">
        <v>8</v>
      </c>
      <c r="J2" s="450">
        <v>9</v>
      </c>
      <c r="K2" s="450">
        <v>10</v>
      </c>
      <c r="L2" s="450">
        <v>11</v>
      </c>
      <c r="M2" s="450">
        <v>12</v>
      </c>
    </row>
    <row r="3" spans="1:14">
      <c r="A3" s="451"/>
      <c r="B3" s="452" t="s">
        <v>252</v>
      </c>
      <c r="C3" s="452" t="s">
        <v>253</v>
      </c>
      <c r="D3" s="452" t="s">
        <v>254</v>
      </c>
      <c r="E3" s="452" t="s">
        <v>255</v>
      </c>
      <c r="F3" s="452" t="s">
        <v>256</v>
      </c>
      <c r="G3" s="452" t="s">
        <v>257</v>
      </c>
      <c r="H3" s="452" t="s">
        <v>258</v>
      </c>
      <c r="I3" s="452" t="s">
        <v>259</v>
      </c>
      <c r="J3" s="452" t="s">
        <v>260</v>
      </c>
      <c r="K3" s="452" t="s">
        <v>261</v>
      </c>
      <c r="L3" s="452" t="s">
        <v>262</v>
      </c>
      <c r="M3" s="453" t="s">
        <v>263</v>
      </c>
      <c r="N3" s="454" t="s">
        <v>264</v>
      </c>
    </row>
    <row r="4" spans="1:14" ht="20.100000000000001">
      <c r="A4" s="455" t="s">
        <v>379</v>
      </c>
      <c r="B4" s="456">
        <v>293879556.33795047</v>
      </c>
      <c r="C4" s="456">
        <v>283686522.48999494</v>
      </c>
      <c r="D4" s="456">
        <v>287883810.96025646</v>
      </c>
      <c r="E4" s="456">
        <v>286532815.97091204</v>
      </c>
      <c r="F4" s="456">
        <v>301200240.25110579</v>
      </c>
      <c r="G4" s="456">
        <v>296451024.60584056</v>
      </c>
      <c r="H4" s="456">
        <v>303603249.08621657</v>
      </c>
      <c r="I4" s="456">
        <v>311071324.98995745</v>
      </c>
      <c r="J4" s="456">
        <v>294268711.53800219</v>
      </c>
      <c r="K4" s="456">
        <v>292419281.62307173</v>
      </c>
      <c r="L4" s="456">
        <v>287810507.24077827</v>
      </c>
      <c r="M4" s="456">
        <v>298517831.81447417</v>
      </c>
      <c r="N4" s="457">
        <f>SUM(B4:M4)/12</f>
        <v>294777073.07571334</v>
      </c>
    </row>
    <row r="5" spans="1:14">
      <c r="A5" s="458" t="s">
        <v>380</v>
      </c>
      <c r="B5" s="456">
        <v>137465858.48872739</v>
      </c>
      <c r="C5" s="456">
        <v>130442385.00161369</v>
      </c>
      <c r="D5" s="456">
        <v>134364133.09543201</v>
      </c>
      <c r="E5" s="456">
        <v>132853451.14518028</v>
      </c>
      <c r="F5" s="456">
        <v>144860270.46340305</v>
      </c>
      <c r="G5" s="456">
        <v>141605002.78633192</v>
      </c>
      <c r="H5" s="456">
        <v>146226268.07200274</v>
      </c>
      <c r="I5" s="456">
        <v>148658836.34660196</v>
      </c>
      <c r="J5" s="456">
        <v>136538554.22801971</v>
      </c>
      <c r="K5" s="456">
        <v>140878378.55540112</v>
      </c>
      <c r="L5" s="456">
        <v>131060899.50999315</v>
      </c>
      <c r="M5" s="456">
        <v>134813487.74489027</v>
      </c>
      <c r="N5" s="457">
        <f>SUM(B5:M5)/12</f>
        <v>138313960.45313308</v>
      </c>
    </row>
    <row r="6" spans="1:14">
      <c r="A6" s="458" t="s">
        <v>381</v>
      </c>
      <c r="B6" s="456">
        <v>119786342.03285699</v>
      </c>
      <c r="C6" s="456">
        <v>116265122.70580351</v>
      </c>
      <c r="D6" s="456">
        <v>115169222.33219373</v>
      </c>
      <c r="E6" s="456">
        <v>114833391.60042042</v>
      </c>
      <c r="F6" s="456">
        <v>118750567.96497598</v>
      </c>
      <c r="G6" s="456">
        <v>119044552.87511206</v>
      </c>
      <c r="H6" s="456">
        <v>122405883.79289341</v>
      </c>
      <c r="I6" s="456">
        <v>127651285.04631273</v>
      </c>
      <c r="J6" s="456">
        <v>123272259.53525174</v>
      </c>
      <c r="K6" s="456">
        <v>117116707.37439159</v>
      </c>
      <c r="L6" s="456">
        <v>121192450.0133124</v>
      </c>
      <c r="M6" s="456">
        <v>126962834.42694396</v>
      </c>
      <c r="N6" s="457">
        <f>SUM(B6:M6)/12</f>
        <v>120204218.30837236</v>
      </c>
    </row>
    <row r="7" spans="1:14" ht="17.45" thickBot="1">
      <c r="A7" s="459" t="s">
        <v>382</v>
      </c>
      <c r="B7" s="460">
        <v>36627355.816366076</v>
      </c>
      <c r="C7" s="460">
        <v>36979014.782577761</v>
      </c>
      <c r="D7" s="460">
        <v>38350455.532630704</v>
      </c>
      <c r="E7" s="460">
        <v>38845973.225311361</v>
      </c>
      <c r="F7" s="460">
        <v>37589401.822726712</v>
      </c>
      <c r="G7" s="460">
        <v>35801468.9443966</v>
      </c>
      <c r="H7" s="460">
        <v>34971097.221320406</v>
      </c>
      <c r="I7" s="460">
        <v>34761203.597042754</v>
      </c>
      <c r="J7" s="460">
        <v>34457897.774730757</v>
      </c>
      <c r="K7" s="460">
        <v>34424195.693279006</v>
      </c>
      <c r="L7" s="460">
        <v>35557157.717472754</v>
      </c>
      <c r="M7" s="461">
        <v>36741509.642639928</v>
      </c>
      <c r="N7" s="462">
        <f>SUM(B7:M7)/12</f>
        <v>36258894.314207904</v>
      </c>
    </row>
    <row r="8" spans="1:14">
      <c r="B8" s="506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16"/>
    </row>
    <row r="9" spans="1:14">
      <c r="E9" s="505"/>
      <c r="F9" s="505"/>
      <c r="G9" s="505"/>
      <c r="H9" s="505"/>
      <c r="I9" s="505"/>
      <c r="J9" s="505"/>
      <c r="K9" s="505"/>
      <c r="L9" s="505"/>
      <c r="M9" s="505"/>
    </row>
    <row r="10" spans="1:14">
      <c r="E10" s="505"/>
      <c r="F10" s="505"/>
      <c r="G10" s="505"/>
      <c r="H10" s="505"/>
      <c r="I10" s="505"/>
      <c r="J10" s="505"/>
      <c r="K10" s="505"/>
      <c r="L10" s="505"/>
      <c r="M10" s="505"/>
    </row>
    <row r="11" spans="1:14">
      <c r="B11" s="515"/>
      <c r="C11" s="515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</row>
    <row r="12" spans="1:14">
      <c r="B12" s="515"/>
      <c r="C12" s="515"/>
      <c r="D12" s="515"/>
      <c r="E12" s="515"/>
      <c r="F12" s="515"/>
      <c r="G12" s="515"/>
      <c r="H12" s="515"/>
      <c r="I12" s="515"/>
      <c r="J12" s="515"/>
      <c r="K12" s="515"/>
      <c r="L12" s="515"/>
      <c r="M12" s="515"/>
      <c r="N12" s="515"/>
    </row>
    <row r="13" spans="1:14">
      <c r="B13" s="515"/>
      <c r="C13" s="515"/>
      <c r="D13" s="515"/>
      <c r="E13" s="515"/>
      <c r="F13" s="515"/>
      <c r="G13" s="515"/>
      <c r="H13" s="515"/>
      <c r="I13" s="515"/>
      <c r="J13" s="515"/>
      <c r="K13" s="515"/>
      <c r="L13" s="515"/>
      <c r="M13" s="515"/>
      <c r="N13" s="515"/>
    </row>
    <row r="14" spans="1:14"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</row>
    <row r="15" spans="1:14"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4"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spans="2:14"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</row>
    <row r="18" spans="2:14"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</row>
    <row r="22" spans="2:14"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</row>
    <row r="23" spans="2:14"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506"/>
    </row>
    <row r="24" spans="2:14"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506"/>
    </row>
    <row r="25" spans="2:14"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50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H2" sqref="H2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466" t="s">
        <v>383</v>
      </c>
      <c r="B1" s="466" t="s">
        <v>384</v>
      </c>
      <c r="C1" s="466" t="s">
        <v>385</v>
      </c>
      <c r="D1" s="466" t="s">
        <v>386</v>
      </c>
      <c r="E1" s="466" t="s">
        <v>387</v>
      </c>
      <c r="F1" s="466" t="s">
        <v>388</v>
      </c>
      <c r="G1" s="466" t="s">
        <v>389</v>
      </c>
      <c r="H1" s="466" t="s">
        <v>390</v>
      </c>
      <c r="I1" s="466" t="s">
        <v>391</v>
      </c>
      <c r="J1" s="466" t="s">
        <v>392</v>
      </c>
      <c r="K1" s="466" t="s">
        <v>393</v>
      </c>
      <c r="L1" s="466" t="s">
        <v>394</v>
      </c>
      <c r="M1" s="466" t="s">
        <v>395</v>
      </c>
      <c r="N1" s="466" t="s">
        <v>396</v>
      </c>
      <c r="O1" s="466" t="s">
        <v>397</v>
      </c>
      <c r="P1" s="466" t="s">
        <v>398</v>
      </c>
      <c r="Q1" s="466" t="s">
        <v>399</v>
      </c>
      <c r="R1" s="466" t="s">
        <v>400</v>
      </c>
      <c r="S1" s="466" t="s">
        <v>401</v>
      </c>
      <c r="T1" s="466" t="s">
        <v>402</v>
      </c>
      <c r="U1" s="466" t="s">
        <v>403</v>
      </c>
      <c r="V1" s="466" t="s">
        <v>404</v>
      </c>
      <c r="W1" s="466" t="s">
        <v>405</v>
      </c>
      <c r="X1" s="466" t="s">
        <v>406</v>
      </c>
      <c r="Y1" s="466" t="s">
        <v>407</v>
      </c>
      <c r="Z1" s="466" t="s">
        <v>408</v>
      </c>
      <c r="AA1" s="466" t="s">
        <v>409</v>
      </c>
      <c r="AB1" s="466" t="s">
        <v>410</v>
      </c>
      <c r="AC1" s="466" t="s">
        <v>411</v>
      </c>
      <c r="AD1" s="466" t="s">
        <v>412</v>
      </c>
      <c r="AE1" s="466" t="s">
        <v>413</v>
      </c>
      <c r="AF1" s="466" t="s">
        <v>414</v>
      </c>
      <c r="AG1" s="466" t="s">
        <v>415</v>
      </c>
      <c r="AH1" t="s">
        <v>416</v>
      </c>
    </row>
    <row r="2" spans="1:34">
      <c r="A2" s="466" t="s">
        <v>417</v>
      </c>
      <c r="B2" s="466" t="s">
        <v>236</v>
      </c>
      <c r="C2" s="489" t="s">
        <v>418</v>
      </c>
      <c r="D2" s="489" t="s">
        <v>419</v>
      </c>
      <c r="E2" s="489" t="s">
        <v>420</v>
      </c>
      <c r="F2" s="489" t="s">
        <v>421</v>
      </c>
      <c r="G2" s="489" t="s">
        <v>422</v>
      </c>
      <c r="H2" s="489" t="s">
        <v>423</v>
      </c>
      <c r="I2" s="489" t="s">
        <v>424</v>
      </c>
      <c r="J2" s="489" t="s">
        <v>425</v>
      </c>
      <c r="K2" s="489" t="s">
        <v>426</v>
      </c>
      <c r="L2" s="489" t="s">
        <v>427</v>
      </c>
      <c r="M2" s="489" t="s">
        <v>428</v>
      </c>
      <c r="N2" s="489" t="s">
        <v>429</v>
      </c>
      <c r="O2" s="489" t="s">
        <v>430</v>
      </c>
      <c r="P2" s="489" t="s">
        <v>431</v>
      </c>
      <c r="Q2" s="489" t="s">
        <v>432</v>
      </c>
      <c r="R2" s="489" t="s">
        <v>433</v>
      </c>
      <c r="S2" s="489" t="s">
        <v>434</v>
      </c>
      <c r="T2" s="489" t="s">
        <v>435</v>
      </c>
      <c r="U2" s="489" t="s">
        <v>436</v>
      </c>
      <c r="V2" s="489" t="s">
        <v>437</v>
      </c>
      <c r="W2" s="489" t="s">
        <v>438</v>
      </c>
      <c r="X2" s="489" t="s">
        <v>439</v>
      </c>
      <c r="Y2" s="489" t="s">
        <v>440</v>
      </c>
      <c r="Z2" s="489" t="s">
        <v>441</v>
      </c>
      <c r="AA2" s="489" t="s">
        <v>442</v>
      </c>
      <c r="AB2" s="489" t="s">
        <v>443</v>
      </c>
      <c r="AC2" s="489" t="s">
        <v>444</v>
      </c>
      <c r="AD2" s="489" t="s">
        <v>445</v>
      </c>
      <c r="AE2" s="489" t="s">
        <v>446</v>
      </c>
      <c r="AF2" s="489" t="s">
        <v>447</v>
      </c>
      <c r="AG2" s="489" t="s">
        <v>448</v>
      </c>
      <c r="AH2" s="465">
        <v>45628.229173113403</v>
      </c>
    </row>
    <row r="3" spans="1:34">
      <c r="A3" s="466" t="s">
        <v>417</v>
      </c>
      <c r="B3" s="466" t="s">
        <v>449</v>
      </c>
      <c r="C3" s="466" t="s">
        <v>112</v>
      </c>
      <c r="D3" s="466" t="s">
        <v>106</v>
      </c>
      <c r="E3" s="466" t="s">
        <v>107</v>
      </c>
      <c r="F3" s="466" t="s">
        <v>108</v>
      </c>
      <c r="G3" s="466" t="s">
        <v>109</v>
      </c>
      <c r="H3" s="466" t="s">
        <v>110</v>
      </c>
      <c r="I3" s="466" t="s">
        <v>111</v>
      </c>
      <c r="J3" s="466" t="s">
        <v>112</v>
      </c>
      <c r="K3" s="466" t="s">
        <v>106</v>
      </c>
      <c r="L3" s="466" t="s">
        <v>107</v>
      </c>
      <c r="M3" s="466" t="s">
        <v>108</v>
      </c>
      <c r="N3" s="466" t="s">
        <v>109</v>
      </c>
      <c r="O3" s="466" t="s">
        <v>110</v>
      </c>
      <c r="P3" s="466" t="s">
        <v>111</v>
      </c>
      <c r="Q3" s="466" t="s">
        <v>112</v>
      </c>
      <c r="R3" s="466" t="s">
        <v>106</v>
      </c>
      <c r="S3" s="466" t="s">
        <v>107</v>
      </c>
      <c r="T3" s="466" t="s">
        <v>108</v>
      </c>
      <c r="U3" s="466" t="s">
        <v>109</v>
      </c>
      <c r="V3" s="466" t="s">
        <v>110</v>
      </c>
      <c r="W3" s="466" t="s">
        <v>111</v>
      </c>
      <c r="X3" s="466" t="s">
        <v>112</v>
      </c>
      <c r="Y3" s="466" t="s">
        <v>106</v>
      </c>
      <c r="Z3" s="466" t="s">
        <v>107</v>
      </c>
      <c r="AA3" s="466" t="s">
        <v>108</v>
      </c>
      <c r="AB3" s="466" t="s">
        <v>109</v>
      </c>
      <c r="AC3" s="466" t="s">
        <v>110</v>
      </c>
      <c r="AD3" s="466" t="s">
        <v>111</v>
      </c>
      <c r="AE3" s="466" t="s">
        <v>112</v>
      </c>
      <c r="AF3" s="466" t="s">
        <v>106</v>
      </c>
      <c r="AG3" s="466" t="s">
        <v>107</v>
      </c>
      <c r="AH3" s="465">
        <v>45628.229173113403</v>
      </c>
    </row>
    <row r="5" spans="1:34">
      <c r="C5" s="514"/>
    </row>
    <row r="6" spans="1:34">
      <c r="C6" s="5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N21" sqref="N21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451</v>
      </c>
      <c r="AI1" s="1" t="s">
        <v>452</v>
      </c>
    </row>
    <row r="2" spans="1:37">
      <c r="A2" s="1" t="s">
        <v>417</v>
      </c>
      <c r="B2" s="1" t="s">
        <v>453</v>
      </c>
      <c r="C2" s="1" t="s">
        <v>454</v>
      </c>
      <c r="D2" s="1" t="s">
        <v>455</v>
      </c>
      <c r="E2" s="1" t="s">
        <v>456</v>
      </c>
      <c r="F2" s="1" t="s">
        <v>457</v>
      </c>
      <c r="G2" s="1" t="s">
        <v>458</v>
      </c>
      <c r="H2" s="1" t="s">
        <v>459</v>
      </c>
      <c r="I2" s="1" t="s">
        <v>460</v>
      </c>
      <c r="J2" s="1" t="s">
        <v>461</v>
      </c>
      <c r="K2" s="1" t="s">
        <v>462</v>
      </c>
      <c r="L2" s="1" t="s">
        <v>463</v>
      </c>
      <c r="M2" s="1" t="s">
        <v>464</v>
      </c>
      <c r="N2" s="1" t="s">
        <v>465</v>
      </c>
      <c r="O2" s="1" t="s">
        <v>466</v>
      </c>
      <c r="P2" s="1" t="s">
        <v>467</v>
      </c>
      <c r="Q2" s="1" t="s">
        <v>468</v>
      </c>
      <c r="R2" s="1" t="s">
        <v>469</v>
      </c>
      <c r="S2" s="1" t="s">
        <v>470</v>
      </c>
      <c r="T2" s="1" t="s">
        <v>471</v>
      </c>
      <c r="U2" s="1" t="s">
        <v>472</v>
      </c>
      <c r="V2" s="1" t="s">
        <v>473</v>
      </c>
      <c r="W2" s="1" t="s">
        <v>474</v>
      </c>
      <c r="X2" s="1" t="s">
        <v>475</v>
      </c>
      <c r="Y2" s="1" t="s">
        <v>476</v>
      </c>
      <c r="Z2" s="1" t="s">
        <v>477</v>
      </c>
      <c r="AA2" s="306" t="s">
        <v>478</v>
      </c>
      <c r="AB2" s="1" t="s">
        <v>479</v>
      </c>
      <c r="AC2" s="1" t="s">
        <v>480</v>
      </c>
      <c r="AD2" s="1" t="s">
        <v>481</v>
      </c>
      <c r="AE2" s="1" t="s">
        <v>482</v>
      </c>
      <c r="AF2" s="1" t="s">
        <v>483</v>
      </c>
      <c r="AG2" s="1" t="s">
        <v>484</v>
      </c>
      <c r="AH2" s="1" t="s">
        <v>485</v>
      </c>
      <c r="AI2" s="1" t="s">
        <v>486</v>
      </c>
      <c r="AJ2">
        <v>214520184</v>
      </c>
      <c r="AK2" s="465">
        <v>43056.229202361101</v>
      </c>
    </row>
    <row r="3" spans="1:37">
      <c r="A3" s="1" t="s">
        <v>417</v>
      </c>
      <c r="B3" s="1" t="s">
        <v>487</v>
      </c>
      <c r="C3" s="1" t="s">
        <v>488</v>
      </c>
      <c r="D3" s="1" t="s">
        <v>489</v>
      </c>
      <c r="E3" s="1" t="s">
        <v>490</v>
      </c>
      <c r="F3" s="1" t="s">
        <v>491</v>
      </c>
      <c r="G3" s="1" t="s">
        <v>492</v>
      </c>
      <c r="H3" s="1" t="s">
        <v>493</v>
      </c>
      <c r="I3" s="1" t="s">
        <v>494</v>
      </c>
      <c r="J3" s="1" t="s">
        <v>495</v>
      </c>
      <c r="K3" s="1" t="s">
        <v>495</v>
      </c>
      <c r="L3" s="1" t="s">
        <v>496</v>
      </c>
      <c r="M3" s="1" t="s">
        <v>497</v>
      </c>
      <c r="N3" s="1" t="s">
        <v>498</v>
      </c>
      <c r="O3" s="1" t="s">
        <v>499</v>
      </c>
      <c r="P3" s="1" t="s">
        <v>500</v>
      </c>
      <c r="Q3" s="1" t="s">
        <v>501</v>
      </c>
      <c r="R3" s="1" t="s">
        <v>501</v>
      </c>
      <c r="S3" s="1" t="s">
        <v>502</v>
      </c>
      <c r="T3" s="1" t="s">
        <v>503</v>
      </c>
      <c r="U3" s="1" t="s">
        <v>504</v>
      </c>
      <c r="V3" s="1" t="s">
        <v>505</v>
      </c>
      <c r="W3" s="1" t="s">
        <v>506</v>
      </c>
      <c r="X3" s="1" t="s">
        <v>507</v>
      </c>
      <c r="Y3" s="1" t="s">
        <v>507</v>
      </c>
      <c r="Z3" s="1" t="s">
        <v>508</v>
      </c>
      <c r="AA3" s="1" t="s">
        <v>509</v>
      </c>
      <c r="AB3" s="1" t="s">
        <v>510</v>
      </c>
      <c r="AC3" s="1" t="s">
        <v>511</v>
      </c>
      <c r="AD3" s="1" t="s">
        <v>512</v>
      </c>
      <c r="AE3" s="1" t="s">
        <v>513</v>
      </c>
      <c r="AF3" s="1" t="s">
        <v>514</v>
      </c>
      <c r="AG3" s="1" t="s">
        <v>515</v>
      </c>
      <c r="AH3" s="1" t="s">
        <v>516</v>
      </c>
      <c r="AI3" s="1" t="s">
        <v>517</v>
      </c>
      <c r="AJ3">
        <v>129394202</v>
      </c>
      <c r="AK3" s="465">
        <v>43056.229202361101</v>
      </c>
    </row>
    <row r="4" spans="1:37">
      <c r="A4" s="1" t="s">
        <v>417</v>
      </c>
      <c r="B4" s="1" t="s">
        <v>518</v>
      </c>
      <c r="C4" s="1" t="s">
        <v>519</v>
      </c>
      <c r="D4" s="1" t="s">
        <v>519</v>
      </c>
      <c r="E4" s="1" t="s">
        <v>520</v>
      </c>
      <c r="F4" s="1" t="s">
        <v>521</v>
      </c>
      <c r="G4" s="1" t="s">
        <v>522</v>
      </c>
      <c r="H4" s="1" t="s">
        <v>523</v>
      </c>
      <c r="I4" s="1" t="s">
        <v>524</v>
      </c>
      <c r="J4" s="1" t="s">
        <v>525</v>
      </c>
      <c r="K4" s="1" t="s">
        <v>525</v>
      </c>
      <c r="L4" s="1" t="s">
        <v>526</v>
      </c>
      <c r="M4" s="1" t="s">
        <v>527</v>
      </c>
      <c r="N4" s="1" t="s">
        <v>528</v>
      </c>
      <c r="O4" s="1" t="s">
        <v>529</v>
      </c>
      <c r="P4" s="1" t="s">
        <v>530</v>
      </c>
      <c r="Q4" s="1" t="s">
        <v>531</v>
      </c>
      <c r="R4" s="1" t="s">
        <v>531</v>
      </c>
      <c r="S4" s="1" t="s">
        <v>532</v>
      </c>
      <c r="T4" s="1" t="s">
        <v>533</v>
      </c>
      <c r="U4" s="1" t="s">
        <v>534</v>
      </c>
      <c r="V4" s="1" t="s">
        <v>535</v>
      </c>
      <c r="W4" s="1" t="s">
        <v>536</v>
      </c>
      <c r="X4" s="1" t="s">
        <v>537</v>
      </c>
      <c r="Y4" s="1" t="s">
        <v>537</v>
      </c>
      <c r="Z4" s="1" t="s">
        <v>538</v>
      </c>
      <c r="AA4" s="1" t="s">
        <v>539</v>
      </c>
      <c r="AB4" s="1" t="s">
        <v>540</v>
      </c>
      <c r="AC4" s="1" t="s">
        <v>541</v>
      </c>
      <c r="AD4" s="1" t="s">
        <v>542</v>
      </c>
      <c r="AE4" s="1" t="s">
        <v>543</v>
      </c>
      <c r="AF4" s="1" t="s">
        <v>543</v>
      </c>
      <c r="AG4" s="1" t="s">
        <v>544</v>
      </c>
      <c r="AH4" s="1" t="s">
        <v>545</v>
      </c>
      <c r="AI4" s="1" t="s">
        <v>546</v>
      </c>
      <c r="AJ4">
        <v>7407477</v>
      </c>
      <c r="AK4" s="465">
        <v>43056.229202361101</v>
      </c>
    </row>
    <row r="5" spans="1:37">
      <c r="A5" s="1" t="s">
        <v>417</v>
      </c>
      <c r="B5" s="1" t="s">
        <v>547</v>
      </c>
      <c r="C5" s="1" t="s">
        <v>548</v>
      </c>
      <c r="D5" s="1" t="s">
        <v>548</v>
      </c>
      <c r="E5" s="1" t="s">
        <v>549</v>
      </c>
      <c r="F5" s="1" t="s">
        <v>550</v>
      </c>
      <c r="G5" s="1" t="s">
        <v>551</v>
      </c>
      <c r="H5" s="1" t="s">
        <v>552</v>
      </c>
      <c r="I5" s="1" t="s">
        <v>553</v>
      </c>
      <c r="J5" s="1" t="s">
        <v>554</v>
      </c>
      <c r="K5" s="1" t="s">
        <v>554</v>
      </c>
      <c r="L5" s="1" t="s">
        <v>555</v>
      </c>
      <c r="M5" s="1" t="s">
        <v>556</v>
      </c>
      <c r="N5" s="1" t="s">
        <v>557</v>
      </c>
      <c r="O5" s="1" t="s">
        <v>558</v>
      </c>
      <c r="P5" s="1" t="s">
        <v>559</v>
      </c>
      <c r="Q5" s="1" t="s">
        <v>560</v>
      </c>
      <c r="R5" s="1" t="s">
        <v>560</v>
      </c>
      <c r="S5" s="1" t="s">
        <v>561</v>
      </c>
      <c r="T5" s="1" t="s">
        <v>562</v>
      </c>
      <c r="U5" s="1" t="s">
        <v>563</v>
      </c>
      <c r="V5" s="1" t="s">
        <v>564</v>
      </c>
      <c r="W5" s="1" t="s">
        <v>565</v>
      </c>
      <c r="X5" s="1" t="s">
        <v>566</v>
      </c>
      <c r="Y5" s="1" t="s">
        <v>566</v>
      </c>
      <c r="Z5" s="1" t="s">
        <v>567</v>
      </c>
      <c r="AA5" s="1" t="s">
        <v>568</v>
      </c>
      <c r="AB5" s="1" t="s">
        <v>569</v>
      </c>
      <c r="AC5" s="1" t="s">
        <v>570</v>
      </c>
      <c r="AD5" s="1" t="s">
        <v>571</v>
      </c>
      <c r="AE5" s="1" t="s">
        <v>572</v>
      </c>
      <c r="AF5" s="1" t="s">
        <v>572</v>
      </c>
      <c r="AG5" s="1" t="s">
        <v>573</v>
      </c>
      <c r="AH5" s="1" t="s">
        <v>574</v>
      </c>
      <c r="AI5" s="1" t="s">
        <v>575</v>
      </c>
      <c r="AJ5">
        <v>19279658</v>
      </c>
      <c r="AK5" s="465">
        <v>43056.229202361101</v>
      </c>
    </row>
    <row r="6" spans="1:37">
      <c r="A6" s="1" t="s">
        <v>417</v>
      </c>
      <c r="B6" s="1" t="s">
        <v>576</v>
      </c>
      <c r="C6" s="1" t="s">
        <v>577</v>
      </c>
      <c r="D6" s="1" t="s">
        <v>578</v>
      </c>
      <c r="E6" s="1" t="s">
        <v>579</v>
      </c>
      <c r="F6" s="1" t="s">
        <v>580</v>
      </c>
      <c r="G6" s="1" t="s">
        <v>581</v>
      </c>
      <c r="H6" s="1" t="s">
        <v>582</v>
      </c>
      <c r="I6" s="1" t="s">
        <v>583</v>
      </c>
      <c r="J6" s="1" t="s">
        <v>584</v>
      </c>
      <c r="K6" s="1" t="s">
        <v>584</v>
      </c>
      <c r="L6" s="1" t="s">
        <v>585</v>
      </c>
      <c r="M6" s="1" t="s">
        <v>586</v>
      </c>
      <c r="N6" s="1" t="s">
        <v>587</v>
      </c>
      <c r="O6" s="1" t="s">
        <v>588</v>
      </c>
      <c r="P6" s="1" t="s">
        <v>589</v>
      </c>
      <c r="Q6" s="1" t="s">
        <v>590</v>
      </c>
      <c r="R6" s="1" t="s">
        <v>591</v>
      </c>
      <c r="S6" s="1" t="s">
        <v>592</v>
      </c>
      <c r="T6" s="1" t="s">
        <v>593</v>
      </c>
      <c r="U6" s="1" t="s">
        <v>594</v>
      </c>
      <c r="V6" s="1" t="s">
        <v>595</v>
      </c>
      <c r="W6" s="1" t="s">
        <v>596</v>
      </c>
      <c r="X6" s="1" t="s">
        <v>597</v>
      </c>
      <c r="Y6" s="1" t="s">
        <v>597</v>
      </c>
      <c r="Z6" s="1" t="s">
        <v>598</v>
      </c>
      <c r="AA6" s="1" t="s">
        <v>599</v>
      </c>
      <c r="AB6" s="1" t="s">
        <v>600</v>
      </c>
      <c r="AC6" s="1" t="s">
        <v>601</v>
      </c>
      <c r="AD6" s="1" t="s">
        <v>602</v>
      </c>
      <c r="AE6" s="1" t="s">
        <v>603</v>
      </c>
      <c r="AF6" s="1" t="s">
        <v>604</v>
      </c>
      <c r="AG6" s="1" t="s">
        <v>605</v>
      </c>
      <c r="AH6" s="1" t="s">
        <v>606</v>
      </c>
      <c r="AI6" s="1" t="s">
        <v>607</v>
      </c>
      <c r="AJ6">
        <v>19767518</v>
      </c>
      <c r="AK6" s="465">
        <v>43056.229202361101</v>
      </c>
    </row>
    <row r="7" spans="1:37">
      <c r="A7" s="1" t="s">
        <v>417</v>
      </c>
      <c r="B7" s="1" t="s">
        <v>608</v>
      </c>
      <c r="C7" s="1" t="s">
        <v>609</v>
      </c>
      <c r="D7" s="1" t="s">
        <v>609</v>
      </c>
      <c r="E7" s="1" t="s">
        <v>609</v>
      </c>
      <c r="F7" s="1" t="s">
        <v>609</v>
      </c>
      <c r="G7" s="1" t="s">
        <v>609</v>
      </c>
      <c r="H7" s="1" t="s">
        <v>609</v>
      </c>
      <c r="I7" s="1" t="s">
        <v>609</v>
      </c>
      <c r="J7" s="1" t="s">
        <v>609</v>
      </c>
      <c r="K7" s="1" t="s">
        <v>609</v>
      </c>
      <c r="L7" s="1" t="s">
        <v>609</v>
      </c>
      <c r="M7" s="1" t="s">
        <v>609</v>
      </c>
      <c r="N7" s="1" t="s">
        <v>609</v>
      </c>
      <c r="O7" s="1" t="s">
        <v>609</v>
      </c>
      <c r="P7" s="1" t="s">
        <v>609</v>
      </c>
      <c r="Q7" s="1" t="s">
        <v>609</v>
      </c>
      <c r="R7" s="1" t="s">
        <v>609</v>
      </c>
      <c r="S7" s="1" t="s">
        <v>609</v>
      </c>
      <c r="T7" s="1" t="s">
        <v>609</v>
      </c>
      <c r="U7" s="1" t="s">
        <v>609</v>
      </c>
      <c r="V7" s="1" t="s">
        <v>609</v>
      </c>
      <c r="W7" s="1" t="s">
        <v>609</v>
      </c>
      <c r="X7" s="1" t="s">
        <v>609</v>
      </c>
      <c r="Y7" s="1" t="s">
        <v>609</v>
      </c>
      <c r="Z7" s="1" t="s">
        <v>609</v>
      </c>
      <c r="AA7" s="1" t="s">
        <v>609</v>
      </c>
      <c r="AB7" s="1" t="s">
        <v>609</v>
      </c>
      <c r="AC7" s="1" t="s">
        <v>609</v>
      </c>
      <c r="AD7" s="1" t="s">
        <v>609</v>
      </c>
      <c r="AE7" s="1" t="s">
        <v>609</v>
      </c>
      <c r="AF7" s="1" t="s">
        <v>609</v>
      </c>
      <c r="AG7" s="1" t="s">
        <v>609</v>
      </c>
      <c r="AH7" s="1" t="s">
        <v>609</v>
      </c>
      <c r="AI7" s="1" t="s">
        <v>609</v>
      </c>
      <c r="AJ7">
        <v>0</v>
      </c>
      <c r="AK7" s="465">
        <v>43056.229202361101</v>
      </c>
    </row>
    <row r="8" spans="1:37">
      <c r="A8" s="1" t="s">
        <v>417</v>
      </c>
      <c r="B8" s="1" t="s">
        <v>610</v>
      </c>
      <c r="C8" s="1" t="s">
        <v>611</v>
      </c>
      <c r="D8" s="1" t="s">
        <v>611</v>
      </c>
      <c r="E8" s="1" t="s">
        <v>612</v>
      </c>
      <c r="F8" s="1" t="s">
        <v>613</v>
      </c>
      <c r="G8" s="1" t="s">
        <v>614</v>
      </c>
      <c r="H8" s="1" t="s">
        <v>615</v>
      </c>
      <c r="I8" s="1" t="s">
        <v>616</v>
      </c>
      <c r="J8" s="1" t="s">
        <v>617</v>
      </c>
      <c r="K8" s="1" t="s">
        <v>617</v>
      </c>
      <c r="L8" s="1" t="s">
        <v>618</v>
      </c>
      <c r="M8" s="1" t="s">
        <v>619</v>
      </c>
      <c r="N8" s="1" t="s">
        <v>620</v>
      </c>
      <c r="O8" s="1" t="s">
        <v>621</v>
      </c>
      <c r="P8" s="1" t="s">
        <v>622</v>
      </c>
      <c r="Q8" s="1" t="s">
        <v>623</v>
      </c>
      <c r="R8" s="1" t="s">
        <v>623</v>
      </c>
      <c r="S8" s="1" t="s">
        <v>624</v>
      </c>
      <c r="T8" s="1" t="s">
        <v>625</v>
      </c>
      <c r="U8" s="1" t="s">
        <v>626</v>
      </c>
      <c r="V8" s="1" t="s">
        <v>627</v>
      </c>
      <c r="W8" s="1" t="s">
        <v>628</v>
      </c>
      <c r="X8" s="1" t="s">
        <v>629</v>
      </c>
      <c r="Y8" s="1" t="s">
        <v>629</v>
      </c>
      <c r="Z8" s="1" t="s">
        <v>630</v>
      </c>
      <c r="AA8" s="1" t="s">
        <v>631</v>
      </c>
      <c r="AB8" s="1" t="s">
        <v>632</v>
      </c>
      <c r="AC8" s="1" t="s">
        <v>633</v>
      </c>
      <c r="AD8" s="1" t="s">
        <v>634</v>
      </c>
      <c r="AE8" s="1" t="s">
        <v>635</v>
      </c>
      <c r="AF8" s="1" t="s">
        <v>635</v>
      </c>
      <c r="AG8" s="1" t="s">
        <v>636</v>
      </c>
      <c r="AH8" s="1" t="s">
        <v>637</v>
      </c>
      <c r="AI8" s="1" t="s">
        <v>638</v>
      </c>
      <c r="AJ8">
        <v>7768697</v>
      </c>
      <c r="AK8" s="465">
        <v>43056.229202361101</v>
      </c>
    </row>
    <row r="9" spans="1:37">
      <c r="A9" s="1" t="s">
        <v>417</v>
      </c>
      <c r="B9" s="1" t="s">
        <v>639</v>
      </c>
      <c r="C9" s="1" t="s">
        <v>609</v>
      </c>
      <c r="D9" s="1" t="s">
        <v>609</v>
      </c>
      <c r="E9" s="1" t="s">
        <v>609</v>
      </c>
      <c r="F9" s="1" t="s">
        <v>609</v>
      </c>
      <c r="G9" s="1" t="s">
        <v>609</v>
      </c>
      <c r="H9" s="1" t="s">
        <v>609</v>
      </c>
      <c r="I9" s="1" t="s">
        <v>609</v>
      </c>
      <c r="J9" s="1" t="s">
        <v>609</v>
      </c>
      <c r="K9" s="1" t="s">
        <v>609</v>
      </c>
      <c r="L9" s="1" t="s">
        <v>609</v>
      </c>
      <c r="M9" s="1" t="s">
        <v>609</v>
      </c>
      <c r="N9" s="1" t="s">
        <v>609</v>
      </c>
      <c r="O9" s="1" t="s">
        <v>609</v>
      </c>
      <c r="P9" s="1" t="s">
        <v>609</v>
      </c>
      <c r="Q9" s="1" t="s">
        <v>609</v>
      </c>
      <c r="R9" s="1" t="s">
        <v>609</v>
      </c>
      <c r="S9" s="1" t="s">
        <v>609</v>
      </c>
      <c r="T9" s="1" t="s">
        <v>609</v>
      </c>
      <c r="U9" s="1" t="s">
        <v>609</v>
      </c>
      <c r="V9" s="1" t="s">
        <v>609</v>
      </c>
      <c r="W9" s="1" t="s">
        <v>609</v>
      </c>
      <c r="X9" s="1" t="s">
        <v>609</v>
      </c>
      <c r="Y9" s="1" t="s">
        <v>609</v>
      </c>
      <c r="Z9" s="1" t="s">
        <v>609</v>
      </c>
      <c r="AA9" s="1" t="s">
        <v>609</v>
      </c>
      <c r="AB9" s="1" t="s">
        <v>609</v>
      </c>
      <c r="AC9" s="1" t="s">
        <v>609</v>
      </c>
      <c r="AD9" s="1" t="s">
        <v>609</v>
      </c>
      <c r="AE9" s="1" t="s">
        <v>609</v>
      </c>
      <c r="AF9" s="1" t="s">
        <v>609</v>
      </c>
      <c r="AG9" s="1" t="s">
        <v>609</v>
      </c>
      <c r="AH9" s="1" t="s">
        <v>609</v>
      </c>
      <c r="AI9" s="1" t="s">
        <v>609</v>
      </c>
      <c r="AJ9">
        <v>0</v>
      </c>
      <c r="AK9" s="465">
        <v>43056.229202361101</v>
      </c>
    </row>
    <row r="10" spans="1:37">
      <c r="A10" s="1" t="s">
        <v>417</v>
      </c>
      <c r="B10" s="1" t="s">
        <v>640</v>
      </c>
      <c r="C10" s="1" t="s">
        <v>641</v>
      </c>
      <c r="D10" s="1" t="s">
        <v>641</v>
      </c>
      <c r="E10" s="1" t="s">
        <v>642</v>
      </c>
      <c r="F10" s="1" t="s">
        <v>643</v>
      </c>
      <c r="G10" s="1" t="s">
        <v>644</v>
      </c>
      <c r="H10" s="1" t="s">
        <v>645</v>
      </c>
      <c r="I10" s="1" t="s">
        <v>646</v>
      </c>
      <c r="J10" s="1" t="s">
        <v>647</v>
      </c>
      <c r="K10" s="1" t="s">
        <v>647</v>
      </c>
      <c r="L10" s="1" t="s">
        <v>648</v>
      </c>
      <c r="M10" s="1" t="s">
        <v>649</v>
      </c>
      <c r="N10" s="1" t="s">
        <v>650</v>
      </c>
      <c r="O10" s="1" t="s">
        <v>651</v>
      </c>
      <c r="P10" s="1" t="s">
        <v>652</v>
      </c>
      <c r="Q10" s="1" t="s">
        <v>653</v>
      </c>
      <c r="R10" s="1" t="s">
        <v>653</v>
      </c>
      <c r="S10" s="1" t="s">
        <v>654</v>
      </c>
      <c r="T10" s="1" t="s">
        <v>655</v>
      </c>
      <c r="U10" s="1" t="s">
        <v>656</v>
      </c>
      <c r="V10" s="1" t="s">
        <v>657</v>
      </c>
      <c r="W10" s="1" t="s">
        <v>658</v>
      </c>
      <c r="X10" s="1" t="s">
        <v>659</v>
      </c>
      <c r="Y10" s="1" t="s">
        <v>659</v>
      </c>
      <c r="Z10" s="1" t="s">
        <v>660</v>
      </c>
      <c r="AA10" s="1" t="s">
        <v>661</v>
      </c>
      <c r="AB10" s="1" t="s">
        <v>662</v>
      </c>
      <c r="AC10" s="1" t="s">
        <v>663</v>
      </c>
      <c r="AD10" s="1" t="s">
        <v>664</v>
      </c>
      <c r="AE10" s="1" t="s">
        <v>665</v>
      </c>
      <c r="AF10" s="1" t="s">
        <v>665</v>
      </c>
      <c r="AG10" s="1" t="s">
        <v>666</v>
      </c>
      <c r="AH10" s="1" t="s">
        <v>667</v>
      </c>
      <c r="AI10" s="1" t="s">
        <v>668</v>
      </c>
      <c r="AJ10">
        <v>2782946</v>
      </c>
      <c r="AK10" s="465">
        <v>43056.229202361101</v>
      </c>
    </row>
    <row r="11" spans="1:37">
      <c r="A11" s="1" t="s">
        <v>417</v>
      </c>
      <c r="B11" s="1" t="s">
        <v>669</v>
      </c>
      <c r="C11" s="1" t="s">
        <v>670</v>
      </c>
      <c r="D11" s="1" t="s">
        <v>670</v>
      </c>
      <c r="E11" s="1" t="s">
        <v>670</v>
      </c>
      <c r="F11" s="1" t="s">
        <v>670</v>
      </c>
      <c r="G11" s="1" t="s">
        <v>670</v>
      </c>
      <c r="H11" s="1" t="s">
        <v>670</v>
      </c>
      <c r="I11" s="1" t="s">
        <v>670</v>
      </c>
      <c r="J11" s="1" t="s">
        <v>670</v>
      </c>
      <c r="K11" s="1" t="s">
        <v>670</v>
      </c>
      <c r="L11" s="1" t="s">
        <v>670</v>
      </c>
      <c r="M11" s="1" t="s">
        <v>670</v>
      </c>
      <c r="N11" s="1" t="s">
        <v>670</v>
      </c>
      <c r="O11" s="1" t="s">
        <v>670</v>
      </c>
      <c r="P11" s="1" t="s">
        <v>670</v>
      </c>
      <c r="Q11" s="1" t="s">
        <v>670</v>
      </c>
      <c r="R11" s="1" t="s">
        <v>670</v>
      </c>
      <c r="S11" s="1" t="s">
        <v>670</v>
      </c>
      <c r="T11" s="1" t="s">
        <v>670</v>
      </c>
      <c r="U11" s="1" t="s">
        <v>671</v>
      </c>
      <c r="V11" s="1" t="s">
        <v>671</v>
      </c>
      <c r="W11" s="1" t="s">
        <v>671</v>
      </c>
      <c r="X11" s="1" t="s">
        <v>671</v>
      </c>
      <c r="Y11" s="1" t="s">
        <v>671</v>
      </c>
      <c r="Z11" s="1" t="s">
        <v>671</v>
      </c>
      <c r="AA11" s="1" t="s">
        <v>671</v>
      </c>
      <c r="AB11" s="1" t="s">
        <v>671</v>
      </c>
      <c r="AC11" s="1" t="s">
        <v>671</v>
      </c>
      <c r="AD11" s="1" t="s">
        <v>671</v>
      </c>
      <c r="AE11" s="1" t="s">
        <v>671</v>
      </c>
      <c r="AF11" s="1" t="s">
        <v>671</v>
      </c>
      <c r="AG11" s="1" t="s">
        <v>671</v>
      </c>
      <c r="AH11" s="1" t="s">
        <v>609</v>
      </c>
      <c r="AI11" s="1" t="s">
        <v>672</v>
      </c>
      <c r="AJ11">
        <v>118299</v>
      </c>
      <c r="AK11" s="465">
        <v>43056.229202361101</v>
      </c>
    </row>
    <row r="12" spans="1:37">
      <c r="A12" s="1" t="s">
        <v>417</v>
      </c>
      <c r="B12" s="1" t="s">
        <v>673</v>
      </c>
      <c r="C12" s="1" t="s">
        <v>674</v>
      </c>
      <c r="D12" s="1" t="s">
        <v>674</v>
      </c>
      <c r="E12" s="1" t="s">
        <v>674</v>
      </c>
      <c r="F12" s="1" t="s">
        <v>674</v>
      </c>
      <c r="G12" s="1" t="s">
        <v>674</v>
      </c>
      <c r="H12" s="1" t="s">
        <v>674</v>
      </c>
      <c r="I12" s="1" t="s">
        <v>674</v>
      </c>
      <c r="J12" s="1" t="s">
        <v>674</v>
      </c>
      <c r="K12" s="1" t="s">
        <v>674</v>
      </c>
      <c r="L12" s="1" t="s">
        <v>675</v>
      </c>
      <c r="M12" s="1" t="s">
        <v>675</v>
      </c>
      <c r="N12" s="1" t="s">
        <v>675</v>
      </c>
      <c r="O12" s="1" t="s">
        <v>675</v>
      </c>
      <c r="P12" s="1" t="s">
        <v>675</v>
      </c>
      <c r="Q12" s="1" t="s">
        <v>675</v>
      </c>
      <c r="R12" s="1" t="s">
        <v>675</v>
      </c>
      <c r="S12" s="1" t="s">
        <v>675</v>
      </c>
      <c r="T12" s="1" t="s">
        <v>675</v>
      </c>
      <c r="U12" s="1" t="s">
        <v>675</v>
      </c>
      <c r="V12" s="1" t="s">
        <v>675</v>
      </c>
      <c r="W12" s="1" t="s">
        <v>675</v>
      </c>
      <c r="X12" s="1" t="s">
        <v>675</v>
      </c>
      <c r="Y12" s="1" t="s">
        <v>675</v>
      </c>
      <c r="Z12" s="1" t="s">
        <v>675</v>
      </c>
      <c r="AA12" s="1" t="s">
        <v>675</v>
      </c>
      <c r="AB12" s="1" t="s">
        <v>675</v>
      </c>
      <c r="AC12" s="1" t="s">
        <v>675</v>
      </c>
      <c r="AD12" s="1" t="s">
        <v>675</v>
      </c>
      <c r="AE12" s="1" t="s">
        <v>675</v>
      </c>
      <c r="AF12" s="1" t="s">
        <v>675</v>
      </c>
      <c r="AG12" s="1" t="s">
        <v>675</v>
      </c>
      <c r="AH12" s="1" t="s">
        <v>609</v>
      </c>
      <c r="AI12" s="1" t="s">
        <v>676</v>
      </c>
      <c r="AJ12">
        <v>0</v>
      </c>
      <c r="AK12" s="465">
        <v>43056.229202361101</v>
      </c>
    </row>
    <row r="13" spans="1:37">
      <c r="A13" s="1" t="s">
        <v>417</v>
      </c>
      <c r="B13" s="1" t="s">
        <v>677</v>
      </c>
      <c r="C13" s="1" t="s">
        <v>678</v>
      </c>
      <c r="D13" s="1" t="s">
        <v>678</v>
      </c>
      <c r="E13" s="1" t="s">
        <v>679</v>
      </c>
      <c r="F13" s="1" t="s">
        <v>680</v>
      </c>
      <c r="G13" s="1" t="s">
        <v>681</v>
      </c>
      <c r="H13" s="1" t="s">
        <v>682</v>
      </c>
      <c r="I13" s="1" t="s">
        <v>683</v>
      </c>
      <c r="J13" s="1" t="s">
        <v>684</v>
      </c>
      <c r="K13" s="1" t="s">
        <v>684</v>
      </c>
      <c r="L13" s="1" t="s">
        <v>685</v>
      </c>
      <c r="M13" s="1" t="s">
        <v>686</v>
      </c>
      <c r="N13" s="1" t="s">
        <v>687</v>
      </c>
      <c r="O13" s="1" t="s">
        <v>688</v>
      </c>
      <c r="P13" s="1" t="s">
        <v>689</v>
      </c>
      <c r="Q13" s="1" t="s">
        <v>690</v>
      </c>
      <c r="R13" s="1" t="s">
        <v>690</v>
      </c>
      <c r="S13" s="1" t="s">
        <v>691</v>
      </c>
      <c r="T13" s="1" t="s">
        <v>692</v>
      </c>
      <c r="U13" s="1" t="s">
        <v>693</v>
      </c>
      <c r="V13" s="1" t="s">
        <v>694</v>
      </c>
      <c r="W13" s="1" t="s">
        <v>695</v>
      </c>
      <c r="X13" s="1" t="s">
        <v>696</v>
      </c>
      <c r="Y13" s="1" t="s">
        <v>696</v>
      </c>
      <c r="Z13" s="1" t="s">
        <v>697</v>
      </c>
      <c r="AA13" s="1" t="s">
        <v>698</v>
      </c>
      <c r="AB13" s="1" t="s">
        <v>699</v>
      </c>
      <c r="AC13" s="1" t="s">
        <v>700</v>
      </c>
      <c r="AD13" s="1" t="s">
        <v>701</v>
      </c>
      <c r="AE13" s="1" t="s">
        <v>702</v>
      </c>
      <c r="AF13" s="1" t="s">
        <v>702</v>
      </c>
      <c r="AG13" s="1" t="s">
        <v>703</v>
      </c>
      <c r="AH13" s="1" t="s">
        <v>704</v>
      </c>
      <c r="AI13" s="1" t="s">
        <v>705</v>
      </c>
      <c r="AJ13">
        <v>1823954</v>
      </c>
      <c r="AK13" s="465">
        <v>43056.229202361101</v>
      </c>
    </row>
    <row r="14" spans="1:37">
      <c r="A14" s="1" t="s">
        <v>417</v>
      </c>
      <c r="B14" s="1" t="s">
        <v>706</v>
      </c>
      <c r="C14" s="1" t="s">
        <v>707</v>
      </c>
      <c r="D14" s="1" t="s">
        <v>707</v>
      </c>
      <c r="E14" s="1" t="s">
        <v>708</v>
      </c>
      <c r="F14" s="1" t="s">
        <v>709</v>
      </c>
      <c r="G14" s="1" t="s">
        <v>710</v>
      </c>
      <c r="H14" s="1" t="s">
        <v>711</v>
      </c>
      <c r="I14" s="1" t="s">
        <v>712</v>
      </c>
      <c r="J14" s="1" t="s">
        <v>712</v>
      </c>
      <c r="K14" s="1" t="s">
        <v>712</v>
      </c>
      <c r="L14" s="1" t="s">
        <v>713</v>
      </c>
      <c r="M14" s="1" t="s">
        <v>714</v>
      </c>
      <c r="N14" s="1" t="s">
        <v>715</v>
      </c>
      <c r="O14" s="1" t="s">
        <v>716</v>
      </c>
      <c r="P14" s="1" t="s">
        <v>717</v>
      </c>
      <c r="Q14" s="1" t="s">
        <v>718</v>
      </c>
      <c r="R14" s="1" t="s">
        <v>718</v>
      </c>
      <c r="S14" s="1" t="s">
        <v>719</v>
      </c>
      <c r="T14" s="1" t="s">
        <v>720</v>
      </c>
      <c r="U14" s="1" t="s">
        <v>721</v>
      </c>
      <c r="V14" s="1" t="s">
        <v>722</v>
      </c>
      <c r="W14" s="1" t="s">
        <v>723</v>
      </c>
      <c r="X14" s="1" t="s">
        <v>724</v>
      </c>
      <c r="Y14" s="1" t="s">
        <v>724</v>
      </c>
      <c r="Z14" s="1" t="s">
        <v>724</v>
      </c>
      <c r="AA14" s="1" t="s">
        <v>725</v>
      </c>
      <c r="AB14" s="1" t="s">
        <v>726</v>
      </c>
      <c r="AC14" s="1" t="s">
        <v>727</v>
      </c>
      <c r="AD14" s="1" t="s">
        <v>728</v>
      </c>
      <c r="AE14" s="1" t="s">
        <v>729</v>
      </c>
      <c r="AF14" s="1" t="s">
        <v>729</v>
      </c>
      <c r="AG14" s="1" t="s">
        <v>729</v>
      </c>
      <c r="AH14" s="1" t="s">
        <v>609</v>
      </c>
      <c r="AI14" s="1" t="s">
        <v>730</v>
      </c>
      <c r="AJ14">
        <v>542080</v>
      </c>
      <c r="AK14" s="465">
        <v>43056.229202361101</v>
      </c>
    </row>
    <row r="15" spans="1:37">
      <c r="A15" s="1" t="s">
        <v>417</v>
      </c>
      <c r="B15" s="1" t="s">
        <v>731</v>
      </c>
      <c r="C15" s="1" t="s">
        <v>732</v>
      </c>
      <c r="D15" s="1" t="s">
        <v>732</v>
      </c>
      <c r="E15" s="1" t="s">
        <v>732</v>
      </c>
      <c r="F15" s="1" t="s">
        <v>732</v>
      </c>
      <c r="G15" s="1" t="s">
        <v>732</v>
      </c>
      <c r="H15" s="1" t="s">
        <v>732</v>
      </c>
      <c r="I15" s="1" t="s">
        <v>732</v>
      </c>
      <c r="J15" s="1" t="s">
        <v>732</v>
      </c>
      <c r="K15" s="1" t="s">
        <v>732</v>
      </c>
      <c r="L15" s="1" t="s">
        <v>733</v>
      </c>
      <c r="M15" s="1" t="s">
        <v>732</v>
      </c>
      <c r="N15" s="1" t="s">
        <v>732</v>
      </c>
      <c r="O15" s="1" t="s">
        <v>732</v>
      </c>
      <c r="P15" s="1" t="s">
        <v>732</v>
      </c>
      <c r="Q15" s="1" t="s">
        <v>732</v>
      </c>
      <c r="R15" s="1" t="s">
        <v>732</v>
      </c>
      <c r="S15" s="1" t="s">
        <v>732</v>
      </c>
      <c r="T15" s="1" t="s">
        <v>732</v>
      </c>
      <c r="U15" s="1" t="s">
        <v>732</v>
      </c>
      <c r="V15" s="1" t="s">
        <v>732</v>
      </c>
      <c r="W15" s="1" t="s">
        <v>732</v>
      </c>
      <c r="X15" s="1" t="s">
        <v>732</v>
      </c>
      <c r="Y15" s="1" t="s">
        <v>732</v>
      </c>
      <c r="Z15" s="1" t="s">
        <v>732</v>
      </c>
      <c r="AA15" s="1" t="s">
        <v>732</v>
      </c>
      <c r="AB15" s="1" t="s">
        <v>732</v>
      </c>
      <c r="AC15" s="1" t="s">
        <v>732</v>
      </c>
      <c r="AD15" s="1" t="s">
        <v>732</v>
      </c>
      <c r="AE15" s="1" t="s">
        <v>732</v>
      </c>
      <c r="AF15" s="1" t="s">
        <v>732</v>
      </c>
      <c r="AG15" s="1" t="s">
        <v>732</v>
      </c>
      <c r="AH15" s="1" t="s">
        <v>609</v>
      </c>
      <c r="AI15" s="1" t="s">
        <v>734</v>
      </c>
      <c r="AJ15">
        <v>3162040</v>
      </c>
      <c r="AK15" s="465">
        <v>43056.229202361101</v>
      </c>
    </row>
    <row r="16" spans="1:37">
      <c r="A16" s="1" t="s">
        <v>417</v>
      </c>
      <c r="B16" s="1" t="s">
        <v>735</v>
      </c>
      <c r="C16" s="1" t="s">
        <v>736</v>
      </c>
      <c r="D16" s="1" t="s">
        <v>736</v>
      </c>
      <c r="E16" s="1" t="s">
        <v>737</v>
      </c>
      <c r="F16" s="1" t="s">
        <v>738</v>
      </c>
      <c r="G16" s="1" t="s">
        <v>739</v>
      </c>
      <c r="H16" s="1" t="s">
        <v>740</v>
      </c>
      <c r="I16" s="1" t="s">
        <v>741</v>
      </c>
      <c r="J16" s="1" t="s">
        <v>742</v>
      </c>
      <c r="K16" s="1" t="s">
        <v>742</v>
      </c>
      <c r="L16" s="1" t="s">
        <v>743</v>
      </c>
      <c r="M16" s="1" t="s">
        <v>744</v>
      </c>
      <c r="N16" s="1" t="s">
        <v>745</v>
      </c>
      <c r="O16" s="1" t="s">
        <v>746</v>
      </c>
      <c r="P16" s="1" t="s">
        <v>747</v>
      </c>
      <c r="Q16" s="1" t="s">
        <v>748</v>
      </c>
      <c r="R16" s="1" t="s">
        <v>748</v>
      </c>
      <c r="S16" s="1" t="s">
        <v>749</v>
      </c>
      <c r="T16" s="1" t="s">
        <v>750</v>
      </c>
      <c r="U16" s="1" t="s">
        <v>751</v>
      </c>
      <c r="V16" s="1" t="s">
        <v>752</v>
      </c>
      <c r="W16" s="1" t="s">
        <v>753</v>
      </c>
      <c r="X16" s="1" t="s">
        <v>754</v>
      </c>
      <c r="Y16" s="1" t="s">
        <v>754</v>
      </c>
      <c r="Z16" s="1" t="s">
        <v>755</v>
      </c>
      <c r="AA16" s="1" t="s">
        <v>756</v>
      </c>
      <c r="AB16" s="1" t="s">
        <v>757</v>
      </c>
      <c r="AC16" s="1" t="s">
        <v>758</v>
      </c>
      <c r="AD16" s="1" t="s">
        <v>759</v>
      </c>
      <c r="AE16" s="1" t="s">
        <v>760</v>
      </c>
      <c r="AF16" s="1" t="s">
        <v>760</v>
      </c>
      <c r="AG16" s="1" t="s">
        <v>761</v>
      </c>
      <c r="AH16" s="1" t="s">
        <v>762</v>
      </c>
      <c r="AI16" s="1" t="s">
        <v>763</v>
      </c>
      <c r="AJ16">
        <v>9930178</v>
      </c>
      <c r="AK16" s="465">
        <v>43056.229202361101</v>
      </c>
    </row>
    <row r="17" spans="1:37">
      <c r="A17" s="1" t="s">
        <v>417</v>
      </c>
      <c r="B17" s="1" t="s">
        <v>764</v>
      </c>
      <c r="C17" s="1" t="s">
        <v>765</v>
      </c>
      <c r="D17" s="1" t="s">
        <v>765</v>
      </c>
      <c r="E17" s="1" t="s">
        <v>766</v>
      </c>
      <c r="F17" s="1" t="s">
        <v>767</v>
      </c>
      <c r="G17" s="1" t="s">
        <v>768</v>
      </c>
      <c r="H17" s="1" t="s">
        <v>769</v>
      </c>
      <c r="I17" s="1" t="s">
        <v>770</v>
      </c>
      <c r="J17" s="1" t="s">
        <v>771</v>
      </c>
      <c r="K17" s="1" t="s">
        <v>771</v>
      </c>
      <c r="L17" s="1" t="s">
        <v>772</v>
      </c>
      <c r="M17" s="1" t="s">
        <v>773</v>
      </c>
      <c r="N17" s="1" t="s">
        <v>774</v>
      </c>
      <c r="O17" s="1" t="s">
        <v>775</v>
      </c>
      <c r="P17" s="1" t="s">
        <v>776</v>
      </c>
      <c r="Q17" s="1" t="s">
        <v>777</v>
      </c>
      <c r="R17" s="1" t="s">
        <v>777</v>
      </c>
      <c r="S17" s="1" t="s">
        <v>778</v>
      </c>
      <c r="T17" s="1" t="s">
        <v>779</v>
      </c>
      <c r="U17" s="1" t="s">
        <v>780</v>
      </c>
      <c r="V17" s="1" t="s">
        <v>781</v>
      </c>
      <c r="W17" s="1" t="s">
        <v>782</v>
      </c>
      <c r="X17" s="1" t="s">
        <v>783</v>
      </c>
      <c r="Y17" s="1" t="s">
        <v>783</v>
      </c>
      <c r="Z17" s="1" t="s">
        <v>784</v>
      </c>
      <c r="AA17" s="1" t="s">
        <v>785</v>
      </c>
      <c r="AB17" s="1" t="s">
        <v>786</v>
      </c>
      <c r="AC17" s="1" t="s">
        <v>787</v>
      </c>
      <c r="AD17" s="1" t="s">
        <v>788</v>
      </c>
      <c r="AE17" s="1" t="s">
        <v>789</v>
      </c>
      <c r="AF17" s="1" t="s">
        <v>789</v>
      </c>
      <c r="AG17" s="1" t="s">
        <v>790</v>
      </c>
      <c r="AH17" s="1" t="s">
        <v>791</v>
      </c>
      <c r="AI17" s="1" t="s">
        <v>792</v>
      </c>
      <c r="AJ17">
        <v>12733138</v>
      </c>
      <c r="AK17" s="465">
        <v>43056.229202361101</v>
      </c>
    </row>
    <row r="18" spans="1:37">
      <c r="A18" s="1" t="s">
        <v>417</v>
      </c>
      <c r="B18" s="464" t="s">
        <v>793</v>
      </c>
      <c r="C18" s="1" t="s">
        <v>794</v>
      </c>
      <c r="D18" s="1" t="s">
        <v>794</v>
      </c>
      <c r="E18" s="1" t="s">
        <v>795</v>
      </c>
      <c r="F18" s="1" t="s">
        <v>796</v>
      </c>
      <c r="G18" s="1" t="s">
        <v>797</v>
      </c>
      <c r="H18" s="1" t="s">
        <v>798</v>
      </c>
      <c r="I18" s="1" t="s">
        <v>799</v>
      </c>
      <c r="J18" s="1" t="s">
        <v>800</v>
      </c>
      <c r="K18" s="1" t="s">
        <v>800</v>
      </c>
      <c r="L18" s="1" t="s">
        <v>801</v>
      </c>
      <c r="M18" s="1" t="s">
        <v>802</v>
      </c>
      <c r="N18" s="1" t="s">
        <v>803</v>
      </c>
      <c r="O18" s="1" t="s">
        <v>804</v>
      </c>
      <c r="P18" s="1" t="s">
        <v>805</v>
      </c>
      <c r="Q18" s="1" t="s">
        <v>806</v>
      </c>
      <c r="R18" s="1" t="s">
        <v>806</v>
      </c>
      <c r="S18" s="1" t="s">
        <v>807</v>
      </c>
      <c r="T18" s="1" t="s">
        <v>808</v>
      </c>
      <c r="U18" s="1" t="s">
        <v>809</v>
      </c>
      <c r="V18" s="1" t="s">
        <v>810</v>
      </c>
      <c r="W18" s="1" t="s">
        <v>811</v>
      </c>
      <c r="X18" s="1" t="s">
        <v>812</v>
      </c>
      <c r="Y18" s="1" t="s">
        <v>812</v>
      </c>
      <c r="Z18" s="1" t="s">
        <v>813</v>
      </c>
      <c r="AA18" s="1" t="s">
        <v>814</v>
      </c>
      <c r="AB18" s="1" t="s">
        <v>815</v>
      </c>
      <c r="AC18" s="1" t="s">
        <v>816</v>
      </c>
      <c r="AD18" s="1" t="s">
        <v>817</v>
      </c>
      <c r="AE18" s="1" t="s">
        <v>818</v>
      </c>
      <c r="AF18" s="1" t="s">
        <v>818</v>
      </c>
      <c r="AG18" s="1" t="s">
        <v>819</v>
      </c>
      <c r="AH18" s="1" t="s">
        <v>820</v>
      </c>
      <c r="AI18" s="1" t="s">
        <v>821</v>
      </c>
      <c r="AJ18">
        <v>948824</v>
      </c>
      <c r="AK18" s="465">
        <v>43056.229202361101</v>
      </c>
    </row>
    <row r="19" spans="1:37">
      <c r="A19" s="1" t="s">
        <v>417</v>
      </c>
      <c r="B19" s="1" t="s">
        <v>822</v>
      </c>
      <c r="C19" s="1" t="s">
        <v>823</v>
      </c>
      <c r="D19" s="1" t="s">
        <v>823</v>
      </c>
      <c r="E19" s="1" t="s">
        <v>823</v>
      </c>
      <c r="F19" s="1" t="s">
        <v>823</v>
      </c>
      <c r="G19" s="1" t="s">
        <v>823</v>
      </c>
      <c r="H19" s="1" t="s">
        <v>823</v>
      </c>
      <c r="I19" s="1" t="s">
        <v>823</v>
      </c>
      <c r="J19" s="1" t="s">
        <v>823</v>
      </c>
      <c r="K19" s="1" t="s">
        <v>823</v>
      </c>
      <c r="L19" s="1" t="s">
        <v>823</v>
      </c>
      <c r="M19" s="1" t="s">
        <v>823</v>
      </c>
      <c r="N19" s="1" t="s">
        <v>823</v>
      </c>
      <c r="O19" s="1" t="s">
        <v>823</v>
      </c>
      <c r="P19" s="1" t="s">
        <v>823</v>
      </c>
      <c r="Q19" s="1" t="s">
        <v>823</v>
      </c>
      <c r="R19" s="1" t="s">
        <v>823</v>
      </c>
      <c r="S19" s="1" t="s">
        <v>823</v>
      </c>
      <c r="T19" s="1" t="s">
        <v>823</v>
      </c>
      <c r="U19" s="1" t="s">
        <v>823</v>
      </c>
      <c r="V19" s="1" t="s">
        <v>823</v>
      </c>
      <c r="W19" s="1" t="s">
        <v>823</v>
      </c>
      <c r="X19" s="1" t="s">
        <v>823</v>
      </c>
      <c r="Y19" s="1" t="s">
        <v>823</v>
      </c>
      <c r="Z19" s="1" t="s">
        <v>823</v>
      </c>
      <c r="AA19" s="1" t="s">
        <v>823</v>
      </c>
      <c r="AB19" s="1" t="s">
        <v>823</v>
      </c>
      <c r="AC19" s="1" t="s">
        <v>823</v>
      </c>
      <c r="AD19" s="1" t="s">
        <v>823</v>
      </c>
      <c r="AE19" s="1" t="s">
        <v>823</v>
      </c>
      <c r="AF19" s="1" t="s">
        <v>823</v>
      </c>
      <c r="AG19" s="1" t="s">
        <v>823</v>
      </c>
      <c r="AH19" s="1" t="s">
        <v>609</v>
      </c>
      <c r="AI19" s="1" t="s">
        <v>823</v>
      </c>
      <c r="AJ19">
        <v>1995934</v>
      </c>
      <c r="AK19" s="465">
        <v>43056.229202361101</v>
      </c>
    </row>
    <row r="20" spans="1:37">
      <c r="A20" s="1" t="s">
        <v>417</v>
      </c>
      <c r="B20" s="1" t="s">
        <v>824</v>
      </c>
      <c r="C20" s="1" t="s">
        <v>825</v>
      </c>
      <c r="D20" s="1" t="s">
        <v>825</v>
      </c>
      <c r="E20" s="1" t="s">
        <v>825</v>
      </c>
      <c r="F20" s="1" t="s">
        <v>825</v>
      </c>
      <c r="G20" s="1" t="s">
        <v>825</v>
      </c>
      <c r="H20" s="1" t="s">
        <v>825</v>
      </c>
      <c r="I20" s="1" t="s">
        <v>825</v>
      </c>
      <c r="J20" s="1" t="s">
        <v>825</v>
      </c>
      <c r="K20" s="1" t="s">
        <v>825</v>
      </c>
      <c r="L20" s="1" t="s">
        <v>825</v>
      </c>
      <c r="M20" s="1" t="s">
        <v>825</v>
      </c>
      <c r="N20" s="1" t="s">
        <v>825</v>
      </c>
      <c r="O20" s="1" t="s">
        <v>825</v>
      </c>
      <c r="P20" s="1" t="s">
        <v>825</v>
      </c>
      <c r="Q20" s="1" t="s">
        <v>825</v>
      </c>
      <c r="R20" s="1" t="s">
        <v>825</v>
      </c>
      <c r="S20" s="1" t="s">
        <v>825</v>
      </c>
      <c r="T20" s="1" t="s">
        <v>825</v>
      </c>
      <c r="U20" s="1" t="s">
        <v>825</v>
      </c>
      <c r="V20" s="1" t="s">
        <v>825</v>
      </c>
      <c r="W20" s="1" t="s">
        <v>825</v>
      </c>
      <c r="X20" s="1" t="s">
        <v>825</v>
      </c>
      <c r="Y20" s="1" t="s">
        <v>825</v>
      </c>
      <c r="Z20" s="1" t="s">
        <v>825</v>
      </c>
      <c r="AA20" s="1" t="s">
        <v>825</v>
      </c>
      <c r="AB20" s="1" t="s">
        <v>825</v>
      </c>
      <c r="AC20" s="1" t="s">
        <v>825</v>
      </c>
      <c r="AD20" s="1" t="s">
        <v>825</v>
      </c>
      <c r="AE20" s="1" t="s">
        <v>825</v>
      </c>
      <c r="AF20" s="1" t="s">
        <v>825</v>
      </c>
      <c r="AG20" s="1" t="s">
        <v>825</v>
      </c>
      <c r="AH20" s="1" t="s">
        <v>609</v>
      </c>
      <c r="AI20" s="1" t="s">
        <v>825</v>
      </c>
      <c r="AJ20">
        <v>10676173</v>
      </c>
      <c r="AK20" s="465">
        <v>43056.229202361101</v>
      </c>
    </row>
    <row r="21" spans="1:37">
      <c r="A21" s="1" t="s">
        <v>417</v>
      </c>
      <c r="B21" s="1" t="s">
        <v>826</v>
      </c>
      <c r="C21" s="1" t="s">
        <v>827</v>
      </c>
      <c r="D21" s="1" t="s">
        <v>827</v>
      </c>
      <c r="E21" s="1" t="s">
        <v>827</v>
      </c>
      <c r="F21" s="1" t="s">
        <v>827</v>
      </c>
      <c r="G21" s="1" t="s">
        <v>827</v>
      </c>
      <c r="H21" s="1" t="s">
        <v>827</v>
      </c>
      <c r="I21" s="1" t="s">
        <v>828</v>
      </c>
      <c r="J21" s="1" t="s">
        <v>828</v>
      </c>
      <c r="K21" s="1" t="s">
        <v>828</v>
      </c>
      <c r="L21" s="1" t="s">
        <v>828</v>
      </c>
      <c r="M21" s="1" t="s">
        <v>828</v>
      </c>
      <c r="N21" s="1" t="s">
        <v>828</v>
      </c>
      <c r="O21" s="1" t="s">
        <v>828</v>
      </c>
      <c r="P21" s="1" t="s">
        <v>828</v>
      </c>
      <c r="Q21" s="1" t="s">
        <v>828</v>
      </c>
      <c r="R21" s="1" t="s">
        <v>828</v>
      </c>
      <c r="S21" s="1" t="s">
        <v>828</v>
      </c>
      <c r="T21" s="1" t="s">
        <v>828</v>
      </c>
      <c r="U21" s="1" t="s">
        <v>828</v>
      </c>
      <c r="V21" s="1" t="s">
        <v>828</v>
      </c>
      <c r="W21" s="1" t="s">
        <v>828</v>
      </c>
      <c r="X21" s="1" t="s">
        <v>828</v>
      </c>
      <c r="Y21" s="1" t="s">
        <v>828</v>
      </c>
      <c r="Z21" s="1" t="s">
        <v>828</v>
      </c>
      <c r="AA21" s="1" t="s">
        <v>828</v>
      </c>
      <c r="AB21" s="1" t="s">
        <v>828</v>
      </c>
      <c r="AC21" s="1" t="s">
        <v>828</v>
      </c>
      <c r="AD21" s="1" t="s">
        <v>828</v>
      </c>
      <c r="AE21" s="1" t="s">
        <v>828</v>
      </c>
      <c r="AF21" s="1" t="s">
        <v>828</v>
      </c>
      <c r="AG21" s="1" t="s">
        <v>828</v>
      </c>
      <c r="AH21" s="1" t="s">
        <v>609</v>
      </c>
      <c r="AI21" s="1" t="s">
        <v>829</v>
      </c>
      <c r="AJ21">
        <v>10660622</v>
      </c>
      <c r="AK21" s="465">
        <v>43056.229202361101</v>
      </c>
    </row>
    <row r="22" spans="1:37">
      <c r="A22" s="1" t="s">
        <v>417</v>
      </c>
      <c r="B22" s="1" t="s">
        <v>830</v>
      </c>
      <c r="C22" s="1" t="s">
        <v>609</v>
      </c>
      <c r="D22" s="1" t="s">
        <v>609</v>
      </c>
      <c r="E22" s="1" t="s">
        <v>609</v>
      </c>
      <c r="F22" s="1" t="s">
        <v>609</v>
      </c>
      <c r="G22" s="1" t="s">
        <v>609</v>
      </c>
      <c r="H22" s="1" t="s">
        <v>609</v>
      </c>
      <c r="I22" s="1" t="s">
        <v>609</v>
      </c>
      <c r="J22" s="1" t="s">
        <v>609</v>
      </c>
      <c r="K22" s="1" t="s">
        <v>609</v>
      </c>
      <c r="L22" s="1" t="s">
        <v>609</v>
      </c>
      <c r="M22" s="1" t="s">
        <v>609</v>
      </c>
      <c r="N22" s="1" t="s">
        <v>609</v>
      </c>
      <c r="O22" s="1" t="s">
        <v>609</v>
      </c>
      <c r="P22" s="1" t="s">
        <v>609</v>
      </c>
      <c r="Q22" s="1" t="s">
        <v>609</v>
      </c>
      <c r="R22" s="1" t="s">
        <v>609</v>
      </c>
      <c r="S22" s="1" t="s">
        <v>609</v>
      </c>
      <c r="T22" s="1" t="s">
        <v>609</v>
      </c>
      <c r="U22" s="1" t="s">
        <v>609</v>
      </c>
      <c r="V22" s="1" t="s">
        <v>609</v>
      </c>
      <c r="W22" s="1" t="s">
        <v>609</v>
      </c>
      <c r="X22" s="1" t="s">
        <v>609</v>
      </c>
      <c r="Y22" s="1" t="s">
        <v>609</v>
      </c>
      <c r="Z22" s="1" t="s">
        <v>609</v>
      </c>
      <c r="AA22" s="1" t="s">
        <v>609</v>
      </c>
      <c r="AB22" s="1" t="s">
        <v>609</v>
      </c>
      <c r="AC22" s="1" t="s">
        <v>609</v>
      </c>
      <c r="AD22" s="1" t="s">
        <v>609</v>
      </c>
      <c r="AE22" s="1" t="s">
        <v>609</v>
      </c>
      <c r="AF22" s="1" t="s">
        <v>609</v>
      </c>
      <c r="AG22" s="1" t="s">
        <v>609</v>
      </c>
      <c r="AH22" s="1" t="s">
        <v>609</v>
      </c>
      <c r="AI22" s="1" t="s">
        <v>609</v>
      </c>
      <c r="AJ22">
        <v>473816</v>
      </c>
      <c r="AK22" s="465">
        <v>43056.229202361101</v>
      </c>
    </row>
    <row r="23" spans="1:37">
      <c r="A23" s="1" t="s">
        <v>417</v>
      </c>
      <c r="B23" s="464" t="s">
        <v>831</v>
      </c>
      <c r="C23" s="1" t="s">
        <v>609</v>
      </c>
      <c r="D23" s="1" t="s">
        <v>609</v>
      </c>
      <c r="E23" s="1" t="s">
        <v>609</v>
      </c>
      <c r="F23" s="1" t="s">
        <v>609</v>
      </c>
      <c r="G23" s="1" t="s">
        <v>609</v>
      </c>
      <c r="H23" s="1" t="s">
        <v>609</v>
      </c>
      <c r="I23" s="1" t="s">
        <v>609</v>
      </c>
      <c r="J23" s="1" t="s">
        <v>609</v>
      </c>
      <c r="K23" s="1" t="s">
        <v>609</v>
      </c>
      <c r="L23" s="1" t="s">
        <v>609</v>
      </c>
      <c r="M23" s="1" t="s">
        <v>609</v>
      </c>
      <c r="N23" s="1" t="s">
        <v>609</v>
      </c>
      <c r="O23" s="1" t="s">
        <v>609</v>
      </c>
      <c r="P23" s="1" t="s">
        <v>609</v>
      </c>
      <c r="Q23" s="1" t="s">
        <v>609</v>
      </c>
      <c r="R23" s="1" t="s">
        <v>609</v>
      </c>
      <c r="S23" s="1" t="s">
        <v>609</v>
      </c>
      <c r="T23" s="1" t="s">
        <v>609</v>
      </c>
      <c r="U23" s="1" t="s">
        <v>609</v>
      </c>
      <c r="V23" s="1" t="s">
        <v>609</v>
      </c>
      <c r="W23" s="1" t="s">
        <v>609</v>
      </c>
      <c r="X23" s="1" t="s">
        <v>609</v>
      </c>
      <c r="Y23" s="1" t="s">
        <v>609</v>
      </c>
      <c r="Z23" s="1" t="s">
        <v>609</v>
      </c>
      <c r="AA23" s="1" t="s">
        <v>609</v>
      </c>
      <c r="AB23" s="1" t="s">
        <v>609</v>
      </c>
      <c r="AC23" s="1" t="s">
        <v>609</v>
      </c>
      <c r="AD23" s="1" t="s">
        <v>609</v>
      </c>
      <c r="AE23" s="1" t="s">
        <v>609</v>
      </c>
      <c r="AF23" s="1" t="s">
        <v>609</v>
      </c>
      <c r="AG23" s="1" t="s">
        <v>609</v>
      </c>
      <c r="AH23" s="1" t="s">
        <v>609</v>
      </c>
      <c r="AI23" s="1" t="s">
        <v>609</v>
      </c>
      <c r="AJ23">
        <v>732707</v>
      </c>
      <c r="AK23" s="465">
        <v>43056.229202361101</v>
      </c>
    </row>
    <row r="24" spans="1:37">
      <c r="A24" s="1" t="s">
        <v>417</v>
      </c>
      <c r="B24" s="464" t="s">
        <v>832</v>
      </c>
      <c r="C24" s="1" t="s">
        <v>833</v>
      </c>
      <c r="D24" s="1" t="s">
        <v>833</v>
      </c>
      <c r="E24" s="1" t="s">
        <v>834</v>
      </c>
      <c r="F24" s="1" t="s">
        <v>835</v>
      </c>
      <c r="G24" s="1" t="s">
        <v>836</v>
      </c>
      <c r="H24" s="1" t="s">
        <v>837</v>
      </c>
      <c r="I24" s="1" t="s">
        <v>838</v>
      </c>
      <c r="J24" s="1" t="s">
        <v>839</v>
      </c>
      <c r="K24" s="1" t="s">
        <v>839</v>
      </c>
      <c r="L24" s="1" t="s">
        <v>840</v>
      </c>
      <c r="M24" s="1" t="s">
        <v>841</v>
      </c>
      <c r="N24" s="1" t="s">
        <v>842</v>
      </c>
      <c r="O24" s="1" t="s">
        <v>843</v>
      </c>
      <c r="P24" s="1" t="s">
        <v>844</v>
      </c>
      <c r="Q24" s="1" t="s">
        <v>845</v>
      </c>
      <c r="R24" s="1" t="s">
        <v>845</v>
      </c>
      <c r="S24" s="1" t="s">
        <v>846</v>
      </c>
      <c r="T24" s="1" t="s">
        <v>847</v>
      </c>
      <c r="U24" s="1" t="s">
        <v>848</v>
      </c>
      <c r="V24" s="1" t="s">
        <v>849</v>
      </c>
      <c r="W24" s="1" t="s">
        <v>850</v>
      </c>
      <c r="X24" s="1" t="s">
        <v>851</v>
      </c>
      <c r="Y24" s="1" t="s">
        <v>851</v>
      </c>
      <c r="Z24" s="1" t="s">
        <v>852</v>
      </c>
      <c r="AA24" s="1" t="s">
        <v>853</v>
      </c>
      <c r="AB24" s="1" t="s">
        <v>854</v>
      </c>
      <c r="AC24" s="1" t="s">
        <v>855</v>
      </c>
      <c r="AD24" s="1" t="s">
        <v>856</v>
      </c>
      <c r="AE24" s="1" t="s">
        <v>857</v>
      </c>
      <c r="AF24" s="1" t="s">
        <v>857</v>
      </c>
      <c r="AG24" s="1" t="s">
        <v>858</v>
      </c>
      <c r="AH24" s="1" t="s">
        <v>859</v>
      </c>
      <c r="AI24" s="1" t="s">
        <v>860</v>
      </c>
      <c r="AJ24">
        <v>884880</v>
      </c>
      <c r="AK24" s="465">
        <v>43056.229202361101</v>
      </c>
    </row>
    <row r="25" spans="1:37">
      <c r="A25" s="1" t="s">
        <v>417</v>
      </c>
      <c r="B25" s="464" t="s">
        <v>861</v>
      </c>
      <c r="C25" s="1" t="s">
        <v>862</v>
      </c>
      <c r="D25" s="1" t="s">
        <v>862</v>
      </c>
      <c r="E25" s="1" t="s">
        <v>863</v>
      </c>
      <c r="F25" s="1" t="s">
        <v>864</v>
      </c>
      <c r="G25" s="1" t="s">
        <v>865</v>
      </c>
      <c r="H25" s="1" t="s">
        <v>866</v>
      </c>
      <c r="I25" s="1" t="s">
        <v>867</v>
      </c>
      <c r="J25" s="1" t="s">
        <v>868</v>
      </c>
      <c r="K25" s="1" t="s">
        <v>868</v>
      </c>
      <c r="L25" s="1" t="s">
        <v>869</v>
      </c>
      <c r="M25" s="1" t="s">
        <v>870</v>
      </c>
      <c r="N25" s="1" t="s">
        <v>871</v>
      </c>
      <c r="O25" s="1" t="s">
        <v>872</v>
      </c>
      <c r="P25" s="1" t="s">
        <v>873</v>
      </c>
      <c r="Q25" s="1" t="s">
        <v>874</v>
      </c>
      <c r="R25" s="1" t="s">
        <v>874</v>
      </c>
      <c r="S25" s="1" t="s">
        <v>875</v>
      </c>
      <c r="T25" s="1" t="s">
        <v>876</v>
      </c>
      <c r="U25" s="1" t="s">
        <v>877</v>
      </c>
      <c r="V25" s="1" t="s">
        <v>878</v>
      </c>
      <c r="W25" s="1" t="s">
        <v>879</v>
      </c>
      <c r="X25" s="1" t="s">
        <v>880</v>
      </c>
      <c r="Y25" s="1" t="s">
        <v>880</v>
      </c>
      <c r="Z25" s="1" t="s">
        <v>881</v>
      </c>
      <c r="AA25" s="1" t="s">
        <v>882</v>
      </c>
      <c r="AB25" s="1" t="s">
        <v>883</v>
      </c>
      <c r="AC25" s="1" t="s">
        <v>884</v>
      </c>
      <c r="AD25" s="1" t="s">
        <v>885</v>
      </c>
      <c r="AE25" s="1" t="s">
        <v>886</v>
      </c>
      <c r="AF25" s="1" t="s">
        <v>886</v>
      </c>
      <c r="AG25" s="1" t="s">
        <v>887</v>
      </c>
      <c r="AH25" s="1" t="s">
        <v>888</v>
      </c>
      <c r="AI25" s="1" t="s">
        <v>889</v>
      </c>
      <c r="AJ25">
        <v>0</v>
      </c>
      <c r="AK25" s="465">
        <v>43056.229202361101</v>
      </c>
    </row>
    <row r="26" spans="1:37">
      <c r="A26" s="1"/>
      <c r="B26" s="46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465">
        <v>43056.229202361101</v>
      </c>
    </row>
    <row r="27" spans="1:37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465">
        <v>43056.229202361101</v>
      </c>
    </row>
    <row r="28" spans="1:37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465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890</v>
      </c>
    </row>
    <row r="2" spans="1:35">
      <c r="A2" s="1" t="s">
        <v>417</v>
      </c>
      <c r="B2" s="285" t="s">
        <v>453</v>
      </c>
      <c r="C2" s="1" t="s">
        <v>322</v>
      </c>
      <c r="D2" s="1" t="s">
        <v>356</v>
      </c>
      <c r="E2" s="1" t="s">
        <v>333</v>
      </c>
      <c r="F2" s="1" t="s">
        <v>323</v>
      </c>
      <c r="G2" s="1" t="s">
        <v>347</v>
      </c>
      <c r="H2" s="1" t="s">
        <v>323</v>
      </c>
      <c r="I2" s="1" t="s">
        <v>333</v>
      </c>
      <c r="J2" s="1" t="s">
        <v>332</v>
      </c>
      <c r="K2" s="1" t="s">
        <v>356</v>
      </c>
      <c r="L2" s="1" t="s">
        <v>346</v>
      </c>
      <c r="M2" s="1" t="s">
        <v>332</v>
      </c>
      <c r="N2" s="1" t="s">
        <v>333</v>
      </c>
      <c r="O2" s="1" t="s">
        <v>340</v>
      </c>
      <c r="P2" s="1" t="s">
        <v>333</v>
      </c>
      <c r="Q2" s="1" t="s">
        <v>290</v>
      </c>
      <c r="R2" s="1" t="s">
        <v>356</v>
      </c>
      <c r="S2" s="1" t="s">
        <v>321</v>
      </c>
      <c r="T2" s="1" t="s">
        <v>370</v>
      </c>
      <c r="U2" s="1" t="s">
        <v>370</v>
      </c>
      <c r="V2" s="1" t="s">
        <v>332</v>
      </c>
      <c r="W2" s="1" t="s">
        <v>333</v>
      </c>
      <c r="X2" s="1" t="s">
        <v>321</v>
      </c>
      <c r="Y2" s="1" t="s">
        <v>356</v>
      </c>
      <c r="Z2" s="1" t="s">
        <v>370</v>
      </c>
      <c r="AA2" s="1" t="s">
        <v>322</v>
      </c>
      <c r="AB2" s="1" t="s">
        <v>340</v>
      </c>
      <c r="AC2" s="1" t="s">
        <v>333</v>
      </c>
      <c r="AD2" s="1" t="s">
        <v>346</v>
      </c>
      <c r="AE2" s="1" t="s">
        <v>322</v>
      </c>
      <c r="AF2" s="1" t="s">
        <v>356</v>
      </c>
      <c r="AG2" s="1" t="s">
        <v>290</v>
      </c>
      <c r="AH2" s="1" t="s">
        <v>346</v>
      </c>
      <c r="AI2" s="465">
        <v>44412.229194178202</v>
      </c>
    </row>
    <row r="3" spans="1:35">
      <c r="A3" s="1" t="s">
        <v>417</v>
      </c>
      <c r="B3" s="285" t="s">
        <v>487</v>
      </c>
      <c r="C3" s="1" t="s">
        <v>331</v>
      </c>
      <c r="D3" s="1" t="s">
        <v>356</v>
      </c>
      <c r="E3" s="1" t="s">
        <v>340</v>
      </c>
      <c r="F3" s="1" t="s">
        <v>286</v>
      </c>
      <c r="G3" s="1" t="s">
        <v>290</v>
      </c>
      <c r="H3" s="1" t="s">
        <v>330</v>
      </c>
      <c r="I3" s="1" t="s">
        <v>340</v>
      </c>
      <c r="J3" s="1" t="s">
        <v>321</v>
      </c>
      <c r="K3" s="1" t="s">
        <v>356</v>
      </c>
      <c r="L3" s="1" t="s">
        <v>289</v>
      </c>
      <c r="M3" s="1" t="s">
        <v>331</v>
      </c>
      <c r="N3" s="1" t="s">
        <v>333</v>
      </c>
      <c r="O3" s="1" t="s">
        <v>286</v>
      </c>
      <c r="P3" s="1" t="s">
        <v>320</v>
      </c>
      <c r="Q3" s="1" t="s">
        <v>290</v>
      </c>
      <c r="R3" s="1" t="s">
        <v>356</v>
      </c>
      <c r="S3" s="1" t="s">
        <v>321</v>
      </c>
      <c r="T3" s="1" t="s">
        <v>341</v>
      </c>
      <c r="U3" s="1" t="s">
        <v>326</v>
      </c>
      <c r="V3" s="1" t="s">
        <v>290</v>
      </c>
      <c r="W3" s="1" t="s">
        <v>289</v>
      </c>
      <c r="X3" s="1" t="s">
        <v>330</v>
      </c>
      <c r="Y3" s="1" t="s">
        <v>356</v>
      </c>
      <c r="Z3" s="1" t="s">
        <v>289</v>
      </c>
      <c r="AA3" s="1" t="s">
        <v>290</v>
      </c>
      <c r="AB3" s="1" t="s">
        <v>330</v>
      </c>
      <c r="AC3" s="1" t="s">
        <v>331</v>
      </c>
      <c r="AD3" s="1" t="s">
        <v>342</v>
      </c>
      <c r="AE3" s="1" t="s">
        <v>326</v>
      </c>
      <c r="AF3" s="1" t="s">
        <v>356</v>
      </c>
      <c r="AG3" s="1" t="s">
        <v>289</v>
      </c>
      <c r="AH3" s="1" t="s">
        <v>287</v>
      </c>
      <c r="AI3" s="465">
        <v>44412.229194178202</v>
      </c>
    </row>
    <row r="4" spans="1:35">
      <c r="A4" s="1" t="s">
        <v>417</v>
      </c>
      <c r="B4" s="285" t="s">
        <v>518</v>
      </c>
      <c r="C4" s="1" t="s">
        <v>320</v>
      </c>
      <c r="D4" s="1" t="s">
        <v>356</v>
      </c>
      <c r="E4" s="1" t="s">
        <v>329</v>
      </c>
      <c r="F4" s="1" t="s">
        <v>287</v>
      </c>
      <c r="G4" s="1" t="s">
        <v>340</v>
      </c>
      <c r="H4" s="1" t="s">
        <v>340</v>
      </c>
      <c r="I4" s="1" t="s">
        <v>304</v>
      </c>
      <c r="J4" s="1" t="s">
        <v>293</v>
      </c>
      <c r="K4" s="1" t="s">
        <v>356</v>
      </c>
      <c r="L4" s="1" t="s">
        <v>293</v>
      </c>
      <c r="M4" s="1" t="s">
        <v>308</v>
      </c>
      <c r="N4" s="1" t="s">
        <v>337</v>
      </c>
      <c r="O4" s="1" t="s">
        <v>321</v>
      </c>
      <c r="P4" s="1" t="s">
        <v>291</v>
      </c>
      <c r="Q4" s="1" t="s">
        <v>891</v>
      </c>
      <c r="R4" s="1" t="s">
        <v>356</v>
      </c>
      <c r="S4" s="1" t="s">
        <v>293</v>
      </c>
      <c r="T4" s="1" t="s">
        <v>335</v>
      </c>
      <c r="U4" s="1" t="s">
        <v>293</v>
      </c>
      <c r="V4" s="1" t="s">
        <v>293</v>
      </c>
      <c r="W4" s="1" t="s">
        <v>293</v>
      </c>
      <c r="X4" s="1" t="s">
        <v>293</v>
      </c>
      <c r="Y4" s="1" t="s">
        <v>356</v>
      </c>
      <c r="Z4" s="1" t="s">
        <v>293</v>
      </c>
      <c r="AA4" s="1" t="s">
        <v>293</v>
      </c>
      <c r="AB4" s="1" t="s">
        <v>293</v>
      </c>
      <c r="AC4" s="1" t="s">
        <v>293</v>
      </c>
      <c r="AD4" s="1" t="s">
        <v>293</v>
      </c>
      <c r="AE4" s="1" t="s">
        <v>293</v>
      </c>
      <c r="AF4" s="1" t="s">
        <v>356</v>
      </c>
      <c r="AG4" s="1" t="s">
        <v>293</v>
      </c>
      <c r="AH4" s="1" t="s">
        <v>287</v>
      </c>
      <c r="AI4" s="465">
        <v>44412.229194178202</v>
      </c>
    </row>
    <row r="5" spans="1:35">
      <c r="A5" s="1" t="s">
        <v>417</v>
      </c>
      <c r="B5" s="285" t="s">
        <v>547</v>
      </c>
      <c r="C5" s="1" t="s">
        <v>892</v>
      </c>
      <c r="D5" s="1" t="s">
        <v>356</v>
      </c>
      <c r="E5" s="1" t="s">
        <v>356</v>
      </c>
      <c r="F5" s="1" t="s">
        <v>893</v>
      </c>
      <c r="G5" s="1" t="s">
        <v>892</v>
      </c>
      <c r="H5" s="1" t="s">
        <v>293</v>
      </c>
      <c r="I5" s="1" t="s">
        <v>894</v>
      </c>
      <c r="J5" s="1" t="s">
        <v>356</v>
      </c>
      <c r="K5" s="1" t="s">
        <v>356</v>
      </c>
      <c r="L5" s="1" t="s">
        <v>895</v>
      </c>
      <c r="M5" s="1" t="s">
        <v>893</v>
      </c>
      <c r="N5" s="1" t="s">
        <v>357</v>
      </c>
      <c r="O5" s="1" t="s">
        <v>357</v>
      </c>
      <c r="P5" s="1" t="s">
        <v>896</v>
      </c>
      <c r="Q5" s="1" t="s">
        <v>356</v>
      </c>
      <c r="R5" s="1" t="s">
        <v>356</v>
      </c>
      <c r="S5" s="1" t="s">
        <v>356</v>
      </c>
      <c r="T5" s="1" t="s">
        <v>892</v>
      </c>
      <c r="U5" s="1" t="s">
        <v>357</v>
      </c>
      <c r="V5" s="1" t="s">
        <v>293</v>
      </c>
      <c r="W5" s="1" t="s">
        <v>897</v>
      </c>
      <c r="X5" s="1" t="s">
        <v>357</v>
      </c>
      <c r="Y5" s="1" t="s">
        <v>356</v>
      </c>
      <c r="Z5" s="1" t="s">
        <v>356</v>
      </c>
      <c r="AA5" s="1" t="s">
        <v>357</v>
      </c>
      <c r="AB5" s="1" t="s">
        <v>898</v>
      </c>
      <c r="AC5" s="1" t="s">
        <v>357</v>
      </c>
      <c r="AD5" s="1" t="s">
        <v>893</v>
      </c>
      <c r="AE5" s="1" t="s">
        <v>293</v>
      </c>
      <c r="AF5" s="1" t="s">
        <v>356</v>
      </c>
      <c r="AG5" s="1" t="s">
        <v>356</v>
      </c>
      <c r="AH5" s="1" t="s">
        <v>357</v>
      </c>
      <c r="AI5" s="465">
        <v>44412.229194178202</v>
      </c>
    </row>
    <row r="6" spans="1:35">
      <c r="A6" s="1" t="s">
        <v>417</v>
      </c>
      <c r="B6" s="285" t="s">
        <v>576</v>
      </c>
      <c r="C6" s="1" t="s">
        <v>304</v>
      </c>
      <c r="D6" s="1" t="s">
        <v>356</v>
      </c>
      <c r="E6" s="1" t="s">
        <v>305</v>
      </c>
      <c r="F6" s="1" t="s">
        <v>287</v>
      </c>
      <c r="G6" s="1" t="s">
        <v>341</v>
      </c>
      <c r="H6" s="1" t="s">
        <v>331</v>
      </c>
      <c r="I6" s="1" t="s">
        <v>291</v>
      </c>
      <c r="J6" s="1" t="s">
        <v>319</v>
      </c>
      <c r="K6" s="1" t="s">
        <v>356</v>
      </c>
      <c r="L6" s="1" t="s">
        <v>330</v>
      </c>
      <c r="M6" s="1" t="s">
        <v>291</v>
      </c>
      <c r="N6" s="1" t="s">
        <v>307</v>
      </c>
      <c r="O6" s="1" t="s">
        <v>305</v>
      </c>
      <c r="P6" s="1" t="s">
        <v>306</v>
      </c>
      <c r="Q6" s="1" t="s">
        <v>304</v>
      </c>
      <c r="R6" s="1" t="s">
        <v>356</v>
      </c>
      <c r="S6" s="1" t="s">
        <v>306</v>
      </c>
      <c r="T6" s="1" t="s">
        <v>335</v>
      </c>
      <c r="U6" s="1" t="s">
        <v>308</v>
      </c>
      <c r="V6" s="1" t="s">
        <v>304</v>
      </c>
      <c r="W6" s="1" t="s">
        <v>306</v>
      </c>
      <c r="X6" s="1" t="s">
        <v>292</v>
      </c>
      <c r="Y6" s="1" t="s">
        <v>356</v>
      </c>
      <c r="Z6" s="1" t="s">
        <v>304</v>
      </c>
      <c r="AA6" s="1" t="s">
        <v>304</v>
      </c>
      <c r="AB6" s="1" t="s">
        <v>318</v>
      </c>
      <c r="AC6" s="1" t="s">
        <v>291</v>
      </c>
      <c r="AD6" s="1" t="s">
        <v>304</v>
      </c>
      <c r="AE6" s="1" t="s">
        <v>308</v>
      </c>
      <c r="AF6" s="1" t="s">
        <v>356</v>
      </c>
      <c r="AG6" s="1" t="s">
        <v>308</v>
      </c>
      <c r="AH6" s="1" t="s">
        <v>307</v>
      </c>
      <c r="AI6" s="465">
        <v>44412.229194178202</v>
      </c>
    </row>
    <row r="7" spans="1:35">
      <c r="A7" s="1" t="s">
        <v>417</v>
      </c>
      <c r="B7" s="285" t="s">
        <v>608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465">
        <v>44412.229194178202</v>
      </c>
    </row>
    <row r="8" spans="1:35">
      <c r="A8" s="1" t="s">
        <v>417</v>
      </c>
      <c r="B8" s="285" t="s">
        <v>610</v>
      </c>
      <c r="C8" s="1" t="s">
        <v>291</v>
      </c>
      <c r="D8" s="1" t="s">
        <v>356</v>
      </c>
      <c r="E8" s="1" t="s">
        <v>306</v>
      </c>
      <c r="F8" s="1" t="s">
        <v>319</v>
      </c>
      <c r="G8" s="1" t="s">
        <v>331</v>
      </c>
      <c r="H8" s="1" t="s">
        <v>293</v>
      </c>
      <c r="I8" s="1" t="s">
        <v>308</v>
      </c>
      <c r="J8" s="1" t="s">
        <v>304</v>
      </c>
      <c r="K8" s="1" t="s">
        <v>356</v>
      </c>
      <c r="L8" s="1" t="s">
        <v>308</v>
      </c>
      <c r="M8" s="1" t="s">
        <v>308</v>
      </c>
      <c r="N8" s="1" t="s">
        <v>293</v>
      </c>
      <c r="O8" s="1" t="s">
        <v>305</v>
      </c>
      <c r="P8" s="1" t="s">
        <v>319</v>
      </c>
      <c r="Q8" s="1" t="s">
        <v>308</v>
      </c>
      <c r="R8" s="1" t="s">
        <v>356</v>
      </c>
      <c r="S8" s="1" t="s">
        <v>306</v>
      </c>
      <c r="T8" s="1" t="s">
        <v>305</v>
      </c>
      <c r="U8" s="1" t="s">
        <v>293</v>
      </c>
      <c r="V8" s="1" t="s">
        <v>304</v>
      </c>
      <c r="W8" s="1" t="s">
        <v>293</v>
      </c>
      <c r="X8" s="1" t="s">
        <v>304</v>
      </c>
      <c r="Y8" s="1" t="s">
        <v>356</v>
      </c>
      <c r="Z8" s="1" t="s">
        <v>335</v>
      </c>
      <c r="AA8" s="1" t="s">
        <v>293</v>
      </c>
      <c r="AB8" s="1" t="s">
        <v>304</v>
      </c>
      <c r="AC8" s="1" t="s">
        <v>304</v>
      </c>
      <c r="AD8" s="1" t="s">
        <v>304</v>
      </c>
      <c r="AE8" s="1" t="s">
        <v>304</v>
      </c>
      <c r="AF8" s="1" t="s">
        <v>356</v>
      </c>
      <c r="AG8" s="1" t="s">
        <v>304</v>
      </c>
      <c r="AH8" s="1" t="s">
        <v>335</v>
      </c>
      <c r="AI8" s="465">
        <v>44412.229194178202</v>
      </c>
    </row>
    <row r="9" spans="1:35">
      <c r="A9" s="1" t="s">
        <v>417</v>
      </c>
      <c r="B9" s="285" t="s">
        <v>899</v>
      </c>
      <c r="C9" s="1" t="s">
        <v>368</v>
      </c>
      <c r="D9" s="1" t="s">
        <v>356</v>
      </c>
      <c r="E9" s="1" t="s">
        <v>293</v>
      </c>
      <c r="F9" s="1" t="s">
        <v>293</v>
      </c>
      <c r="G9" s="1" t="s">
        <v>293</v>
      </c>
      <c r="H9" s="1" t="s">
        <v>293</v>
      </c>
      <c r="I9" s="1" t="s">
        <v>293</v>
      </c>
      <c r="J9" s="1" t="s">
        <v>293</v>
      </c>
      <c r="K9" s="1" t="s">
        <v>356</v>
      </c>
      <c r="L9" s="1" t="s">
        <v>293</v>
      </c>
      <c r="M9" s="1" t="s">
        <v>293</v>
      </c>
      <c r="N9" s="1" t="s">
        <v>293</v>
      </c>
      <c r="O9" s="1" t="s">
        <v>293</v>
      </c>
      <c r="P9" s="1" t="s">
        <v>293</v>
      </c>
      <c r="Q9" s="1" t="s">
        <v>293</v>
      </c>
      <c r="R9" s="1" t="s">
        <v>356</v>
      </c>
      <c r="S9" s="1" t="s">
        <v>293</v>
      </c>
      <c r="T9" s="1" t="s">
        <v>293</v>
      </c>
      <c r="U9" s="1" t="s">
        <v>293</v>
      </c>
      <c r="V9" s="1" t="s">
        <v>368</v>
      </c>
      <c r="W9" s="1" t="s">
        <v>293</v>
      </c>
      <c r="X9" s="1" t="s">
        <v>293</v>
      </c>
      <c r="Y9" s="1" t="s">
        <v>356</v>
      </c>
      <c r="Z9" s="1" t="s">
        <v>293</v>
      </c>
      <c r="AA9" s="1" t="s">
        <v>293</v>
      </c>
      <c r="AB9" s="1" t="s">
        <v>293</v>
      </c>
      <c r="AC9" s="1" t="s">
        <v>293</v>
      </c>
      <c r="AD9" s="1" t="s">
        <v>293</v>
      </c>
      <c r="AE9" s="1" t="s">
        <v>293</v>
      </c>
      <c r="AF9" s="1" t="s">
        <v>356</v>
      </c>
      <c r="AG9" s="1" t="s">
        <v>293</v>
      </c>
      <c r="AH9" s="1" t="s">
        <v>306</v>
      </c>
      <c r="AI9" s="465">
        <v>44412.229194178202</v>
      </c>
    </row>
    <row r="10" spans="1:35">
      <c r="A10" s="1" t="s">
        <v>417</v>
      </c>
      <c r="B10" s="285" t="s">
        <v>900</v>
      </c>
      <c r="C10" s="1" t="s">
        <v>333</v>
      </c>
      <c r="D10" s="1" t="s">
        <v>356</v>
      </c>
      <c r="E10" s="1" t="s">
        <v>290</v>
      </c>
      <c r="F10" s="1" t="s">
        <v>323</v>
      </c>
      <c r="G10" s="1" t="s">
        <v>342</v>
      </c>
      <c r="H10" s="1" t="s">
        <v>370</v>
      </c>
      <c r="I10" s="1" t="s">
        <v>332</v>
      </c>
      <c r="J10" s="1" t="s">
        <v>290</v>
      </c>
      <c r="K10" s="1" t="s">
        <v>356</v>
      </c>
      <c r="L10" s="1" t="s">
        <v>346</v>
      </c>
      <c r="M10" s="1" t="s">
        <v>332</v>
      </c>
      <c r="N10" s="1" t="s">
        <v>333</v>
      </c>
      <c r="O10" s="1" t="s">
        <v>346</v>
      </c>
      <c r="P10" s="1" t="s">
        <v>321</v>
      </c>
      <c r="Q10" s="1" t="s">
        <v>340</v>
      </c>
      <c r="R10" s="1" t="s">
        <v>356</v>
      </c>
      <c r="S10" s="1" t="s">
        <v>289</v>
      </c>
      <c r="T10" s="1" t="s">
        <v>340</v>
      </c>
      <c r="U10" s="1" t="s">
        <v>346</v>
      </c>
      <c r="V10" s="1" t="s">
        <v>321</v>
      </c>
      <c r="W10" s="1" t="s">
        <v>289</v>
      </c>
      <c r="X10" s="1" t="s">
        <v>287</v>
      </c>
      <c r="Y10" s="1" t="s">
        <v>356</v>
      </c>
      <c r="Z10" s="1" t="s">
        <v>332</v>
      </c>
      <c r="AA10" s="1" t="s">
        <v>333</v>
      </c>
      <c r="AB10" s="1" t="s">
        <v>333</v>
      </c>
      <c r="AC10" s="1" t="s">
        <v>321</v>
      </c>
      <c r="AD10" s="1" t="s">
        <v>321</v>
      </c>
      <c r="AE10" s="1" t="s">
        <v>290</v>
      </c>
      <c r="AF10" s="1" t="s">
        <v>356</v>
      </c>
      <c r="AG10" s="1" t="s">
        <v>287</v>
      </c>
      <c r="AH10" s="1" t="s">
        <v>333</v>
      </c>
      <c r="AI10" s="465">
        <v>44412.229194178202</v>
      </c>
    </row>
    <row r="11" spans="1:35">
      <c r="A11" s="1" t="s">
        <v>417</v>
      </c>
      <c r="B11" s="285" t="s">
        <v>901</v>
      </c>
      <c r="C11" s="1" t="s">
        <v>373</v>
      </c>
      <c r="D11" s="1" t="s">
        <v>356</v>
      </c>
      <c r="E11" s="1" t="s">
        <v>902</v>
      </c>
      <c r="F11" s="1" t="s">
        <v>343</v>
      </c>
      <c r="G11" s="1" t="s">
        <v>293</v>
      </c>
      <c r="H11" s="1" t="s">
        <v>339</v>
      </c>
      <c r="I11" s="1" t="s">
        <v>293</v>
      </c>
      <c r="J11" s="1" t="s">
        <v>293</v>
      </c>
      <c r="K11" s="1" t="s">
        <v>356</v>
      </c>
      <c r="L11" s="1" t="s">
        <v>293</v>
      </c>
      <c r="M11" s="1" t="s">
        <v>293</v>
      </c>
      <c r="N11" s="1" t="s">
        <v>293</v>
      </c>
      <c r="O11" s="1" t="s">
        <v>293</v>
      </c>
      <c r="P11" s="1" t="s">
        <v>293</v>
      </c>
      <c r="Q11" s="1" t="s">
        <v>293</v>
      </c>
      <c r="R11" s="1" t="s">
        <v>356</v>
      </c>
      <c r="S11" s="1" t="s">
        <v>337</v>
      </c>
      <c r="T11" s="1" t="s">
        <v>293</v>
      </c>
      <c r="U11" s="1" t="s">
        <v>310</v>
      </c>
      <c r="V11" s="1" t="s">
        <v>293</v>
      </c>
      <c r="W11" s="1" t="s">
        <v>293</v>
      </c>
      <c r="X11" s="1" t="s">
        <v>293</v>
      </c>
      <c r="Y11" s="1" t="s">
        <v>356</v>
      </c>
      <c r="Z11" s="1" t="s">
        <v>293</v>
      </c>
      <c r="AA11" s="1" t="s">
        <v>293</v>
      </c>
      <c r="AB11" s="1" t="s">
        <v>293</v>
      </c>
      <c r="AC11" s="1" t="s">
        <v>293</v>
      </c>
      <c r="AD11" s="1" t="s">
        <v>293</v>
      </c>
      <c r="AE11" s="1" t="s">
        <v>293</v>
      </c>
      <c r="AF11" s="1" t="s">
        <v>356</v>
      </c>
      <c r="AG11" s="1" t="s">
        <v>293</v>
      </c>
      <c r="AH11" s="1" t="s">
        <v>326</v>
      </c>
      <c r="AI11" s="465">
        <v>44412.229194178202</v>
      </c>
    </row>
    <row r="12" spans="1:35">
      <c r="A12" s="1" t="s">
        <v>417</v>
      </c>
      <c r="B12" s="285" t="s">
        <v>903</v>
      </c>
      <c r="C12" s="1" t="s">
        <v>904</v>
      </c>
      <c r="D12" s="1" t="s">
        <v>356</v>
      </c>
      <c r="E12" s="1" t="s">
        <v>293</v>
      </c>
      <c r="F12" s="1" t="s">
        <v>905</v>
      </c>
      <c r="G12" s="1" t="s">
        <v>906</v>
      </c>
      <c r="H12" s="1" t="s">
        <v>357</v>
      </c>
      <c r="I12" s="1" t="s">
        <v>907</v>
      </c>
      <c r="J12" s="1" t="s">
        <v>293</v>
      </c>
      <c r="K12" s="1" t="s">
        <v>356</v>
      </c>
      <c r="L12" s="1" t="s">
        <v>895</v>
      </c>
      <c r="M12" s="1" t="s">
        <v>892</v>
      </c>
      <c r="N12" s="1" t="s">
        <v>892</v>
      </c>
      <c r="O12" s="1" t="s">
        <v>908</v>
      </c>
      <c r="P12" s="1" t="s">
        <v>908</v>
      </c>
      <c r="Q12" s="1" t="s">
        <v>356</v>
      </c>
      <c r="R12" s="1" t="s">
        <v>356</v>
      </c>
      <c r="S12" s="1" t="s">
        <v>909</v>
      </c>
      <c r="T12" s="1" t="s">
        <v>910</v>
      </c>
      <c r="U12" s="1" t="s">
        <v>911</v>
      </c>
      <c r="V12" s="1" t="s">
        <v>907</v>
      </c>
      <c r="W12" s="1" t="s">
        <v>356</v>
      </c>
      <c r="X12" s="1" t="s">
        <v>293</v>
      </c>
      <c r="Y12" s="1" t="s">
        <v>356</v>
      </c>
      <c r="Z12" s="1" t="s">
        <v>897</v>
      </c>
      <c r="AA12" s="1" t="s">
        <v>898</v>
      </c>
      <c r="AB12" s="1" t="s">
        <v>895</v>
      </c>
      <c r="AC12" s="1" t="s">
        <v>293</v>
      </c>
      <c r="AD12" s="1" t="s">
        <v>293</v>
      </c>
      <c r="AE12" s="1" t="s">
        <v>293</v>
      </c>
      <c r="AF12" s="1" t="s">
        <v>356</v>
      </c>
      <c r="AG12" s="1" t="s">
        <v>893</v>
      </c>
      <c r="AH12" s="1" t="s">
        <v>912</v>
      </c>
      <c r="AI12" s="465">
        <v>44412.229194178202</v>
      </c>
    </row>
    <row r="13" spans="1:35">
      <c r="A13" s="1" t="s">
        <v>417</v>
      </c>
      <c r="B13" s="285" t="s">
        <v>913</v>
      </c>
      <c r="C13" s="1" t="s">
        <v>332</v>
      </c>
      <c r="D13" s="1" t="s">
        <v>356</v>
      </c>
      <c r="E13" s="1" t="s">
        <v>345</v>
      </c>
      <c r="F13" s="1" t="s">
        <v>290</v>
      </c>
      <c r="G13" s="1" t="s">
        <v>347</v>
      </c>
      <c r="H13" s="1" t="s">
        <v>347</v>
      </c>
      <c r="I13" s="1" t="s">
        <v>332</v>
      </c>
      <c r="J13" s="1" t="s">
        <v>287</v>
      </c>
      <c r="K13" s="1" t="s">
        <v>356</v>
      </c>
      <c r="L13" s="1" t="s">
        <v>326</v>
      </c>
      <c r="M13" s="1" t="s">
        <v>332</v>
      </c>
      <c r="N13" s="1" t="s">
        <v>332</v>
      </c>
      <c r="O13" s="1" t="s">
        <v>304</v>
      </c>
      <c r="P13" s="1" t="s">
        <v>334</v>
      </c>
      <c r="Q13" s="1" t="s">
        <v>326</v>
      </c>
      <c r="R13" s="1" t="s">
        <v>356</v>
      </c>
      <c r="S13" s="1" t="s">
        <v>374</v>
      </c>
      <c r="T13" s="1" t="s">
        <v>349</v>
      </c>
      <c r="U13" s="1" t="s">
        <v>323</v>
      </c>
      <c r="V13" s="1" t="s">
        <v>331</v>
      </c>
      <c r="W13" s="1" t="s">
        <v>288</v>
      </c>
      <c r="X13" s="1" t="s">
        <v>914</v>
      </c>
      <c r="Y13" s="1" t="s">
        <v>356</v>
      </c>
      <c r="Z13" s="1" t="s">
        <v>311</v>
      </c>
      <c r="AA13" s="1" t="s">
        <v>307</v>
      </c>
      <c r="AB13" s="1" t="s">
        <v>915</v>
      </c>
      <c r="AC13" s="1" t="s">
        <v>332</v>
      </c>
      <c r="AD13" s="1" t="s">
        <v>916</v>
      </c>
      <c r="AE13" s="1" t="s">
        <v>296</v>
      </c>
      <c r="AF13" s="1" t="s">
        <v>356</v>
      </c>
      <c r="AG13" s="1" t="s">
        <v>370</v>
      </c>
      <c r="AH13" s="1" t="s">
        <v>370</v>
      </c>
      <c r="AI13" s="465">
        <v>44412.229194178202</v>
      </c>
    </row>
    <row r="14" spans="1:35">
      <c r="A14" s="1" t="s">
        <v>417</v>
      </c>
      <c r="B14" s="285" t="s">
        <v>917</v>
      </c>
      <c r="C14" s="1" t="s">
        <v>918</v>
      </c>
      <c r="D14" s="1" t="s">
        <v>356</v>
      </c>
      <c r="E14" s="1" t="s">
        <v>347</v>
      </c>
      <c r="F14" s="1" t="s">
        <v>293</v>
      </c>
      <c r="G14" s="1" t="s">
        <v>349</v>
      </c>
      <c r="H14" s="1" t="s">
        <v>332</v>
      </c>
      <c r="I14" s="1" t="s">
        <v>349</v>
      </c>
      <c r="J14" s="1" t="s">
        <v>288</v>
      </c>
      <c r="K14" s="1" t="s">
        <v>356</v>
      </c>
      <c r="L14" s="1" t="s">
        <v>293</v>
      </c>
      <c r="M14" s="1" t="s">
        <v>374</v>
      </c>
      <c r="N14" s="1" t="s">
        <v>293</v>
      </c>
      <c r="O14" s="1" t="s">
        <v>293</v>
      </c>
      <c r="P14" s="1" t="s">
        <v>347</v>
      </c>
      <c r="Q14" s="1" t="s">
        <v>341</v>
      </c>
      <c r="R14" s="1" t="s">
        <v>356</v>
      </c>
      <c r="S14" s="1" t="s">
        <v>919</v>
      </c>
      <c r="T14" s="1" t="s">
        <v>371</v>
      </c>
      <c r="U14" s="1" t="s">
        <v>371</v>
      </c>
      <c r="V14" s="1" t="s">
        <v>337</v>
      </c>
      <c r="W14" s="1" t="s">
        <v>287</v>
      </c>
      <c r="X14" s="1" t="s">
        <v>289</v>
      </c>
      <c r="Y14" s="1" t="s">
        <v>356</v>
      </c>
      <c r="Z14" s="1" t="s">
        <v>293</v>
      </c>
      <c r="AA14" s="1" t="s">
        <v>347</v>
      </c>
      <c r="AB14" s="1" t="s">
        <v>326</v>
      </c>
      <c r="AC14" s="1" t="s">
        <v>315</v>
      </c>
      <c r="AD14" s="1" t="s">
        <v>293</v>
      </c>
      <c r="AE14" s="1" t="s">
        <v>293</v>
      </c>
      <c r="AF14" s="1" t="s">
        <v>356</v>
      </c>
      <c r="AG14" s="1" t="s">
        <v>293</v>
      </c>
      <c r="AH14" s="1" t="s">
        <v>332</v>
      </c>
      <c r="AI14" s="465">
        <v>44412.229194178202</v>
      </c>
    </row>
    <row r="15" spans="1:35">
      <c r="A15" s="1" t="s">
        <v>417</v>
      </c>
      <c r="B15" s="285" t="s">
        <v>920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356</v>
      </c>
      <c r="Q15" s="1" t="s">
        <v>356</v>
      </c>
      <c r="R15" s="1" t="s">
        <v>356</v>
      </c>
      <c r="S15" s="1" t="s">
        <v>356</v>
      </c>
      <c r="T15" s="1" t="s">
        <v>356</v>
      </c>
      <c r="U15" s="1" t="s">
        <v>356</v>
      </c>
      <c r="V15" s="1" t="s">
        <v>356</v>
      </c>
      <c r="W15" s="1" t="s">
        <v>356</v>
      </c>
      <c r="X15" s="1" t="s">
        <v>356</v>
      </c>
      <c r="Y15" s="1" t="s">
        <v>356</v>
      </c>
      <c r="Z15" s="1" t="s">
        <v>356</v>
      </c>
      <c r="AA15" s="1" t="s">
        <v>356</v>
      </c>
      <c r="AB15" s="1" t="s">
        <v>356</v>
      </c>
      <c r="AC15" s="1" t="s">
        <v>356</v>
      </c>
      <c r="AD15" s="1" t="s">
        <v>356</v>
      </c>
      <c r="AE15" s="1" t="s">
        <v>356</v>
      </c>
      <c r="AF15" s="1" t="s">
        <v>356</v>
      </c>
      <c r="AG15" s="1" t="s">
        <v>356</v>
      </c>
      <c r="AH15" s="1" t="s">
        <v>356</v>
      </c>
      <c r="AI15" s="465">
        <v>44412.229194178202</v>
      </c>
    </row>
    <row r="16" spans="1:35">
      <c r="A16" s="1" t="s">
        <v>417</v>
      </c>
      <c r="B16" s="285" t="s">
        <v>921</v>
      </c>
      <c r="C16" s="1" t="s">
        <v>321</v>
      </c>
      <c r="D16" s="1" t="s">
        <v>356</v>
      </c>
      <c r="E16" s="1" t="s">
        <v>323</v>
      </c>
      <c r="F16" s="1" t="s">
        <v>330</v>
      </c>
      <c r="G16" s="1" t="s">
        <v>340</v>
      </c>
      <c r="H16" s="1" t="s">
        <v>333</v>
      </c>
      <c r="I16" s="1" t="s">
        <v>322</v>
      </c>
      <c r="J16" s="1" t="s">
        <v>289</v>
      </c>
      <c r="K16" s="1" t="s">
        <v>356</v>
      </c>
      <c r="L16" s="1" t="s">
        <v>289</v>
      </c>
      <c r="M16" s="1" t="s">
        <v>330</v>
      </c>
      <c r="N16" s="1" t="s">
        <v>346</v>
      </c>
      <c r="O16" s="1" t="s">
        <v>331</v>
      </c>
      <c r="P16" s="1" t="s">
        <v>287</v>
      </c>
      <c r="Q16" s="1" t="s">
        <v>321</v>
      </c>
      <c r="R16" s="1" t="s">
        <v>356</v>
      </c>
      <c r="S16" s="1" t="s">
        <v>322</v>
      </c>
      <c r="T16" s="1" t="s">
        <v>289</v>
      </c>
      <c r="U16" s="1" t="s">
        <v>289</v>
      </c>
      <c r="V16" s="1" t="s">
        <v>290</v>
      </c>
      <c r="W16" s="1" t="s">
        <v>287</v>
      </c>
      <c r="X16" s="1" t="s">
        <v>323</v>
      </c>
      <c r="Y16" s="1" t="s">
        <v>356</v>
      </c>
      <c r="Z16" s="1" t="s">
        <v>340</v>
      </c>
      <c r="AA16" s="1" t="s">
        <v>289</v>
      </c>
      <c r="AB16" s="1" t="s">
        <v>290</v>
      </c>
      <c r="AC16" s="1" t="s">
        <v>286</v>
      </c>
      <c r="AD16" s="1" t="s">
        <v>325</v>
      </c>
      <c r="AE16" s="1" t="s">
        <v>332</v>
      </c>
      <c r="AF16" s="1" t="s">
        <v>356</v>
      </c>
      <c r="AG16" s="1" t="s">
        <v>321</v>
      </c>
      <c r="AH16" s="1" t="s">
        <v>290</v>
      </c>
      <c r="AI16" s="465">
        <v>44412.229194178202</v>
      </c>
    </row>
    <row r="17" spans="1:35">
      <c r="A17" s="1" t="s">
        <v>417</v>
      </c>
      <c r="B17" s="275" t="s">
        <v>922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465">
        <v>44412.229194178202</v>
      </c>
    </row>
    <row r="18" spans="1:35">
      <c r="A18" s="1" t="s">
        <v>417</v>
      </c>
      <c r="B18" s="275" t="s">
        <v>923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465">
        <v>44412.229194178202</v>
      </c>
    </row>
    <row r="19" spans="1:35">
      <c r="A19" s="1" t="s">
        <v>417</v>
      </c>
      <c r="B19" s="275" t="s">
        <v>924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465">
        <v>44412.229194178202</v>
      </c>
    </row>
    <row r="20" spans="1:35">
      <c r="A20" s="1" t="s">
        <v>417</v>
      </c>
      <c r="B20" s="275" t="s">
        <v>925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465">
        <v>44412.229194178202</v>
      </c>
    </row>
    <row r="21" spans="1:35">
      <c r="A21" s="1" t="s">
        <v>417</v>
      </c>
      <c r="B21" s="275" t="s">
        <v>926</v>
      </c>
      <c r="C21" s="1" t="s">
        <v>293</v>
      </c>
      <c r="D21" s="1" t="s">
        <v>356</v>
      </c>
      <c r="E21" s="1" t="s">
        <v>293</v>
      </c>
      <c r="F21" s="1" t="s">
        <v>293</v>
      </c>
      <c r="G21" s="1" t="s">
        <v>293</v>
      </c>
      <c r="H21" s="1" t="s">
        <v>293</v>
      </c>
      <c r="I21" s="1" t="s">
        <v>293</v>
      </c>
      <c r="J21" s="1" t="s">
        <v>293</v>
      </c>
      <c r="K21" s="1" t="s">
        <v>356</v>
      </c>
      <c r="L21" s="1" t="s">
        <v>293</v>
      </c>
      <c r="M21" s="1" t="s">
        <v>293</v>
      </c>
      <c r="N21" s="1" t="s">
        <v>293</v>
      </c>
      <c r="O21" s="1" t="s">
        <v>293</v>
      </c>
      <c r="P21" s="1" t="s">
        <v>293</v>
      </c>
      <c r="Q21" s="1" t="s">
        <v>293</v>
      </c>
      <c r="R21" s="1" t="s">
        <v>356</v>
      </c>
      <c r="S21" s="1" t="s">
        <v>293</v>
      </c>
      <c r="T21" s="1" t="s">
        <v>293</v>
      </c>
      <c r="U21" s="1" t="s">
        <v>293</v>
      </c>
      <c r="V21" s="1" t="s">
        <v>293</v>
      </c>
      <c r="W21" s="1" t="s">
        <v>293</v>
      </c>
      <c r="X21" s="1" t="s">
        <v>293</v>
      </c>
      <c r="Y21" s="1" t="s">
        <v>356</v>
      </c>
      <c r="Z21" s="1" t="s">
        <v>293</v>
      </c>
      <c r="AA21" s="1" t="s">
        <v>293</v>
      </c>
      <c r="AB21" s="1" t="s">
        <v>293</v>
      </c>
      <c r="AC21" s="1" t="s">
        <v>293</v>
      </c>
      <c r="AD21" s="1" t="s">
        <v>293</v>
      </c>
      <c r="AE21" s="1" t="s">
        <v>293</v>
      </c>
      <c r="AF21" s="1" t="s">
        <v>356</v>
      </c>
      <c r="AG21" s="1" t="s">
        <v>293</v>
      </c>
      <c r="AH21" s="1" t="s">
        <v>293</v>
      </c>
      <c r="AI21" s="465">
        <v>44412.229194178202</v>
      </c>
    </row>
    <row r="22" spans="1:35">
      <c r="A22" s="1" t="s">
        <v>417</v>
      </c>
      <c r="B22" s="275" t="s">
        <v>927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356</v>
      </c>
      <c r="Q22" s="1" t="s">
        <v>356</v>
      </c>
      <c r="R22" s="1" t="s">
        <v>356</v>
      </c>
      <c r="S22" s="1" t="s">
        <v>356</v>
      </c>
      <c r="T22" s="1" t="s">
        <v>356</v>
      </c>
      <c r="U22" s="1" t="s">
        <v>356</v>
      </c>
      <c r="V22" s="1" t="s">
        <v>356</v>
      </c>
      <c r="W22" s="1" t="s">
        <v>356</v>
      </c>
      <c r="X22" s="1" t="s">
        <v>356</v>
      </c>
      <c r="Y22" s="1" t="s">
        <v>356</v>
      </c>
      <c r="Z22" s="1" t="s">
        <v>356</v>
      </c>
      <c r="AA22" s="1" t="s">
        <v>356</v>
      </c>
      <c r="AB22" s="1" t="s">
        <v>356</v>
      </c>
      <c r="AC22" s="1" t="s">
        <v>356</v>
      </c>
      <c r="AD22" s="1" t="s">
        <v>356</v>
      </c>
      <c r="AE22" s="1" t="s">
        <v>356</v>
      </c>
      <c r="AF22" s="1" t="s">
        <v>356</v>
      </c>
      <c r="AG22" s="1" t="s">
        <v>356</v>
      </c>
      <c r="AH22" s="1" t="s">
        <v>356</v>
      </c>
      <c r="AI22" s="465">
        <v>44412.229194178202</v>
      </c>
    </row>
    <row r="23" spans="1:35">
      <c r="A23" s="466" t="s">
        <v>417</v>
      </c>
      <c r="B23" s="275" t="s">
        <v>928</v>
      </c>
      <c r="C23" s="466" t="s">
        <v>329</v>
      </c>
      <c r="D23" s="466" t="s">
        <v>356</v>
      </c>
      <c r="E23" s="466" t="s">
        <v>929</v>
      </c>
      <c r="F23" s="466" t="s">
        <v>930</v>
      </c>
      <c r="G23" s="466" t="s">
        <v>931</v>
      </c>
      <c r="H23" s="466" t="s">
        <v>350</v>
      </c>
      <c r="I23" s="466" t="s">
        <v>932</v>
      </c>
      <c r="J23" s="466" t="s">
        <v>933</v>
      </c>
      <c r="K23" s="466" t="s">
        <v>356</v>
      </c>
      <c r="L23" s="466" t="s">
        <v>934</v>
      </c>
      <c r="M23" s="466" t="s">
        <v>935</v>
      </c>
      <c r="N23" s="466" t="s">
        <v>936</v>
      </c>
      <c r="O23" s="466" t="s">
        <v>937</v>
      </c>
      <c r="P23" s="466" t="s">
        <v>314</v>
      </c>
      <c r="Q23" s="466" t="s">
        <v>329</v>
      </c>
      <c r="R23" s="466" t="s">
        <v>356</v>
      </c>
      <c r="S23" s="466" t="s">
        <v>938</v>
      </c>
      <c r="T23" s="466" t="s">
        <v>939</v>
      </c>
      <c r="U23" s="466" t="s">
        <v>940</v>
      </c>
      <c r="V23" s="466" t="s">
        <v>352</v>
      </c>
      <c r="W23" s="466" t="s">
        <v>368</v>
      </c>
      <c r="X23" s="466" t="s">
        <v>362</v>
      </c>
      <c r="Y23" s="466" t="s">
        <v>356</v>
      </c>
      <c r="Z23" s="466" t="s">
        <v>941</v>
      </c>
      <c r="AA23" s="466" t="s">
        <v>929</v>
      </c>
      <c r="AB23" s="466" t="s">
        <v>311</v>
      </c>
      <c r="AC23" s="466" t="s">
        <v>942</v>
      </c>
      <c r="AD23" s="466" t="s">
        <v>329</v>
      </c>
      <c r="AE23" s="466" t="s">
        <v>311</v>
      </c>
      <c r="AF23" s="466" t="s">
        <v>356</v>
      </c>
      <c r="AG23" s="466" t="s">
        <v>345</v>
      </c>
      <c r="AH23" s="466" t="s">
        <v>300</v>
      </c>
      <c r="AI23" s="465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383</v>
      </c>
      <c r="B1" s="1" t="s">
        <v>450</v>
      </c>
      <c r="C1" s="1" t="s">
        <v>943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890</v>
      </c>
    </row>
    <row r="2" spans="1:36">
      <c r="A2" s="1" t="s">
        <v>417</v>
      </c>
      <c r="B2" s="275" t="s">
        <v>453</v>
      </c>
      <c r="C2" s="1" t="s">
        <v>236</v>
      </c>
      <c r="D2" s="1" t="s">
        <v>322</v>
      </c>
      <c r="E2" s="1" t="s">
        <v>356</v>
      </c>
      <c r="F2" s="1" t="s">
        <v>322</v>
      </c>
      <c r="G2" s="1" t="s">
        <v>345</v>
      </c>
      <c r="H2" s="1" t="s">
        <v>915</v>
      </c>
      <c r="I2" s="1" t="s">
        <v>342</v>
      </c>
      <c r="J2" s="1" t="s">
        <v>322</v>
      </c>
      <c r="K2" s="1" t="s">
        <v>346</v>
      </c>
      <c r="L2" s="1" t="s">
        <v>356</v>
      </c>
      <c r="M2" s="1" t="s">
        <v>345</v>
      </c>
      <c r="N2" s="1" t="s">
        <v>370</v>
      </c>
      <c r="O2" s="1" t="s">
        <v>342</v>
      </c>
      <c r="P2" s="1" t="s">
        <v>347</v>
      </c>
      <c r="Q2" s="1" t="s">
        <v>332</v>
      </c>
      <c r="R2" s="1" t="s">
        <v>332</v>
      </c>
      <c r="S2" s="1" t="s">
        <v>356</v>
      </c>
      <c r="T2" s="1" t="s">
        <v>346</v>
      </c>
      <c r="U2" s="1" t="s">
        <v>325</v>
      </c>
      <c r="V2" s="1" t="s">
        <v>339</v>
      </c>
      <c r="W2" s="1" t="s">
        <v>347</v>
      </c>
      <c r="X2" s="1" t="s">
        <v>332</v>
      </c>
      <c r="Y2" s="1" t="s">
        <v>340</v>
      </c>
      <c r="Z2" s="1" t="s">
        <v>356</v>
      </c>
      <c r="AA2" s="1" t="s">
        <v>338</v>
      </c>
      <c r="AB2" s="1" t="s">
        <v>347</v>
      </c>
      <c r="AC2" s="1" t="s">
        <v>322</v>
      </c>
      <c r="AD2" s="1" t="s">
        <v>287</v>
      </c>
      <c r="AE2" s="1" t="s">
        <v>340</v>
      </c>
      <c r="AF2" s="1" t="s">
        <v>333</v>
      </c>
      <c r="AG2" s="1" t="s">
        <v>356</v>
      </c>
      <c r="AH2" s="1" t="s">
        <v>321</v>
      </c>
      <c r="AI2" s="1" t="s">
        <v>370</v>
      </c>
      <c r="AJ2" s="465">
        <v>43056.229596249999</v>
      </c>
    </row>
    <row r="3" spans="1:36">
      <c r="A3" s="1" t="s">
        <v>417</v>
      </c>
      <c r="B3" s="275" t="s">
        <v>453</v>
      </c>
      <c r="C3" s="1" t="s">
        <v>237</v>
      </c>
      <c r="D3" s="1" t="s">
        <v>340</v>
      </c>
      <c r="E3" s="1" t="s">
        <v>356</v>
      </c>
      <c r="F3" s="1" t="s">
        <v>326</v>
      </c>
      <c r="G3" s="1" t="s">
        <v>289</v>
      </c>
      <c r="H3" s="1" t="s">
        <v>290</v>
      </c>
      <c r="I3" s="1" t="s">
        <v>332</v>
      </c>
      <c r="J3" s="1" t="s">
        <v>326</v>
      </c>
      <c r="K3" s="1" t="s">
        <v>333</v>
      </c>
      <c r="L3" s="1" t="s">
        <v>356</v>
      </c>
      <c r="M3" s="1" t="s">
        <v>330</v>
      </c>
      <c r="N3" s="1" t="s">
        <v>341</v>
      </c>
      <c r="O3" s="1" t="s">
        <v>288</v>
      </c>
      <c r="P3" s="1" t="s">
        <v>287</v>
      </c>
      <c r="Q3" s="1" t="s">
        <v>289</v>
      </c>
      <c r="R3" s="1" t="s">
        <v>330</v>
      </c>
      <c r="S3" s="1" t="s">
        <v>356</v>
      </c>
      <c r="T3" s="1" t="s">
        <v>326</v>
      </c>
      <c r="U3" s="1" t="s">
        <v>330</v>
      </c>
      <c r="V3" s="1" t="s">
        <v>320</v>
      </c>
      <c r="W3" s="1" t="s">
        <v>326</v>
      </c>
      <c r="X3" s="1" t="s">
        <v>289</v>
      </c>
      <c r="Y3" s="1" t="s">
        <v>331</v>
      </c>
      <c r="Z3" s="1" t="s">
        <v>356</v>
      </c>
      <c r="AA3" s="1" t="s">
        <v>333</v>
      </c>
      <c r="AB3" s="1" t="s">
        <v>289</v>
      </c>
      <c r="AC3" s="1" t="s">
        <v>346</v>
      </c>
      <c r="AD3" s="1" t="s">
        <v>332</v>
      </c>
      <c r="AE3" s="1" t="s">
        <v>321</v>
      </c>
      <c r="AF3" s="1" t="s">
        <v>342</v>
      </c>
      <c r="AG3" s="1" t="s">
        <v>356</v>
      </c>
      <c r="AH3" s="1" t="s">
        <v>289</v>
      </c>
      <c r="AI3" s="1" t="s">
        <v>287</v>
      </c>
      <c r="AJ3" s="465">
        <v>43056.229596249999</v>
      </c>
    </row>
    <row r="4" spans="1:36">
      <c r="A4" s="1" t="s">
        <v>417</v>
      </c>
      <c r="B4" s="275" t="s">
        <v>453</v>
      </c>
      <c r="C4" s="1" t="s">
        <v>944</v>
      </c>
      <c r="D4" s="1" t="s">
        <v>341</v>
      </c>
      <c r="E4" s="1" t="s">
        <v>356</v>
      </c>
      <c r="F4" s="1" t="s">
        <v>291</v>
      </c>
      <c r="G4" s="1" t="s">
        <v>326</v>
      </c>
      <c r="H4" s="1" t="s">
        <v>341</v>
      </c>
      <c r="I4" s="1" t="s">
        <v>318</v>
      </c>
      <c r="J4" s="1" t="s">
        <v>358</v>
      </c>
      <c r="K4" s="1" t="s">
        <v>306</v>
      </c>
      <c r="L4" s="1" t="s">
        <v>356</v>
      </c>
      <c r="M4" s="1" t="s">
        <v>307</v>
      </c>
      <c r="N4" s="1" t="s">
        <v>358</v>
      </c>
      <c r="O4" s="1" t="s">
        <v>306</v>
      </c>
      <c r="P4" s="1" t="s">
        <v>306</v>
      </c>
      <c r="Q4" s="1" t="s">
        <v>304</v>
      </c>
      <c r="R4" s="1" t="s">
        <v>306</v>
      </c>
      <c r="S4" s="1" t="s">
        <v>356</v>
      </c>
      <c r="T4" s="1" t="s">
        <v>304</v>
      </c>
      <c r="U4" s="1" t="s">
        <v>336</v>
      </c>
      <c r="V4" s="1" t="s">
        <v>305</v>
      </c>
      <c r="W4" s="1" t="s">
        <v>291</v>
      </c>
      <c r="X4" s="1" t="s">
        <v>308</v>
      </c>
      <c r="Y4" s="1" t="s">
        <v>308</v>
      </c>
      <c r="Z4" s="1" t="s">
        <v>356</v>
      </c>
      <c r="AA4" s="1" t="s">
        <v>305</v>
      </c>
      <c r="AB4" s="1" t="s">
        <v>305</v>
      </c>
      <c r="AC4" s="1" t="s">
        <v>307</v>
      </c>
      <c r="AD4" s="1" t="s">
        <v>308</v>
      </c>
      <c r="AE4" s="1" t="s">
        <v>307</v>
      </c>
      <c r="AF4" s="1" t="s">
        <v>305</v>
      </c>
      <c r="AG4" s="1" t="s">
        <v>356</v>
      </c>
      <c r="AH4" s="1" t="s">
        <v>335</v>
      </c>
      <c r="AI4" s="1" t="s">
        <v>305</v>
      </c>
      <c r="AJ4" s="465">
        <v>43056.229596249999</v>
      </c>
    </row>
    <row r="5" spans="1:36">
      <c r="A5" s="1" t="s">
        <v>417</v>
      </c>
      <c r="B5" s="275" t="s">
        <v>453</v>
      </c>
      <c r="C5" s="1" t="s">
        <v>945</v>
      </c>
      <c r="D5" s="1" t="s">
        <v>332</v>
      </c>
      <c r="E5" s="1" t="s">
        <v>356</v>
      </c>
      <c r="F5" s="1" t="s">
        <v>289</v>
      </c>
      <c r="G5" s="1" t="s">
        <v>346</v>
      </c>
      <c r="H5" s="1" t="s">
        <v>322</v>
      </c>
      <c r="I5" s="1" t="s">
        <v>346</v>
      </c>
      <c r="J5" s="1" t="s">
        <v>289</v>
      </c>
      <c r="K5" s="1" t="s">
        <v>321</v>
      </c>
      <c r="L5" s="1" t="s">
        <v>356</v>
      </c>
      <c r="M5" s="1" t="s">
        <v>333</v>
      </c>
      <c r="N5" s="1" t="s">
        <v>287</v>
      </c>
      <c r="O5" s="1" t="s">
        <v>289</v>
      </c>
      <c r="P5" s="1" t="s">
        <v>290</v>
      </c>
      <c r="Q5" s="1" t="s">
        <v>289</v>
      </c>
      <c r="R5" s="1" t="s">
        <v>287</v>
      </c>
      <c r="S5" s="1" t="s">
        <v>356</v>
      </c>
      <c r="T5" s="1" t="s">
        <v>330</v>
      </c>
      <c r="U5" s="1" t="s">
        <v>332</v>
      </c>
      <c r="V5" s="1" t="s">
        <v>346</v>
      </c>
      <c r="W5" s="1" t="s">
        <v>290</v>
      </c>
      <c r="X5" s="1" t="s">
        <v>289</v>
      </c>
      <c r="Y5" s="1" t="s">
        <v>330</v>
      </c>
      <c r="Z5" s="1" t="s">
        <v>356</v>
      </c>
      <c r="AA5" s="1" t="s">
        <v>340</v>
      </c>
      <c r="AB5" s="1" t="s">
        <v>333</v>
      </c>
      <c r="AC5" s="1" t="s">
        <v>332</v>
      </c>
      <c r="AD5" s="1" t="s">
        <v>289</v>
      </c>
      <c r="AE5" s="1" t="s">
        <v>321</v>
      </c>
      <c r="AF5" s="1" t="s">
        <v>333</v>
      </c>
      <c r="AG5" s="1" t="s">
        <v>356</v>
      </c>
      <c r="AH5" s="1" t="s">
        <v>330</v>
      </c>
      <c r="AI5" s="1" t="s">
        <v>290</v>
      </c>
      <c r="AJ5" s="465">
        <v>43056.229596249999</v>
      </c>
    </row>
    <row r="6" spans="1:36">
      <c r="A6" s="1" t="s">
        <v>417</v>
      </c>
      <c r="B6" s="275" t="s">
        <v>487</v>
      </c>
      <c r="C6" s="1" t="s">
        <v>945</v>
      </c>
      <c r="D6" s="1" t="s">
        <v>318</v>
      </c>
      <c r="E6" s="1" t="s">
        <v>356</v>
      </c>
      <c r="F6" s="1" t="s">
        <v>286</v>
      </c>
      <c r="G6" s="1" t="s">
        <v>288</v>
      </c>
      <c r="H6" s="1" t="s">
        <v>326</v>
      </c>
      <c r="I6" s="1" t="s">
        <v>341</v>
      </c>
      <c r="J6" s="1" t="s">
        <v>287</v>
      </c>
      <c r="K6" s="1" t="s">
        <v>318</v>
      </c>
      <c r="L6" s="1" t="s">
        <v>356</v>
      </c>
      <c r="M6" s="1" t="s">
        <v>326</v>
      </c>
      <c r="N6" s="1" t="s">
        <v>341</v>
      </c>
      <c r="O6" s="1" t="s">
        <v>326</v>
      </c>
      <c r="P6" s="1" t="s">
        <v>341</v>
      </c>
      <c r="Q6" s="1" t="s">
        <v>358</v>
      </c>
      <c r="R6" s="1" t="s">
        <v>330</v>
      </c>
      <c r="S6" s="1" t="s">
        <v>356</v>
      </c>
      <c r="T6" s="1" t="s">
        <v>331</v>
      </c>
      <c r="U6" s="1" t="s">
        <v>358</v>
      </c>
      <c r="V6" s="1" t="s">
        <v>320</v>
      </c>
      <c r="W6" s="1" t="s">
        <v>341</v>
      </c>
      <c r="X6" s="1" t="s">
        <v>331</v>
      </c>
      <c r="Y6" s="1" t="s">
        <v>320</v>
      </c>
      <c r="Z6" s="1" t="s">
        <v>356</v>
      </c>
      <c r="AA6" s="1" t="s">
        <v>320</v>
      </c>
      <c r="AB6" s="1" t="s">
        <v>288</v>
      </c>
      <c r="AC6" s="1" t="s">
        <v>341</v>
      </c>
      <c r="AD6" s="1" t="s">
        <v>319</v>
      </c>
      <c r="AE6" s="1" t="s">
        <v>287</v>
      </c>
      <c r="AF6" s="1" t="s">
        <v>320</v>
      </c>
      <c r="AG6" s="1" t="s">
        <v>356</v>
      </c>
      <c r="AH6" s="1" t="s">
        <v>288</v>
      </c>
      <c r="AI6" s="1" t="s">
        <v>288</v>
      </c>
      <c r="AJ6" s="465">
        <v>43056.229596249999</v>
      </c>
    </row>
    <row r="7" spans="1:36">
      <c r="A7" s="1" t="s">
        <v>417</v>
      </c>
      <c r="B7" s="275" t="s">
        <v>518</v>
      </c>
      <c r="C7" s="1" t="s">
        <v>945</v>
      </c>
      <c r="D7" s="1" t="s">
        <v>320</v>
      </c>
      <c r="E7" s="1" t="s">
        <v>356</v>
      </c>
      <c r="F7" s="1" t="s">
        <v>329</v>
      </c>
      <c r="G7" s="1" t="s">
        <v>287</v>
      </c>
      <c r="H7" s="1" t="s">
        <v>340</v>
      </c>
      <c r="I7" s="1" t="s">
        <v>340</v>
      </c>
      <c r="J7" s="1" t="s">
        <v>304</v>
      </c>
      <c r="K7" s="1" t="s">
        <v>293</v>
      </c>
      <c r="L7" s="1" t="s">
        <v>356</v>
      </c>
      <c r="M7" s="1" t="s">
        <v>293</v>
      </c>
      <c r="N7" s="1" t="s">
        <v>308</v>
      </c>
      <c r="O7" s="1" t="s">
        <v>337</v>
      </c>
      <c r="P7" s="1" t="s">
        <v>321</v>
      </c>
      <c r="Q7" s="1" t="s">
        <v>291</v>
      </c>
      <c r="R7" s="1" t="s">
        <v>891</v>
      </c>
      <c r="S7" s="1" t="s">
        <v>356</v>
      </c>
      <c r="T7" s="1" t="s">
        <v>293</v>
      </c>
      <c r="U7" s="1" t="s">
        <v>335</v>
      </c>
      <c r="V7" s="1" t="s">
        <v>293</v>
      </c>
      <c r="W7" s="1" t="s">
        <v>293</v>
      </c>
      <c r="X7" s="1" t="s">
        <v>293</v>
      </c>
      <c r="Y7" s="1" t="s">
        <v>293</v>
      </c>
      <c r="Z7" s="1" t="s">
        <v>356</v>
      </c>
      <c r="AA7" s="1" t="s">
        <v>293</v>
      </c>
      <c r="AB7" s="1" t="s">
        <v>293</v>
      </c>
      <c r="AC7" s="1" t="s">
        <v>293</v>
      </c>
      <c r="AD7" s="1" t="s">
        <v>293</v>
      </c>
      <c r="AE7" s="1" t="s">
        <v>293</v>
      </c>
      <c r="AF7" s="1" t="s">
        <v>293</v>
      </c>
      <c r="AG7" s="1" t="s">
        <v>356</v>
      </c>
      <c r="AH7" s="1" t="s">
        <v>293</v>
      </c>
      <c r="AI7" s="1" t="s">
        <v>289</v>
      </c>
      <c r="AJ7" s="465">
        <v>43056.229596249999</v>
      </c>
    </row>
    <row r="8" spans="1:36">
      <c r="A8" s="1" t="s">
        <v>417</v>
      </c>
      <c r="B8" s="275" t="s">
        <v>547</v>
      </c>
      <c r="C8" s="1" t="s">
        <v>945</v>
      </c>
      <c r="D8" s="1" t="s">
        <v>892</v>
      </c>
      <c r="E8" s="1" t="s">
        <v>356</v>
      </c>
      <c r="F8" s="1" t="s">
        <v>356</v>
      </c>
      <c r="G8" s="1" t="s">
        <v>893</v>
      </c>
      <c r="H8" s="1" t="s">
        <v>892</v>
      </c>
      <c r="I8" s="1" t="s">
        <v>293</v>
      </c>
      <c r="J8" s="1" t="s">
        <v>894</v>
      </c>
      <c r="K8" s="1" t="s">
        <v>356</v>
      </c>
      <c r="L8" s="1" t="s">
        <v>356</v>
      </c>
      <c r="M8" s="1" t="s">
        <v>895</v>
      </c>
      <c r="N8" s="1" t="s">
        <v>293</v>
      </c>
      <c r="O8" s="1" t="s">
        <v>293</v>
      </c>
      <c r="P8" s="1" t="s">
        <v>357</v>
      </c>
      <c r="Q8" s="1" t="s">
        <v>357</v>
      </c>
      <c r="R8" s="1" t="s">
        <v>356</v>
      </c>
      <c r="S8" s="1" t="s">
        <v>356</v>
      </c>
      <c r="T8" s="1" t="s">
        <v>356</v>
      </c>
      <c r="U8" s="1" t="s">
        <v>892</v>
      </c>
      <c r="V8" s="1" t="s">
        <v>357</v>
      </c>
      <c r="W8" s="1" t="s">
        <v>293</v>
      </c>
      <c r="X8" s="1" t="s">
        <v>897</v>
      </c>
      <c r="Y8" s="1" t="s">
        <v>895</v>
      </c>
      <c r="Z8" s="1" t="s">
        <v>356</v>
      </c>
      <c r="AA8" s="1" t="s">
        <v>356</v>
      </c>
      <c r="AB8" s="1" t="s">
        <v>357</v>
      </c>
      <c r="AC8" s="1" t="s">
        <v>911</v>
      </c>
      <c r="AD8" s="1" t="s">
        <v>357</v>
      </c>
      <c r="AE8" s="1" t="s">
        <v>293</v>
      </c>
      <c r="AF8" s="1" t="s">
        <v>293</v>
      </c>
      <c r="AG8" s="1" t="s">
        <v>356</v>
      </c>
      <c r="AH8" s="1" t="s">
        <v>356</v>
      </c>
      <c r="AI8" s="1" t="s">
        <v>946</v>
      </c>
      <c r="AJ8" s="465">
        <v>43056.229596249999</v>
      </c>
    </row>
    <row r="9" spans="1:36">
      <c r="A9" s="1" t="s">
        <v>417</v>
      </c>
      <c r="B9" s="275" t="s">
        <v>576</v>
      </c>
      <c r="C9" s="1" t="s">
        <v>945</v>
      </c>
      <c r="D9" s="1" t="s">
        <v>304</v>
      </c>
      <c r="E9" s="1" t="s">
        <v>356</v>
      </c>
      <c r="F9" s="1" t="s">
        <v>307</v>
      </c>
      <c r="G9" s="1" t="s">
        <v>286</v>
      </c>
      <c r="H9" s="1" t="s">
        <v>318</v>
      </c>
      <c r="I9" s="1" t="s">
        <v>331</v>
      </c>
      <c r="J9" s="1" t="s">
        <v>291</v>
      </c>
      <c r="K9" s="1" t="s">
        <v>319</v>
      </c>
      <c r="L9" s="1" t="s">
        <v>356</v>
      </c>
      <c r="M9" s="1" t="s">
        <v>286</v>
      </c>
      <c r="N9" s="1" t="s">
        <v>305</v>
      </c>
      <c r="O9" s="1" t="s">
        <v>308</v>
      </c>
      <c r="P9" s="1" t="s">
        <v>307</v>
      </c>
      <c r="Q9" s="1" t="s">
        <v>335</v>
      </c>
      <c r="R9" s="1" t="s">
        <v>304</v>
      </c>
      <c r="S9" s="1" t="s">
        <v>356</v>
      </c>
      <c r="T9" s="1" t="s">
        <v>306</v>
      </c>
      <c r="U9" s="1" t="s">
        <v>335</v>
      </c>
      <c r="V9" s="1" t="s">
        <v>306</v>
      </c>
      <c r="W9" s="1" t="s">
        <v>304</v>
      </c>
      <c r="X9" s="1" t="s">
        <v>306</v>
      </c>
      <c r="Y9" s="1" t="s">
        <v>292</v>
      </c>
      <c r="Z9" s="1" t="s">
        <v>356</v>
      </c>
      <c r="AA9" s="1" t="s">
        <v>304</v>
      </c>
      <c r="AB9" s="1" t="s">
        <v>304</v>
      </c>
      <c r="AC9" s="1" t="s">
        <v>318</v>
      </c>
      <c r="AD9" s="1" t="s">
        <v>291</v>
      </c>
      <c r="AE9" s="1" t="s">
        <v>304</v>
      </c>
      <c r="AF9" s="1" t="s">
        <v>308</v>
      </c>
      <c r="AG9" s="1" t="s">
        <v>356</v>
      </c>
      <c r="AH9" s="1" t="s">
        <v>306</v>
      </c>
      <c r="AI9" s="1" t="s">
        <v>307</v>
      </c>
      <c r="AJ9" s="465">
        <v>43056.229596249999</v>
      </c>
    </row>
    <row r="10" spans="1:36">
      <c r="A10" s="1" t="s">
        <v>417</v>
      </c>
      <c r="B10" s="275" t="s">
        <v>608</v>
      </c>
      <c r="C10" s="1" t="s">
        <v>945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356</v>
      </c>
      <c r="AI10" s="1" t="s">
        <v>356</v>
      </c>
      <c r="AJ10" s="465">
        <v>43056.229596249999</v>
      </c>
    </row>
    <row r="11" spans="1:36">
      <c r="A11" s="1" t="s">
        <v>417</v>
      </c>
      <c r="B11" s="275" t="s">
        <v>610</v>
      </c>
      <c r="C11" s="1" t="s">
        <v>945</v>
      </c>
      <c r="D11" s="1" t="s">
        <v>291</v>
      </c>
      <c r="E11" s="1" t="s">
        <v>356</v>
      </c>
      <c r="F11" s="1" t="s">
        <v>306</v>
      </c>
      <c r="G11" s="1" t="s">
        <v>319</v>
      </c>
      <c r="H11" s="1" t="s">
        <v>331</v>
      </c>
      <c r="I11" s="1" t="s">
        <v>293</v>
      </c>
      <c r="J11" s="1" t="s">
        <v>304</v>
      </c>
      <c r="K11" s="1" t="s">
        <v>304</v>
      </c>
      <c r="L11" s="1" t="s">
        <v>356</v>
      </c>
      <c r="M11" s="1" t="s">
        <v>335</v>
      </c>
      <c r="N11" s="1" t="s">
        <v>308</v>
      </c>
      <c r="O11" s="1" t="s">
        <v>293</v>
      </c>
      <c r="P11" s="1" t="s">
        <v>305</v>
      </c>
      <c r="Q11" s="1" t="s">
        <v>305</v>
      </c>
      <c r="R11" s="1" t="s">
        <v>308</v>
      </c>
      <c r="S11" s="1" t="s">
        <v>356</v>
      </c>
      <c r="T11" s="1" t="s">
        <v>306</v>
      </c>
      <c r="U11" s="1" t="s">
        <v>305</v>
      </c>
      <c r="V11" s="1" t="s">
        <v>293</v>
      </c>
      <c r="W11" s="1" t="s">
        <v>304</v>
      </c>
      <c r="X11" s="1" t="s">
        <v>293</v>
      </c>
      <c r="Y11" s="1" t="s">
        <v>293</v>
      </c>
      <c r="Z11" s="1" t="s">
        <v>356</v>
      </c>
      <c r="AA11" s="1" t="s">
        <v>335</v>
      </c>
      <c r="AB11" s="1" t="s">
        <v>293</v>
      </c>
      <c r="AC11" s="1" t="s">
        <v>293</v>
      </c>
      <c r="AD11" s="1" t="s">
        <v>304</v>
      </c>
      <c r="AE11" s="1" t="s">
        <v>304</v>
      </c>
      <c r="AF11" s="1" t="s">
        <v>304</v>
      </c>
      <c r="AG11" s="1" t="s">
        <v>356</v>
      </c>
      <c r="AH11" s="1" t="s">
        <v>304</v>
      </c>
      <c r="AI11" s="1" t="s">
        <v>335</v>
      </c>
      <c r="AJ11" s="465">
        <v>43056.229596249999</v>
      </c>
    </row>
    <row r="12" spans="1:36">
      <c r="A12" s="1" t="s">
        <v>417</v>
      </c>
      <c r="B12" s="275" t="s">
        <v>901</v>
      </c>
      <c r="C12" s="1" t="s">
        <v>945</v>
      </c>
      <c r="D12" s="1" t="s">
        <v>373</v>
      </c>
      <c r="E12" s="1" t="s">
        <v>356</v>
      </c>
      <c r="F12" s="1" t="s">
        <v>902</v>
      </c>
      <c r="G12" s="1" t="s">
        <v>343</v>
      </c>
      <c r="H12" s="1" t="s">
        <v>293</v>
      </c>
      <c r="I12" s="1" t="s">
        <v>339</v>
      </c>
      <c r="J12" s="1" t="s">
        <v>293</v>
      </c>
      <c r="K12" s="1" t="s">
        <v>293</v>
      </c>
      <c r="L12" s="1" t="s">
        <v>356</v>
      </c>
      <c r="M12" s="1" t="s">
        <v>293</v>
      </c>
      <c r="N12" s="1" t="s">
        <v>293</v>
      </c>
      <c r="O12" s="1" t="s">
        <v>293</v>
      </c>
      <c r="P12" s="1" t="s">
        <v>293</v>
      </c>
      <c r="Q12" s="1" t="s">
        <v>293</v>
      </c>
      <c r="R12" s="1" t="s">
        <v>293</v>
      </c>
      <c r="S12" s="1" t="s">
        <v>356</v>
      </c>
      <c r="T12" s="1" t="s">
        <v>309</v>
      </c>
      <c r="U12" s="1" t="s">
        <v>293</v>
      </c>
      <c r="V12" s="1" t="s">
        <v>310</v>
      </c>
      <c r="W12" s="1" t="s">
        <v>293</v>
      </c>
      <c r="X12" s="1" t="s">
        <v>293</v>
      </c>
      <c r="Y12" s="1" t="s">
        <v>293</v>
      </c>
      <c r="Z12" s="1" t="s">
        <v>356</v>
      </c>
      <c r="AA12" s="1" t="s">
        <v>293</v>
      </c>
      <c r="AB12" s="1" t="s">
        <v>293</v>
      </c>
      <c r="AC12" s="1" t="s">
        <v>293</v>
      </c>
      <c r="AD12" s="1" t="s">
        <v>293</v>
      </c>
      <c r="AE12" s="1" t="s">
        <v>293</v>
      </c>
      <c r="AF12" s="1" t="s">
        <v>293</v>
      </c>
      <c r="AG12" s="1" t="s">
        <v>356</v>
      </c>
      <c r="AH12" s="1" t="s">
        <v>293</v>
      </c>
      <c r="AI12" s="1" t="s">
        <v>326</v>
      </c>
      <c r="AJ12" s="465">
        <v>43056.229596249999</v>
      </c>
    </row>
    <row r="13" spans="1:36">
      <c r="A13" s="1" t="s">
        <v>417</v>
      </c>
      <c r="B13" s="275" t="s">
        <v>903</v>
      </c>
      <c r="C13" s="1" t="s">
        <v>945</v>
      </c>
      <c r="D13" s="1" t="s">
        <v>904</v>
      </c>
      <c r="E13" s="1" t="s">
        <v>356</v>
      </c>
      <c r="F13" s="1" t="s">
        <v>293</v>
      </c>
      <c r="G13" s="1" t="s">
        <v>905</v>
      </c>
      <c r="H13" s="1" t="s">
        <v>897</v>
      </c>
      <c r="I13" s="1" t="s">
        <v>357</v>
      </c>
      <c r="J13" s="1" t="s">
        <v>907</v>
      </c>
      <c r="K13" s="1" t="s">
        <v>293</v>
      </c>
      <c r="L13" s="1" t="s">
        <v>356</v>
      </c>
      <c r="M13" s="1" t="s">
        <v>895</v>
      </c>
      <c r="N13" s="1" t="s">
        <v>892</v>
      </c>
      <c r="O13" s="1" t="s">
        <v>892</v>
      </c>
      <c r="P13" s="1" t="s">
        <v>947</v>
      </c>
      <c r="Q13" s="1" t="s">
        <v>947</v>
      </c>
      <c r="R13" s="1" t="s">
        <v>356</v>
      </c>
      <c r="S13" s="1" t="s">
        <v>356</v>
      </c>
      <c r="T13" s="1" t="s">
        <v>909</v>
      </c>
      <c r="U13" s="1" t="s">
        <v>910</v>
      </c>
      <c r="V13" s="1" t="s">
        <v>948</v>
      </c>
      <c r="W13" s="1" t="s">
        <v>907</v>
      </c>
      <c r="X13" s="1" t="s">
        <v>356</v>
      </c>
      <c r="Y13" s="1" t="s">
        <v>293</v>
      </c>
      <c r="Z13" s="1" t="s">
        <v>356</v>
      </c>
      <c r="AA13" s="1" t="s">
        <v>949</v>
      </c>
      <c r="AB13" s="1" t="s">
        <v>898</v>
      </c>
      <c r="AC13" s="1" t="s">
        <v>950</v>
      </c>
      <c r="AD13" s="1" t="s">
        <v>293</v>
      </c>
      <c r="AE13" s="1" t="s">
        <v>293</v>
      </c>
      <c r="AF13" s="1" t="s">
        <v>293</v>
      </c>
      <c r="AG13" s="1" t="s">
        <v>356</v>
      </c>
      <c r="AH13" s="1" t="s">
        <v>895</v>
      </c>
      <c r="AI13" s="1" t="s">
        <v>951</v>
      </c>
      <c r="AJ13" s="465">
        <v>43056.229596249999</v>
      </c>
    </row>
    <row r="14" spans="1:36">
      <c r="A14" s="1" t="s">
        <v>417</v>
      </c>
      <c r="B14" s="275" t="s">
        <v>913</v>
      </c>
      <c r="C14" s="1" t="s">
        <v>945</v>
      </c>
      <c r="D14" s="1" t="s">
        <v>321</v>
      </c>
      <c r="E14" s="1" t="s">
        <v>356</v>
      </c>
      <c r="F14" s="1" t="s">
        <v>323</v>
      </c>
      <c r="G14" s="1" t="s">
        <v>289</v>
      </c>
      <c r="H14" s="1" t="s">
        <v>322</v>
      </c>
      <c r="I14" s="1" t="s">
        <v>340</v>
      </c>
      <c r="J14" s="1" t="s">
        <v>287</v>
      </c>
      <c r="K14" s="1" t="s">
        <v>326</v>
      </c>
      <c r="L14" s="1" t="s">
        <v>356</v>
      </c>
      <c r="M14" s="1" t="s">
        <v>326</v>
      </c>
      <c r="N14" s="1" t="s">
        <v>290</v>
      </c>
      <c r="O14" s="1" t="s">
        <v>287</v>
      </c>
      <c r="P14" s="1" t="s">
        <v>293</v>
      </c>
      <c r="Q14" s="1" t="s">
        <v>371</v>
      </c>
      <c r="R14" s="1" t="s">
        <v>319</v>
      </c>
      <c r="S14" s="1" t="s">
        <v>356</v>
      </c>
      <c r="T14" s="1" t="s">
        <v>347</v>
      </c>
      <c r="U14" s="1" t="s">
        <v>345</v>
      </c>
      <c r="V14" s="1" t="s">
        <v>340</v>
      </c>
      <c r="W14" s="1" t="s">
        <v>341</v>
      </c>
      <c r="X14" s="1" t="s">
        <v>291</v>
      </c>
      <c r="Y14" s="1" t="s">
        <v>952</v>
      </c>
      <c r="Z14" s="1" t="s">
        <v>356</v>
      </c>
      <c r="AA14" s="1" t="s">
        <v>311</v>
      </c>
      <c r="AB14" s="1" t="s">
        <v>306</v>
      </c>
      <c r="AC14" s="1" t="s">
        <v>915</v>
      </c>
      <c r="AD14" s="1" t="s">
        <v>321</v>
      </c>
      <c r="AE14" s="1" t="s">
        <v>296</v>
      </c>
      <c r="AF14" s="1" t="s">
        <v>296</v>
      </c>
      <c r="AG14" s="1" t="s">
        <v>356</v>
      </c>
      <c r="AH14" s="1" t="s">
        <v>346</v>
      </c>
      <c r="AI14" s="1" t="s">
        <v>340</v>
      </c>
      <c r="AJ14" s="465">
        <v>43056.229596249999</v>
      </c>
    </row>
    <row r="15" spans="1:36">
      <c r="A15" s="1" t="s">
        <v>417</v>
      </c>
      <c r="B15" s="275" t="s">
        <v>917</v>
      </c>
      <c r="C15" s="1" t="s">
        <v>945</v>
      </c>
      <c r="D15" s="1" t="s">
        <v>918</v>
      </c>
      <c r="E15" s="1" t="s">
        <v>356</v>
      </c>
      <c r="F15" s="1" t="s">
        <v>347</v>
      </c>
      <c r="G15" s="1" t="s">
        <v>293</v>
      </c>
      <c r="H15" s="1" t="s">
        <v>349</v>
      </c>
      <c r="I15" s="1" t="s">
        <v>332</v>
      </c>
      <c r="J15" s="1" t="s">
        <v>349</v>
      </c>
      <c r="K15" s="1" t="s">
        <v>288</v>
      </c>
      <c r="L15" s="1" t="s">
        <v>356</v>
      </c>
      <c r="M15" s="1" t="s">
        <v>293</v>
      </c>
      <c r="N15" s="1" t="s">
        <v>374</v>
      </c>
      <c r="O15" s="1" t="s">
        <v>293</v>
      </c>
      <c r="P15" s="1" t="s">
        <v>293</v>
      </c>
      <c r="Q15" s="1" t="s">
        <v>347</v>
      </c>
      <c r="R15" s="1" t="s">
        <v>341</v>
      </c>
      <c r="S15" s="1" t="s">
        <v>356</v>
      </c>
      <c r="T15" s="1" t="s">
        <v>919</v>
      </c>
      <c r="U15" s="1" t="s">
        <v>371</v>
      </c>
      <c r="V15" s="1" t="s">
        <v>371</v>
      </c>
      <c r="W15" s="1" t="s">
        <v>337</v>
      </c>
      <c r="X15" s="1" t="s">
        <v>287</v>
      </c>
      <c r="Y15" s="1" t="s">
        <v>289</v>
      </c>
      <c r="Z15" s="1" t="s">
        <v>356</v>
      </c>
      <c r="AA15" s="1" t="s">
        <v>293</v>
      </c>
      <c r="AB15" s="1" t="s">
        <v>347</v>
      </c>
      <c r="AC15" s="1" t="s">
        <v>326</v>
      </c>
      <c r="AD15" s="1" t="s">
        <v>315</v>
      </c>
      <c r="AE15" s="1" t="s">
        <v>293</v>
      </c>
      <c r="AF15" s="1" t="s">
        <v>293</v>
      </c>
      <c r="AG15" s="1" t="s">
        <v>356</v>
      </c>
      <c r="AH15" s="1" t="s">
        <v>293</v>
      </c>
      <c r="AI15" s="1" t="s">
        <v>332</v>
      </c>
      <c r="AJ15" s="465">
        <v>43056.229596249999</v>
      </c>
    </row>
    <row r="16" spans="1:36">
      <c r="A16" s="1" t="s">
        <v>417</v>
      </c>
      <c r="B16" s="275" t="s">
        <v>920</v>
      </c>
      <c r="C16" s="1" t="s">
        <v>945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1" t="s">
        <v>356</v>
      </c>
      <c r="R16" s="1" t="s">
        <v>356</v>
      </c>
      <c r="S16" s="1" t="s">
        <v>356</v>
      </c>
      <c r="T16" s="1" t="s">
        <v>356</v>
      </c>
      <c r="U16" s="1" t="s">
        <v>356</v>
      </c>
      <c r="V16" s="1" t="s">
        <v>356</v>
      </c>
      <c r="W16" s="1" t="s">
        <v>356</v>
      </c>
      <c r="X16" s="1" t="s">
        <v>356</v>
      </c>
      <c r="Y16" s="1" t="s">
        <v>356</v>
      </c>
      <c r="Z16" s="1" t="s">
        <v>356</v>
      </c>
      <c r="AA16" s="1" t="s">
        <v>356</v>
      </c>
      <c r="AB16" s="1" t="s">
        <v>356</v>
      </c>
      <c r="AC16" s="1" t="s">
        <v>356</v>
      </c>
      <c r="AD16" s="1" t="s">
        <v>356</v>
      </c>
      <c r="AE16" s="1" t="s">
        <v>356</v>
      </c>
      <c r="AF16" s="1" t="s">
        <v>356</v>
      </c>
      <c r="AG16" s="1" t="s">
        <v>356</v>
      </c>
      <c r="AH16" s="1" t="s">
        <v>356</v>
      </c>
      <c r="AI16" s="1" t="s">
        <v>356</v>
      </c>
      <c r="AJ16" s="465">
        <v>43056.229596249999</v>
      </c>
    </row>
    <row r="17" spans="1:36">
      <c r="A17" s="1" t="s">
        <v>417</v>
      </c>
      <c r="B17" s="275" t="s">
        <v>953</v>
      </c>
      <c r="C17" s="1" t="s">
        <v>945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1" t="s">
        <v>356</v>
      </c>
      <c r="AJ17" s="465">
        <v>43056.229596249999</v>
      </c>
    </row>
    <row r="18" spans="1:36">
      <c r="A18" s="1" t="s">
        <v>417</v>
      </c>
      <c r="B18" s="275" t="s">
        <v>954</v>
      </c>
      <c r="C18" s="1" t="s">
        <v>945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1" t="s">
        <v>356</v>
      </c>
      <c r="AJ18" s="465">
        <v>43056.229596249999</v>
      </c>
    </row>
    <row r="19" spans="1:36">
      <c r="A19" s="1" t="s">
        <v>417</v>
      </c>
      <c r="B19" s="275" t="s">
        <v>955</v>
      </c>
      <c r="C19" s="1" t="s">
        <v>945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1" t="s">
        <v>356</v>
      </c>
      <c r="AJ19" s="465">
        <v>43056.229596249999</v>
      </c>
    </row>
    <row r="20" spans="1:36">
      <c r="A20" s="1" t="s">
        <v>417</v>
      </c>
      <c r="B20" s="275" t="s">
        <v>956</v>
      </c>
      <c r="C20" s="1" t="s">
        <v>945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1" t="s">
        <v>356</v>
      </c>
      <c r="AJ20" s="465">
        <v>43056.229596249999</v>
      </c>
    </row>
    <row r="21" spans="1:36">
      <c r="A21" s="1" t="s">
        <v>417</v>
      </c>
      <c r="B21" s="275" t="s">
        <v>957</v>
      </c>
      <c r="C21" s="1" t="s">
        <v>945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1" t="s">
        <v>356</v>
      </c>
      <c r="R21" s="1" t="s">
        <v>356</v>
      </c>
      <c r="S21" s="1" t="s">
        <v>356</v>
      </c>
      <c r="T21" s="1" t="s">
        <v>356</v>
      </c>
      <c r="U21" s="1" t="s">
        <v>356</v>
      </c>
      <c r="V21" s="1" t="s">
        <v>356</v>
      </c>
      <c r="W21" s="1" t="s">
        <v>356</v>
      </c>
      <c r="X21" s="1" t="s">
        <v>356</v>
      </c>
      <c r="Y21" s="1" t="s">
        <v>356</v>
      </c>
      <c r="Z21" s="1" t="s">
        <v>356</v>
      </c>
      <c r="AA21" s="1" t="s">
        <v>356</v>
      </c>
      <c r="AB21" s="1" t="s">
        <v>356</v>
      </c>
      <c r="AC21" s="1" t="s">
        <v>356</v>
      </c>
      <c r="AD21" s="1" t="s">
        <v>356</v>
      </c>
      <c r="AE21" s="1" t="s">
        <v>356</v>
      </c>
      <c r="AF21" s="1" t="s">
        <v>356</v>
      </c>
      <c r="AG21" s="1" t="s">
        <v>356</v>
      </c>
      <c r="AH21" s="1" t="s">
        <v>356</v>
      </c>
      <c r="AI21" s="1" t="s">
        <v>356</v>
      </c>
      <c r="AJ21" s="465">
        <v>43056.229596249999</v>
      </c>
    </row>
    <row r="22" spans="1:36">
      <c r="A22" s="466" t="s">
        <v>417</v>
      </c>
      <c r="B22" s="466" t="s">
        <v>958</v>
      </c>
      <c r="C22" s="466" t="s">
        <v>945</v>
      </c>
      <c r="D22" s="466" t="s">
        <v>311</v>
      </c>
      <c r="E22" s="466" t="s">
        <v>356</v>
      </c>
      <c r="F22" s="466" t="s">
        <v>352</v>
      </c>
      <c r="G22" s="466" t="s">
        <v>959</v>
      </c>
      <c r="H22" s="466" t="s">
        <v>960</v>
      </c>
      <c r="I22" s="466" t="s">
        <v>961</v>
      </c>
      <c r="J22" s="466" t="s">
        <v>962</v>
      </c>
      <c r="K22" s="466" t="s">
        <v>295</v>
      </c>
      <c r="L22" s="466" t="s">
        <v>356</v>
      </c>
      <c r="M22" s="466" t="s">
        <v>934</v>
      </c>
      <c r="N22" s="466" t="s">
        <v>963</v>
      </c>
      <c r="O22" s="466" t="s">
        <v>933</v>
      </c>
      <c r="P22" s="466" t="s">
        <v>964</v>
      </c>
      <c r="Q22" s="466" t="s">
        <v>353</v>
      </c>
      <c r="R22" s="466" t="s">
        <v>374</v>
      </c>
      <c r="S22" s="466" t="s">
        <v>356</v>
      </c>
      <c r="T22" s="466" t="s">
        <v>965</v>
      </c>
      <c r="U22" s="466" t="s">
        <v>966</v>
      </c>
      <c r="V22" s="466" t="s">
        <v>296</v>
      </c>
      <c r="W22" s="466" t="s">
        <v>343</v>
      </c>
      <c r="X22" s="466" t="s">
        <v>368</v>
      </c>
      <c r="Y22" s="466" t="s">
        <v>360</v>
      </c>
      <c r="Z22" s="466" t="s">
        <v>356</v>
      </c>
      <c r="AA22" s="466" t="s">
        <v>343</v>
      </c>
      <c r="AB22" s="466" t="s">
        <v>348</v>
      </c>
      <c r="AC22" s="466" t="s">
        <v>286</v>
      </c>
      <c r="AD22" s="466" t="s">
        <v>317</v>
      </c>
      <c r="AE22" s="466" t="s">
        <v>322</v>
      </c>
      <c r="AF22" s="466" t="s">
        <v>370</v>
      </c>
      <c r="AG22" s="466" t="s">
        <v>356</v>
      </c>
      <c r="AH22" s="466" t="s">
        <v>347</v>
      </c>
      <c r="AI22" s="466" t="s">
        <v>952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967</v>
      </c>
    </row>
    <row r="2" spans="1:35">
      <c r="A2" s="1" t="s">
        <v>417</v>
      </c>
      <c r="B2" s="275" t="s">
        <v>453</v>
      </c>
      <c r="C2" s="1" t="s">
        <v>968</v>
      </c>
      <c r="D2" s="1" t="s">
        <v>609</v>
      </c>
      <c r="E2" s="1" t="s">
        <v>969</v>
      </c>
      <c r="F2" s="1" t="s">
        <v>970</v>
      </c>
      <c r="G2" s="1" t="s">
        <v>971</v>
      </c>
      <c r="H2" s="1" t="s">
        <v>972</v>
      </c>
      <c r="I2" s="1"/>
      <c r="J2" s="1" t="s">
        <v>973</v>
      </c>
      <c r="K2" s="1" t="s">
        <v>609</v>
      </c>
      <c r="L2" s="1" t="s">
        <v>974</v>
      </c>
      <c r="M2" s="1" t="s">
        <v>975</v>
      </c>
      <c r="N2" s="1" t="s">
        <v>976</v>
      </c>
      <c r="O2" s="1" t="s">
        <v>977</v>
      </c>
      <c r="P2" s="1" t="s">
        <v>978</v>
      </c>
      <c r="Q2" s="1" t="s">
        <v>979</v>
      </c>
      <c r="R2" s="1" t="s">
        <v>609</v>
      </c>
      <c r="S2" s="1" t="s">
        <v>980</v>
      </c>
      <c r="T2" s="1" t="s">
        <v>981</v>
      </c>
      <c r="U2" s="1" t="s">
        <v>982</v>
      </c>
      <c r="V2" s="1" t="s">
        <v>983</v>
      </c>
      <c r="W2" s="1" t="s">
        <v>984</v>
      </c>
      <c r="X2" s="1" t="s">
        <v>985</v>
      </c>
      <c r="Y2" s="1" t="s">
        <v>609</v>
      </c>
      <c r="Z2" s="1" t="s">
        <v>986</v>
      </c>
      <c r="AA2" s="1" t="s">
        <v>971</v>
      </c>
      <c r="AB2" s="1" t="s">
        <v>987</v>
      </c>
      <c r="AC2" s="1" t="s">
        <v>988</v>
      </c>
      <c r="AD2" s="1" t="s">
        <v>989</v>
      </c>
      <c r="AE2" s="1" t="s">
        <v>990</v>
      </c>
      <c r="AF2" s="1" t="s">
        <v>609</v>
      </c>
      <c r="AG2" s="1" t="s">
        <v>991</v>
      </c>
      <c r="AH2" s="1" t="s">
        <v>992</v>
      </c>
      <c r="AI2" s="465">
        <v>43056.2297915741</v>
      </c>
    </row>
    <row r="3" spans="1:35">
      <c r="A3" s="1" t="s">
        <v>417</v>
      </c>
      <c r="B3" s="275" t="s">
        <v>487</v>
      </c>
      <c r="C3" s="1" t="s">
        <v>993</v>
      </c>
      <c r="D3" s="1" t="s">
        <v>609</v>
      </c>
      <c r="E3" s="1" t="s">
        <v>994</v>
      </c>
      <c r="F3" s="1" t="s">
        <v>995</v>
      </c>
      <c r="G3" s="1" t="s">
        <v>996</v>
      </c>
      <c r="H3" s="1" t="s">
        <v>997</v>
      </c>
      <c r="I3" s="1"/>
      <c r="J3" s="1" t="s">
        <v>993</v>
      </c>
      <c r="K3" s="1" t="s">
        <v>609</v>
      </c>
      <c r="L3" s="1" t="s">
        <v>998</v>
      </c>
      <c r="M3" s="1" t="s">
        <v>999</v>
      </c>
      <c r="N3" s="1" t="s">
        <v>1000</v>
      </c>
      <c r="O3" s="1" t="s">
        <v>1001</v>
      </c>
      <c r="P3" s="1" t="s">
        <v>993</v>
      </c>
      <c r="Q3" s="1" t="s">
        <v>1002</v>
      </c>
      <c r="R3" s="1" t="s">
        <v>609</v>
      </c>
      <c r="S3" s="1" t="s">
        <v>995</v>
      </c>
      <c r="T3" s="1" t="s">
        <v>1002</v>
      </c>
      <c r="U3" s="1" t="s">
        <v>1003</v>
      </c>
      <c r="V3" s="1" t="s">
        <v>997</v>
      </c>
      <c r="W3" s="1" t="s">
        <v>1001</v>
      </c>
      <c r="X3" s="1" t="s">
        <v>1004</v>
      </c>
      <c r="Y3" s="1" t="s">
        <v>609</v>
      </c>
      <c r="Z3" s="1" t="s">
        <v>1003</v>
      </c>
      <c r="AA3" s="1" t="s">
        <v>1005</v>
      </c>
      <c r="AB3" s="1" t="s">
        <v>1006</v>
      </c>
      <c r="AC3" s="1" t="s">
        <v>1007</v>
      </c>
      <c r="AD3" s="1" t="s">
        <v>1008</v>
      </c>
      <c r="AE3" s="1" t="s">
        <v>1009</v>
      </c>
      <c r="AF3" s="1" t="s">
        <v>609</v>
      </c>
      <c r="AG3" s="1" t="s">
        <v>1010</v>
      </c>
      <c r="AH3" s="1" t="s">
        <v>1011</v>
      </c>
      <c r="AI3" s="465">
        <v>43056.2297915741</v>
      </c>
    </row>
    <row r="4" spans="1:35">
      <c r="A4" s="1" t="s">
        <v>417</v>
      </c>
      <c r="B4" s="275" t="s">
        <v>518</v>
      </c>
      <c r="C4" s="1" t="s">
        <v>1012</v>
      </c>
      <c r="D4" s="1" t="s">
        <v>609</v>
      </c>
      <c r="E4" s="1" t="s">
        <v>1013</v>
      </c>
      <c r="F4" s="1" t="s">
        <v>1014</v>
      </c>
      <c r="G4" s="1" t="s">
        <v>1015</v>
      </c>
      <c r="H4" s="1" t="s">
        <v>1015</v>
      </c>
      <c r="I4" s="1"/>
      <c r="J4" s="1" t="s">
        <v>609</v>
      </c>
      <c r="K4" s="1" t="s">
        <v>609</v>
      </c>
      <c r="L4" s="1" t="s">
        <v>609</v>
      </c>
      <c r="M4" s="1" t="s">
        <v>1016</v>
      </c>
      <c r="N4" s="1" t="s">
        <v>1017</v>
      </c>
      <c r="O4" s="1" t="s">
        <v>1014</v>
      </c>
      <c r="P4" s="1" t="s">
        <v>1018</v>
      </c>
      <c r="Q4" s="1" t="s">
        <v>1019</v>
      </c>
      <c r="R4" s="1" t="s">
        <v>609</v>
      </c>
      <c r="S4" s="1" t="s">
        <v>609</v>
      </c>
      <c r="T4" s="1" t="s">
        <v>1020</v>
      </c>
      <c r="U4" s="1" t="s">
        <v>609</v>
      </c>
      <c r="V4" s="1" t="s">
        <v>609</v>
      </c>
      <c r="W4" s="1" t="s">
        <v>609</v>
      </c>
      <c r="X4" s="1" t="s">
        <v>609</v>
      </c>
      <c r="Y4" s="1" t="s">
        <v>609</v>
      </c>
      <c r="Z4" s="1" t="s">
        <v>609</v>
      </c>
      <c r="AA4" s="1" t="s">
        <v>609</v>
      </c>
      <c r="AB4" s="1" t="s">
        <v>609</v>
      </c>
      <c r="AC4" s="1" t="s">
        <v>609</v>
      </c>
      <c r="AD4" s="1" t="s">
        <v>609</v>
      </c>
      <c r="AE4" s="1" t="s">
        <v>609</v>
      </c>
      <c r="AF4" s="1" t="s">
        <v>609</v>
      </c>
      <c r="AG4" s="1" t="s">
        <v>609</v>
      </c>
      <c r="AH4" s="1" t="s">
        <v>1021</v>
      </c>
      <c r="AI4" s="465">
        <v>43056.2297915741</v>
      </c>
    </row>
    <row r="5" spans="1:35">
      <c r="A5" s="1" t="s">
        <v>417</v>
      </c>
      <c r="B5" s="275" t="s">
        <v>547</v>
      </c>
      <c r="C5" s="1" t="s">
        <v>1016</v>
      </c>
      <c r="D5" s="1" t="s">
        <v>609</v>
      </c>
      <c r="E5" s="1" t="s">
        <v>1018</v>
      </c>
      <c r="F5" s="1" t="s">
        <v>1020</v>
      </c>
      <c r="G5" s="1" t="s">
        <v>1016</v>
      </c>
      <c r="H5" s="1" t="s">
        <v>609</v>
      </c>
      <c r="I5" s="1"/>
      <c r="J5" s="1" t="s">
        <v>1020</v>
      </c>
      <c r="K5" s="1" t="s">
        <v>609</v>
      </c>
      <c r="L5" s="1" t="s">
        <v>1020</v>
      </c>
      <c r="M5" s="1" t="s">
        <v>1020</v>
      </c>
      <c r="N5" s="1" t="s">
        <v>1016</v>
      </c>
      <c r="O5" s="1" t="s">
        <v>1020</v>
      </c>
      <c r="P5" s="1" t="s">
        <v>1018</v>
      </c>
      <c r="Q5" s="1" t="s">
        <v>1020</v>
      </c>
      <c r="R5" s="1" t="s">
        <v>609</v>
      </c>
      <c r="S5" s="1" t="s">
        <v>1018</v>
      </c>
      <c r="T5" s="1" t="s">
        <v>1016</v>
      </c>
      <c r="U5" s="1" t="s">
        <v>1020</v>
      </c>
      <c r="V5" s="1" t="s">
        <v>609</v>
      </c>
      <c r="W5" s="1" t="s">
        <v>1012</v>
      </c>
      <c r="X5" s="1" t="s">
        <v>1016</v>
      </c>
      <c r="Y5" s="1" t="s">
        <v>609</v>
      </c>
      <c r="Z5" s="1" t="s">
        <v>1020</v>
      </c>
      <c r="AA5" s="1" t="s">
        <v>1016</v>
      </c>
      <c r="AB5" s="1" t="s">
        <v>1016</v>
      </c>
      <c r="AC5" s="1" t="s">
        <v>1020</v>
      </c>
      <c r="AD5" s="1" t="s">
        <v>1020</v>
      </c>
      <c r="AE5" s="1" t="s">
        <v>609</v>
      </c>
      <c r="AF5" s="1" t="s">
        <v>609</v>
      </c>
      <c r="AG5" s="1" t="s">
        <v>609</v>
      </c>
      <c r="AH5" s="1" t="s">
        <v>896</v>
      </c>
      <c r="AI5" s="465">
        <v>43056.2297915741</v>
      </c>
    </row>
    <row r="6" spans="1:35">
      <c r="A6" s="1" t="s">
        <v>417</v>
      </c>
      <c r="B6" s="275" t="s">
        <v>576</v>
      </c>
      <c r="C6" s="1" t="s">
        <v>1022</v>
      </c>
      <c r="D6" s="1" t="s">
        <v>609</v>
      </c>
      <c r="E6" s="1" t="s">
        <v>1023</v>
      </c>
      <c r="F6" s="1" t="s">
        <v>1008</v>
      </c>
      <c r="G6" s="1" t="s">
        <v>1024</v>
      </c>
      <c r="H6" s="1" t="s">
        <v>1006</v>
      </c>
      <c r="I6" s="1"/>
      <c r="J6" s="1" t="s">
        <v>1025</v>
      </c>
      <c r="K6" s="1" t="s">
        <v>609</v>
      </c>
      <c r="L6" s="1" t="s">
        <v>1026</v>
      </c>
      <c r="M6" s="1" t="s">
        <v>1017</v>
      </c>
      <c r="N6" s="1" t="s">
        <v>1027</v>
      </c>
      <c r="O6" s="1" t="s">
        <v>1028</v>
      </c>
      <c r="P6" s="1" t="s">
        <v>1029</v>
      </c>
      <c r="Q6" s="1" t="s">
        <v>1022</v>
      </c>
      <c r="R6" s="1" t="s">
        <v>609</v>
      </c>
      <c r="S6" s="1" t="s">
        <v>1030</v>
      </c>
      <c r="T6" s="1" t="s">
        <v>1014</v>
      </c>
      <c r="U6" s="1" t="s">
        <v>1030</v>
      </c>
      <c r="V6" s="1" t="s">
        <v>1022</v>
      </c>
      <c r="W6" s="1" t="s">
        <v>1015</v>
      </c>
      <c r="X6" s="1" t="s">
        <v>1020</v>
      </c>
      <c r="Y6" s="1" t="s">
        <v>609</v>
      </c>
      <c r="Z6" s="1" t="s">
        <v>1022</v>
      </c>
      <c r="AA6" s="1" t="s">
        <v>1022</v>
      </c>
      <c r="AB6" s="1" t="s">
        <v>1004</v>
      </c>
      <c r="AC6" s="1" t="s">
        <v>1031</v>
      </c>
      <c r="AD6" s="1" t="s">
        <v>1022</v>
      </c>
      <c r="AE6" s="1" t="s">
        <v>1032</v>
      </c>
      <c r="AF6" s="1" t="s">
        <v>609</v>
      </c>
      <c r="AG6" s="1" t="s">
        <v>1030</v>
      </c>
      <c r="AH6" s="1" t="s">
        <v>1033</v>
      </c>
      <c r="AI6" s="465">
        <v>43056.2297915741</v>
      </c>
    </row>
    <row r="7" spans="1:35">
      <c r="A7" s="1" t="s">
        <v>417</v>
      </c>
      <c r="B7" s="275" t="s">
        <v>608</v>
      </c>
      <c r="C7" s="1" t="s">
        <v>609</v>
      </c>
      <c r="D7" s="1" t="s">
        <v>609</v>
      </c>
      <c r="E7" s="1" t="s">
        <v>609</v>
      </c>
      <c r="F7" s="1" t="s">
        <v>609</v>
      </c>
      <c r="G7" s="1" t="s">
        <v>609</v>
      </c>
      <c r="H7" s="1" t="s">
        <v>609</v>
      </c>
      <c r="I7" s="1"/>
      <c r="J7" s="1" t="s">
        <v>609</v>
      </c>
      <c r="K7" s="1" t="s">
        <v>609</v>
      </c>
      <c r="L7" s="1" t="s">
        <v>609</v>
      </c>
      <c r="M7" s="1" t="s">
        <v>609</v>
      </c>
      <c r="N7" s="1" t="s">
        <v>609</v>
      </c>
      <c r="O7" s="1" t="s">
        <v>609</v>
      </c>
      <c r="P7" s="1" t="s">
        <v>609</v>
      </c>
      <c r="Q7" s="1" t="s">
        <v>609</v>
      </c>
      <c r="R7" s="1" t="s">
        <v>609</v>
      </c>
      <c r="S7" s="1" t="s">
        <v>609</v>
      </c>
      <c r="T7" s="1" t="s">
        <v>609</v>
      </c>
      <c r="U7" s="1" t="s">
        <v>609</v>
      </c>
      <c r="V7" s="1" t="s">
        <v>609</v>
      </c>
      <c r="W7" s="1" t="s">
        <v>609</v>
      </c>
      <c r="X7" s="1" t="s">
        <v>609</v>
      </c>
      <c r="Y7" s="1" t="s">
        <v>609</v>
      </c>
      <c r="Z7" s="1" t="s">
        <v>609</v>
      </c>
      <c r="AA7" s="1" t="s">
        <v>609</v>
      </c>
      <c r="AB7" s="1" t="s">
        <v>609</v>
      </c>
      <c r="AC7" s="1" t="s">
        <v>609</v>
      </c>
      <c r="AD7" s="1" t="s">
        <v>609</v>
      </c>
      <c r="AE7" s="1" t="s">
        <v>609</v>
      </c>
      <c r="AF7" s="1" t="s">
        <v>609</v>
      </c>
      <c r="AG7" s="1" t="s">
        <v>609</v>
      </c>
      <c r="AH7" s="1" t="s">
        <v>356</v>
      </c>
      <c r="AI7" s="465">
        <v>43056.2297915741</v>
      </c>
    </row>
    <row r="8" spans="1:35">
      <c r="A8" s="1" t="s">
        <v>417</v>
      </c>
      <c r="B8" s="275" t="s">
        <v>610</v>
      </c>
      <c r="C8" s="1" t="s">
        <v>1018</v>
      </c>
      <c r="D8" s="1" t="s">
        <v>609</v>
      </c>
      <c r="E8" s="1" t="s">
        <v>1016</v>
      </c>
      <c r="F8" s="1" t="s">
        <v>1012</v>
      </c>
      <c r="G8" s="1" t="s">
        <v>1034</v>
      </c>
      <c r="H8" s="1" t="s">
        <v>609</v>
      </c>
      <c r="I8" s="1"/>
      <c r="J8" s="1" t="s">
        <v>1020</v>
      </c>
      <c r="K8" s="1" t="s">
        <v>609</v>
      </c>
      <c r="L8" s="1" t="s">
        <v>1018</v>
      </c>
      <c r="M8" s="1" t="s">
        <v>1016</v>
      </c>
      <c r="N8" s="1" t="s">
        <v>609</v>
      </c>
      <c r="O8" s="1" t="s">
        <v>1018</v>
      </c>
      <c r="P8" s="1" t="s">
        <v>1012</v>
      </c>
      <c r="Q8" s="1" t="s">
        <v>1016</v>
      </c>
      <c r="R8" s="1" t="s">
        <v>609</v>
      </c>
      <c r="S8" s="1" t="s">
        <v>1016</v>
      </c>
      <c r="T8" s="1" t="s">
        <v>1018</v>
      </c>
      <c r="U8" s="1" t="s">
        <v>609</v>
      </c>
      <c r="V8" s="1" t="s">
        <v>1020</v>
      </c>
      <c r="W8" s="1" t="s">
        <v>609</v>
      </c>
      <c r="X8" s="1" t="s">
        <v>1020</v>
      </c>
      <c r="Y8" s="1" t="s">
        <v>609</v>
      </c>
      <c r="Z8" s="1" t="s">
        <v>1020</v>
      </c>
      <c r="AA8" s="1" t="s">
        <v>609</v>
      </c>
      <c r="AB8" s="1" t="s">
        <v>1020</v>
      </c>
      <c r="AC8" s="1" t="s">
        <v>1020</v>
      </c>
      <c r="AD8" s="1" t="s">
        <v>1020</v>
      </c>
      <c r="AE8" s="1" t="s">
        <v>1020</v>
      </c>
      <c r="AF8" s="1" t="s">
        <v>609</v>
      </c>
      <c r="AG8" s="1" t="s">
        <v>1020</v>
      </c>
      <c r="AH8" s="1" t="s">
        <v>1035</v>
      </c>
      <c r="AI8" s="465">
        <v>43056.2297915741</v>
      </c>
    </row>
    <row r="9" spans="1:35">
      <c r="A9" s="1" t="s">
        <v>417</v>
      </c>
      <c r="B9" s="275" t="s">
        <v>899</v>
      </c>
      <c r="C9" s="1" t="s">
        <v>1020</v>
      </c>
      <c r="D9" s="1" t="s">
        <v>609</v>
      </c>
      <c r="E9" s="1" t="s">
        <v>609</v>
      </c>
      <c r="F9" s="1" t="s">
        <v>609</v>
      </c>
      <c r="G9" s="1" t="s">
        <v>609</v>
      </c>
      <c r="H9" s="1" t="s">
        <v>609</v>
      </c>
      <c r="I9" s="1"/>
      <c r="J9" s="1" t="s">
        <v>609</v>
      </c>
      <c r="K9" s="1" t="s">
        <v>609</v>
      </c>
      <c r="L9" s="1" t="s">
        <v>609</v>
      </c>
      <c r="M9" s="1" t="s">
        <v>609</v>
      </c>
      <c r="N9" s="1" t="s">
        <v>609</v>
      </c>
      <c r="O9" s="1" t="s">
        <v>609</v>
      </c>
      <c r="P9" s="1" t="s">
        <v>609</v>
      </c>
      <c r="Q9" s="1" t="s">
        <v>609</v>
      </c>
      <c r="R9" s="1" t="s">
        <v>609</v>
      </c>
      <c r="S9" s="1" t="s">
        <v>609</v>
      </c>
      <c r="T9" s="1" t="s">
        <v>609</v>
      </c>
      <c r="U9" s="1" t="s">
        <v>609</v>
      </c>
      <c r="V9" s="1" t="s">
        <v>1020</v>
      </c>
      <c r="W9" s="1" t="s">
        <v>609</v>
      </c>
      <c r="X9" s="1" t="s">
        <v>609</v>
      </c>
      <c r="Y9" s="1" t="s">
        <v>609</v>
      </c>
      <c r="Z9" s="1" t="s">
        <v>609</v>
      </c>
      <c r="AA9" s="1" t="s">
        <v>609</v>
      </c>
      <c r="AB9" s="1" t="s">
        <v>609</v>
      </c>
      <c r="AC9" s="1" t="s">
        <v>609</v>
      </c>
      <c r="AD9" s="1" t="s">
        <v>609</v>
      </c>
      <c r="AE9" s="1" t="s">
        <v>609</v>
      </c>
      <c r="AF9" s="1" t="s">
        <v>609</v>
      </c>
      <c r="AG9" s="1" t="s">
        <v>609</v>
      </c>
      <c r="AH9" s="1" t="s">
        <v>449</v>
      </c>
      <c r="AI9" s="465">
        <v>43056.2297915741</v>
      </c>
    </row>
    <row r="10" spans="1:35">
      <c r="A10" s="1" t="s">
        <v>417</v>
      </c>
      <c r="B10" s="275" t="s">
        <v>901</v>
      </c>
      <c r="C10" s="1" t="s">
        <v>1016</v>
      </c>
      <c r="D10" s="1" t="s">
        <v>609</v>
      </c>
      <c r="E10" s="1" t="s">
        <v>1018</v>
      </c>
      <c r="F10" s="1" t="s">
        <v>1020</v>
      </c>
      <c r="G10" s="1" t="s">
        <v>609</v>
      </c>
      <c r="H10" s="1" t="s">
        <v>1020</v>
      </c>
      <c r="I10" s="1"/>
      <c r="J10" s="1" t="s">
        <v>609</v>
      </c>
      <c r="K10" s="1" t="s">
        <v>609</v>
      </c>
      <c r="L10" s="1" t="s">
        <v>609</v>
      </c>
      <c r="M10" s="1" t="s">
        <v>609</v>
      </c>
      <c r="N10" s="1" t="s">
        <v>609</v>
      </c>
      <c r="O10" s="1" t="s">
        <v>609</v>
      </c>
      <c r="P10" s="1" t="s">
        <v>609</v>
      </c>
      <c r="Q10" s="1" t="s">
        <v>609</v>
      </c>
      <c r="R10" s="1" t="s">
        <v>609</v>
      </c>
      <c r="S10" s="1" t="s">
        <v>1020</v>
      </c>
      <c r="T10" s="1" t="s">
        <v>609</v>
      </c>
      <c r="U10" s="1" t="s">
        <v>1020</v>
      </c>
      <c r="V10" s="1" t="s">
        <v>609</v>
      </c>
      <c r="W10" s="1" t="s">
        <v>609</v>
      </c>
      <c r="X10" s="1" t="s">
        <v>609</v>
      </c>
      <c r="Y10" s="1" t="s">
        <v>609</v>
      </c>
      <c r="Z10" s="1" t="s">
        <v>609</v>
      </c>
      <c r="AA10" s="1" t="s">
        <v>609</v>
      </c>
      <c r="AB10" s="1" t="s">
        <v>609</v>
      </c>
      <c r="AC10" s="1" t="s">
        <v>609</v>
      </c>
      <c r="AD10" s="1" t="s">
        <v>609</v>
      </c>
      <c r="AE10" s="1" t="s">
        <v>609</v>
      </c>
      <c r="AF10" s="1" t="s">
        <v>609</v>
      </c>
      <c r="AG10" s="1" t="s">
        <v>609</v>
      </c>
      <c r="AH10" s="1" t="s">
        <v>1036</v>
      </c>
      <c r="AI10" s="465">
        <v>43056.2297915741</v>
      </c>
    </row>
    <row r="11" spans="1:35">
      <c r="A11" s="1" t="s">
        <v>417</v>
      </c>
      <c r="B11" s="275" t="s">
        <v>903</v>
      </c>
      <c r="C11" s="1" t="s">
        <v>1012</v>
      </c>
      <c r="D11" s="1" t="s">
        <v>609</v>
      </c>
      <c r="E11" s="1" t="s">
        <v>609</v>
      </c>
      <c r="F11" s="1" t="s">
        <v>1018</v>
      </c>
      <c r="G11" s="1" t="s">
        <v>1029</v>
      </c>
      <c r="H11" s="1" t="s">
        <v>1022</v>
      </c>
      <c r="I11" s="1"/>
      <c r="J11" s="1" t="s">
        <v>609</v>
      </c>
      <c r="K11" s="1" t="s">
        <v>609</v>
      </c>
      <c r="L11" s="1" t="s">
        <v>1016</v>
      </c>
      <c r="M11" s="1" t="s">
        <v>1016</v>
      </c>
      <c r="N11" s="1" t="s">
        <v>1034</v>
      </c>
      <c r="O11" s="1" t="s">
        <v>1018</v>
      </c>
      <c r="P11" s="1" t="s">
        <v>1018</v>
      </c>
      <c r="Q11" s="1" t="s">
        <v>1018</v>
      </c>
      <c r="R11" s="1" t="s">
        <v>609</v>
      </c>
      <c r="S11" s="1" t="s">
        <v>1022</v>
      </c>
      <c r="T11" s="1" t="s">
        <v>1032</v>
      </c>
      <c r="U11" s="1" t="s">
        <v>1012</v>
      </c>
      <c r="V11" s="1" t="s">
        <v>1018</v>
      </c>
      <c r="W11" s="1" t="s">
        <v>1016</v>
      </c>
      <c r="X11" s="1" t="s">
        <v>609</v>
      </c>
      <c r="Y11" s="1" t="s">
        <v>609</v>
      </c>
      <c r="Z11" s="1" t="s">
        <v>1029</v>
      </c>
      <c r="AA11" s="1" t="s">
        <v>1016</v>
      </c>
      <c r="AB11" s="1" t="s">
        <v>1022</v>
      </c>
      <c r="AC11" s="1" t="s">
        <v>609</v>
      </c>
      <c r="AD11" s="1" t="s">
        <v>609</v>
      </c>
      <c r="AE11" s="1" t="s">
        <v>609</v>
      </c>
      <c r="AF11" s="1" t="s">
        <v>609</v>
      </c>
      <c r="AG11" s="1" t="s">
        <v>1020</v>
      </c>
      <c r="AH11" s="1" t="s">
        <v>1037</v>
      </c>
      <c r="AI11" s="465">
        <v>43056.2297915741</v>
      </c>
    </row>
    <row r="12" spans="1:35">
      <c r="A12" s="1" t="s">
        <v>417</v>
      </c>
      <c r="B12" s="275" t="s">
        <v>913</v>
      </c>
      <c r="C12" s="1" t="s">
        <v>1015</v>
      </c>
      <c r="D12" s="1" t="s">
        <v>609</v>
      </c>
      <c r="E12" s="1" t="s">
        <v>1027</v>
      </c>
      <c r="F12" s="1" t="s">
        <v>1015</v>
      </c>
      <c r="G12" s="1" t="s">
        <v>1027</v>
      </c>
      <c r="H12" s="1" t="s">
        <v>1038</v>
      </c>
      <c r="I12" s="1"/>
      <c r="J12" s="1" t="s">
        <v>1014</v>
      </c>
      <c r="K12" s="1" t="s">
        <v>609</v>
      </c>
      <c r="L12" s="1" t="s">
        <v>1034</v>
      </c>
      <c r="M12" s="1" t="s">
        <v>1015</v>
      </c>
      <c r="N12" s="1" t="s">
        <v>1015</v>
      </c>
      <c r="O12" s="1" t="s">
        <v>1020</v>
      </c>
      <c r="P12" s="1" t="s">
        <v>1017</v>
      </c>
      <c r="Q12" s="1" t="s">
        <v>1034</v>
      </c>
      <c r="R12" s="1" t="s">
        <v>609</v>
      </c>
      <c r="S12" s="1" t="s">
        <v>1017</v>
      </c>
      <c r="T12" s="1" t="s">
        <v>1031</v>
      </c>
      <c r="U12" s="1" t="s">
        <v>1030</v>
      </c>
      <c r="V12" s="1" t="s">
        <v>1034</v>
      </c>
      <c r="W12" s="1" t="s">
        <v>1022</v>
      </c>
      <c r="X12" s="1" t="s">
        <v>993</v>
      </c>
      <c r="Y12" s="1" t="s">
        <v>609</v>
      </c>
      <c r="Z12" s="1" t="s">
        <v>1030</v>
      </c>
      <c r="AA12" s="1" t="s">
        <v>1018</v>
      </c>
      <c r="AB12" s="1" t="s">
        <v>1027</v>
      </c>
      <c r="AC12" s="1" t="s">
        <v>1029</v>
      </c>
      <c r="AD12" s="1" t="s">
        <v>1039</v>
      </c>
      <c r="AE12" s="1" t="s">
        <v>1023</v>
      </c>
      <c r="AF12" s="1" t="s">
        <v>609</v>
      </c>
      <c r="AG12" s="1" t="s">
        <v>1015</v>
      </c>
      <c r="AH12" s="1" t="s">
        <v>1040</v>
      </c>
      <c r="AI12" s="465">
        <v>43056.2297915741</v>
      </c>
    </row>
    <row r="13" spans="1:35">
      <c r="A13" s="1" t="s">
        <v>417</v>
      </c>
      <c r="B13" s="275" t="s">
        <v>917</v>
      </c>
      <c r="C13" s="1" t="s">
        <v>1022</v>
      </c>
      <c r="D13" s="1" t="s">
        <v>609</v>
      </c>
      <c r="E13" s="1" t="s">
        <v>1016</v>
      </c>
      <c r="F13" s="1" t="s">
        <v>609</v>
      </c>
      <c r="G13" s="1" t="s">
        <v>1016</v>
      </c>
      <c r="H13" s="1" t="s">
        <v>1016</v>
      </c>
      <c r="I13" s="1"/>
      <c r="J13" s="1" t="s">
        <v>1020</v>
      </c>
      <c r="K13" s="1" t="s">
        <v>609</v>
      </c>
      <c r="L13" s="1" t="s">
        <v>609</v>
      </c>
      <c r="M13" s="1" t="s">
        <v>1018</v>
      </c>
      <c r="N13" s="1" t="s">
        <v>609</v>
      </c>
      <c r="O13" s="1" t="s">
        <v>609</v>
      </c>
      <c r="P13" s="1" t="s">
        <v>1016</v>
      </c>
      <c r="Q13" s="1" t="s">
        <v>1020</v>
      </c>
      <c r="R13" s="1" t="s">
        <v>609</v>
      </c>
      <c r="S13" s="1" t="s">
        <v>1012</v>
      </c>
      <c r="T13" s="1" t="s">
        <v>1016</v>
      </c>
      <c r="U13" s="1" t="s">
        <v>1016</v>
      </c>
      <c r="V13" s="1" t="s">
        <v>1018</v>
      </c>
      <c r="W13" s="1" t="s">
        <v>1020</v>
      </c>
      <c r="X13" s="1" t="s">
        <v>1020</v>
      </c>
      <c r="Y13" s="1" t="s">
        <v>609</v>
      </c>
      <c r="Z13" s="1" t="s">
        <v>609</v>
      </c>
      <c r="AA13" s="1" t="s">
        <v>1016</v>
      </c>
      <c r="AB13" s="1" t="s">
        <v>1020</v>
      </c>
      <c r="AC13" s="1" t="s">
        <v>1018</v>
      </c>
      <c r="AD13" s="1" t="s">
        <v>609</v>
      </c>
      <c r="AE13" s="1" t="s">
        <v>609</v>
      </c>
      <c r="AF13" s="1" t="s">
        <v>609</v>
      </c>
      <c r="AG13" s="1" t="s">
        <v>609</v>
      </c>
      <c r="AH13" s="1" t="s">
        <v>896</v>
      </c>
      <c r="AI13" s="465">
        <v>43056.2297915741</v>
      </c>
    </row>
    <row r="14" spans="1:35">
      <c r="A14" s="1" t="s">
        <v>417</v>
      </c>
      <c r="B14" s="275" t="s">
        <v>920</v>
      </c>
      <c r="C14" s="1" t="s">
        <v>609</v>
      </c>
      <c r="D14" s="1" t="s">
        <v>609</v>
      </c>
      <c r="E14" s="1" t="s">
        <v>609</v>
      </c>
      <c r="F14" s="1" t="s">
        <v>609</v>
      </c>
      <c r="G14" s="1" t="s">
        <v>609</v>
      </c>
      <c r="H14" s="1" t="s">
        <v>609</v>
      </c>
      <c r="I14" s="1"/>
      <c r="J14" s="1" t="s">
        <v>609</v>
      </c>
      <c r="K14" s="1" t="s">
        <v>609</v>
      </c>
      <c r="L14" s="1" t="s">
        <v>1020</v>
      </c>
      <c r="M14" s="1" t="s">
        <v>609</v>
      </c>
      <c r="N14" s="1" t="s">
        <v>609</v>
      </c>
      <c r="O14" s="1" t="s">
        <v>609</v>
      </c>
      <c r="P14" s="1" t="s">
        <v>609</v>
      </c>
      <c r="Q14" s="1" t="s">
        <v>609</v>
      </c>
      <c r="R14" s="1" t="s">
        <v>609</v>
      </c>
      <c r="S14" s="1" t="s">
        <v>609</v>
      </c>
      <c r="T14" s="1" t="s">
        <v>609</v>
      </c>
      <c r="U14" s="1" t="s">
        <v>609</v>
      </c>
      <c r="V14" s="1" t="s">
        <v>609</v>
      </c>
      <c r="W14" s="1" t="s">
        <v>609</v>
      </c>
      <c r="X14" s="1" t="s">
        <v>609</v>
      </c>
      <c r="Y14" s="1" t="s">
        <v>609</v>
      </c>
      <c r="Z14" s="1" t="s">
        <v>609</v>
      </c>
      <c r="AA14" s="1" t="s">
        <v>609</v>
      </c>
      <c r="AB14" s="1" t="s">
        <v>609</v>
      </c>
      <c r="AC14" s="1" t="s">
        <v>609</v>
      </c>
      <c r="AD14" s="1" t="s">
        <v>609</v>
      </c>
      <c r="AE14" s="1" t="s">
        <v>609</v>
      </c>
      <c r="AF14" s="1" t="s">
        <v>609</v>
      </c>
      <c r="AG14" s="1" t="s">
        <v>609</v>
      </c>
      <c r="AH14" s="1" t="s">
        <v>236</v>
      </c>
      <c r="AI14" s="465">
        <v>43056.2297915741</v>
      </c>
    </row>
    <row r="15" spans="1:35">
      <c r="A15" s="1" t="s">
        <v>417</v>
      </c>
      <c r="B15" s="275" t="s">
        <v>953</v>
      </c>
      <c r="C15" s="1" t="s">
        <v>609</v>
      </c>
      <c r="D15" s="1" t="s">
        <v>609</v>
      </c>
      <c r="E15" s="1" t="s">
        <v>609</v>
      </c>
      <c r="F15" s="1" t="s">
        <v>609</v>
      </c>
      <c r="G15" s="1" t="s">
        <v>609</v>
      </c>
      <c r="H15" s="1" t="s">
        <v>609</v>
      </c>
      <c r="I15" s="1"/>
      <c r="J15" s="1" t="s">
        <v>609</v>
      </c>
      <c r="K15" s="1" t="s">
        <v>609</v>
      </c>
      <c r="L15" s="1" t="s">
        <v>609</v>
      </c>
      <c r="M15" s="1" t="s">
        <v>609</v>
      </c>
      <c r="N15" s="1" t="s">
        <v>609</v>
      </c>
      <c r="O15" s="1" t="s">
        <v>609</v>
      </c>
      <c r="P15" s="1" t="s">
        <v>609</v>
      </c>
      <c r="Q15" s="1" t="s">
        <v>609</v>
      </c>
      <c r="R15" s="1" t="s">
        <v>609</v>
      </c>
      <c r="S15" s="1" t="s">
        <v>609</v>
      </c>
      <c r="T15" s="1" t="s">
        <v>609</v>
      </c>
      <c r="U15" s="1" t="s">
        <v>609</v>
      </c>
      <c r="V15" s="1" t="s">
        <v>609</v>
      </c>
      <c r="W15" s="1" t="s">
        <v>609</v>
      </c>
      <c r="X15" s="1" t="s">
        <v>609</v>
      </c>
      <c r="Y15" s="1" t="s">
        <v>609</v>
      </c>
      <c r="Z15" s="1" t="s">
        <v>609</v>
      </c>
      <c r="AA15" s="1" t="s">
        <v>609</v>
      </c>
      <c r="AB15" s="1" t="s">
        <v>609</v>
      </c>
      <c r="AC15" s="1" t="s">
        <v>609</v>
      </c>
      <c r="AD15" s="1" t="s">
        <v>609</v>
      </c>
      <c r="AE15" s="1" t="s">
        <v>609</v>
      </c>
      <c r="AF15" s="1" t="s">
        <v>609</v>
      </c>
      <c r="AG15" s="1" t="s">
        <v>609</v>
      </c>
      <c r="AH15" s="1" t="s">
        <v>356</v>
      </c>
      <c r="AI15" s="465">
        <v>43056.2297915741</v>
      </c>
    </row>
    <row r="16" spans="1:35">
      <c r="A16" s="1" t="s">
        <v>417</v>
      </c>
      <c r="B16" s="275" t="s">
        <v>954</v>
      </c>
      <c r="C16" s="1" t="s">
        <v>609</v>
      </c>
      <c r="D16" s="1" t="s">
        <v>609</v>
      </c>
      <c r="E16" s="1" t="s">
        <v>609</v>
      </c>
      <c r="F16" s="1" t="s">
        <v>609</v>
      </c>
      <c r="G16" s="1" t="s">
        <v>609</v>
      </c>
      <c r="H16" s="1" t="s">
        <v>609</v>
      </c>
      <c r="I16" s="1"/>
      <c r="J16" s="1" t="s">
        <v>609</v>
      </c>
      <c r="K16" s="1" t="s">
        <v>609</v>
      </c>
      <c r="L16" s="1" t="s">
        <v>609</v>
      </c>
      <c r="M16" s="1" t="s">
        <v>609</v>
      </c>
      <c r="N16" s="1" t="s">
        <v>609</v>
      </c>
      <c r="O16" s="1" t="s">
        <v>609</v>
      </c>
      <c r="P16" s="1" t="s">
        <v>609</v>
      </c>
      <c r="Q16" s="1" t="s">
        <v>609</v>
      </c>
      <c r="R16" s="1" t="s">
        <v>609</v>
      </c>
      <c r="S16" s="1" t="s">
        <v>609</v>
      </c>
      <c r="T16" s="1" t="s">
        <v>609</v>
      </c>
      <c r="U16" s="1" t="s">
        <v>609</v>
      </c>
      <c r="V16" s="1" t="s">
        <v>609</v>
      </c>
      <c r="W16" s="1" t="s">
        <v>609</v>
      </c>
      <c r="X16" s="1" t="s">
        <v>609</v>
      </c>
      <c r="Y16" s="1" t="s">
        <v>609</v>
      </c>
      <c r="Z16" s="1" t="s">
        <v>609</v>
      </c>
      <c r="AA16" s="1" t="s">
        <v>609</v>
      </c>
      <c r="AB16" s="1" t="s">
        <v>609</v>
      </c>
      <c r="AC16" s="1" t="s">
        <v>609</v>
      </c>
      <c r="AD16" s="1" t="s">
        <v>609</v>
      </c>
      <c r="AE16" s="1" t="s">
        <v>609</v>
      </c>
      <c r="AF16" s="1" t="s">
        <v>609</v>
      </c>
      <c r="AG16" s="1" t="s">
        <v>609</v>
      </c>
      <c r="AH16" s="1" t="s">
        <v>356</v>
      </c>
      <c r="AI16" s="465">
        <v>43056.2297915741</v>
      </c>
    </row>
    <row r="17" spans="1:35">
      <c r="A17" s="1" t="s">
        <v>417</v>
      </c>
      <c r="B17" s="275" t="s">
        <v>955</v>
      </c>
      <c r="C17" s="1" t="s">
        <v>609</v>
      </c>
      <c r="D17" s="1" t="s">
        <v>609</v>
      </c>
      <c r="E17" s="1" t="s">
        <v>609</v>
      </c>
      <c r="F17" s="1" t="s">
        <v>609</v>
      </c>
      <c r="G17" s="1" t="s">
        <v>609</v>
      </c>
      <c r="H17" s="1" t="s">
        <v>609</v>
      </c>
      <c r="I17" s="1"/>
      <c r="J17" s="1" t="s">
        <v>609</v>
      </c>
      <c r="K17" s="1" t="s">
        <v>609</v>
      </c>
      <c r="L17" s="1" t="s">
        <v>609</v>
      </c>
      <c r="M17" s="1" t="s">
        <v>609</v>
      </c>
      <c r="N17" s="1" t="s">
        <v>609</v>
      </c>
      <c r="O17" s="1" t="s">
        <v>609</v>
      </c>
      <c r="P17" s="1" t="s">
        <v>609</v>
      </c>
      <c r="Q17" s="1" t="s">
        <v>609</v>
      </c>
      <c r="R17" s="1" t="s">
        <v>609</v>
      </c>
      <c r="S17" s="1" t="s">
        <v>609</v>
      </c>
      <c r="T17" s="1" t="s">
        <v>609</v>
      </c>
      <c r="U17" s="1" t="s">
        <v>609</v>
      </c>
      <c r="V17" s="1" t="s">
        <v>609</v>
      </c>
      <c r="W17" s="1" t="s">
        <v>609</v>
      </c>
      <c r="X17" s="1" t="s">
        <v>609</v>
      </c>
      <c r="Y17" s="1" t="s">
        <v>609</v>
      </c>
      <c r="Z17" s="1" t="s">
        <v>609</v>
      </c>
      <c r="AA17" s="1" t="s">
        <v>609</v>
      </c>
      <c r="AB17" s="1" t="s">
        <v>609</v>
      </c>
      <c r="AC17" s="1" t="s">
        <v>609</v>
      </c>
      <c r="AD17" s="1" t="s">
        <v>609</v>
      </c>
      <c r="AE17" s="1" t="s">
        <v>609</v>
      </c>
      <c r="AF17" s="1" t="s">
        <v>609</v>
      </c>
      <c r="AG17" s="1" t="s">
        <v>609</v>
      </c>
      <c r="AH17" s="1" t="s">
        <v>356</v>
      </c>
      <c r="AI17" s="465">
        <v>43056.2297915741</v>
      </c>
    </row>
    <row r="18" spans="1:35">
      <c r="A18" s="1" t="s">
        <v>417</v>
      </c>
      <c r="B18" s="275" t="s">
        <v>956</v>
      </c>
      <c r="C18" s="1" t="s">
        <v>609</v>
      </c>
      <c r="D18" s="1" t="s">
        <v>609</v>
      </c>
      <c r="E18" s="1" t="s">
        <v>609</v>
      </c>
      <c r="F18" s="1" t="s">
        <v>609</v>
      </c>
      <c r="G18" s="1" t="s">
        <v>609</v>
      </c>
      <c r="H18" s="1" t="s">
        <v>609</v>
      </c>
      <c r="I18" s="1"/>
      <c r="J18" s="1" t="s">
        <v>609</v>
      </c>
      <c r="K18" s="1" t="s">
        <v>609</v>
      </c>
      <c r="L18" s="1" t="s">
        <v>609</v>
      </c>
      <c r="M18" s="1" t="s">
        <v>609</v>
      </c>
      <c r="N18" s="1" t="s">
        <v>609</v>
      </c>
      <c r="O18" s="1" t="s">
        <v>609</v>
      </c>
      <c r="P18" s="1" t="s">
        <v>609</v>
      </c>
      <c r="Q18" s="1" t="s">
        <v>609</v>
      </c>
      <c r="R18" s="1" t="s">
        <v>609</v>
      </c>
      <c r="S18" s="1" t="s">
        <v>609</v>
      </c>
      <c r="T18" s="1" t="s">
        <v>609</v>
      </c>
      <c r="U18" s="1" t="s">
        <v>609</v>
      </c>
      <c r="V18" s="1" t="s">
        <v>609</v>
      </c>
      <c r="W18" s="1" t="s">
        <v>609</v>
      </c>
      <c r="X18" s="1" t="s">
        <v>609</v>
      </c>
      <c r="Y18" s="1" t="s">
        <v>609</v>
      </c>
      <c r="Z18" s="1" t="s">
        <v>609</v>
      </c>
      <c r="AA18" s="1" t="s">
        <v>609</v>
      </c>
      <c r="AB18" s="1" t="s">
        <v>609</v>
      </c>
      <c r="AC18" s="1" t="s">
        <v>609</v>
      </c>
      <c r="AD18" s="1" t="s">
        <v>609</v>
      </c>
      <c r="AE18" s="1" t="s">
        <v>609</v>
      </c>
      <c r="AF18" s="1" t="s">
        <v>609</v>
      </c>
      <c r="AG18" s="1" t="s">
        <v>609</v>
      </c>
      <c r="AH18" s="1" t="s">
        <v>356</v>
      </c>
      <c r="AI18" s="465">
        <v>43056.2297915741</v>
      </c>
    </row>
    <row r="19" spans="1:35">
      <c r="A19" s="1" t="s">
        <v>417</v>
      </c>
      <c r="B19" s="275" t="s">
        <v>957</v>
      </c>
      <c r="C19" s="1" t="s">
        <v>609</v>
      </c>
      <c r="D19" s="1" t="s">
        <v>609</v>
      </c>
      <c r="E19" s="1" t="s">
        <v>609</v>
      </c>
      <c r="F19" s="1" t="s">
        <v>609</v>
      </c>
      <c r="G19" s="1" t="s">
        <v>609</v>
      </c>
      <c r="H19" s="1" t="s">
        <v>609</v>
      </c>
      <c r="I19" s="1"/>
      <c r="J19" s="1" t="s">
        <v>609</v>
      </c>
      <c r="K19" s="1" t="s">
        <v>609</v>
      </c>
      <c r="L19" s="1" t="s">
        <v>609</v>
      </c>
      <c r="M19" s="1" t="s">
        <v>609</v>
      </c>
      <c r="N19" s="1" t="s">
        <v>609</v>
      </c>
      <c r="O19" s="1" t="s">
        <v>609</v>
      </c>
      <c r="P19" s="1" t="s">
        <v>609</v>
      </c>
      <c r="Q19" s="1" t="s">
        <v>609</v>
      </c>
      <c r="R19" s="1" t="s">
        <v>609</v>
      </c>
      <c r="S19" s="1" t="s">
        <v>609</v>
      </c>
      <c r="T19" s="1" t="s">
        <v>609</v>
      </c>
      <c r="U19" s="1" t="s">
        <v>609</v>
      </c>
      <c r="V19" s="1" t="s">
        <v>609</v>
      </c>
      <c r="W19" s="1" t="s">
        <v>609</v>
      </c>
      <c r="X19" s="1" t="s">
        <v>609</v>
      </c>
      <c r="Y19" s="1" t="s">
        <v>609</v>
      </c>
      <c r="Z19" s="1" t="s">
        <v>609</v>
      </c>
      <c r="AA19" s="1" t="s">
        <v>609</v>
      </c>
      <c r="AB19" s="1" t="s">
        <v>609</v>
      </c>
      <c r="AC19" s="1" t="s">
        <v>609</v>
      </c>
      <c r="AD19" s="1" t="s">
        <v>609</v>
      </c>
      <c r="AE19" s="1" t="s">
        <v>609</v>
      </c>
      <c r="AF19" s="1" t="s">
        <v>609</v>
      </c>
      <c r="AG19" s="1" t="s">
        <v>609</v>
      </c>
      <c r="AH19" s="1" t="s">
        <v>356</v>
      </c>
      <c r="AI19" s="465">
        <v>43056.2297915741</v>
      </c>
    </row>
    <row r="20" spans="1:35">
      <c r="A20" s="466" t="s">
        <v>417</v>
      </c>
      <c r="B20" s="275" t="s">
        <v>958</v>
      </c>
      <c r="C20" s="466" t="s">
        <v>1017</v>
      </c>
      <c r="D20" s="466" t="s">
        <v>609</v>
      </c>
      <c r="E20" s="466" t="s">
        <v>1041</v>
      </c>
      <c r="F20" s="466" t="s">
        <v>1008</v>
      </c>
      <c r="G20" s="466" t="s">
        <v>1042</v>
      </c>
      <c r="H20" s="466" t="s">
        <v>1043</v>
      </c>
      <c r="I20" s="466"/>
      <c r="J20" s="466" t="s">
        <v>1010</v>
      </c>
      <c r="K20" s="466" t="s">
        <v>609</v>
      </c>
      <c r="L20" s="466" t="s">
        <v>1044</v>
      </c>
      <c r="M20" s="466" t="s">
        <v>1045</v>
      </c>
      <c r="N20" s="466" t="s">
        <v>1026</v>
      </c>
      <c r="O20" s="466" t="s">
        <v>998</v>
      </c>
      <c r="P20" s="466" t="s">
        <v>1002</v>
      </c>
      <c r="Q20" s="466" t="s">
        <v>1023</v>
      </c>
      <c r="R20" s="466" t="s">
        <v>609</v>
      </c>
      <c r="S20" s="466" t="s">
        <v>1046</v>
      </c>
      <c r="T20" s="466" t="s">
        <v>1010</v>
      </c>
      <c r="U20" s="466" t="s">
        <v>1002</v>
      </c>
      <c r="V20" s="466" t="s">
        <v>1047</v>
      </c>
      <c r="W20" s="466" t="s">
        <v>1004</v>
      </c>
      <c r="X20" s="466" t="s">
        <v>1006</v>
      </c>
      <c r="Y20" s="466" t="s">
        <v>609</v>
      </c>
      <c r="Z20" s="466" t="s">
        <v>1048</v>
      </c>
      <c r="AA20" s="466" t="s">
        <v>1039</v>
      </c>
      <c r="AB20" s="466" t="s">
        <v>1028</v>
      </c>
      <c r="AC20" s="466" t="s">
        <v>1023</v>
      </c>
      <c r="AD20" s="466" t="s">
        <v>1002</v>
      </c>
      <c r="AE20" s="466" t="s">
        <v>1028</v>
      </c>
      <c r="AF20" s="466" t="s">
        <v>609</v>
      </c>
      <c r="AG20" s="466" t="s">
        <v>1047</v>
      </c>
      <c r="AH20" s="466" t="s">
        <v>1049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383</v>
      </c>
      <c r="B1" s="1" t="s">
        <v>943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452</v>
      </c>
    </row>
    <row r="2" spans="1:35">
      <c r="A2" s="1" t="s">
        <v>417</v>
      </c>
      <c r="B2" s="1" t="s">
        <v>236</v>
      </c>
      <c r="C2" s="1" t="s">
        <v>1050</v>
      </c>
      <c r="D2" s="1" t="s">
        <v>1051</v>
      </c>
      <c r="E2" s="1" t="s">
        <v>1052</v>
      </c>
      <c r="F2" s="1" t="s">
        <v>1053</v>
      </c>
      <c r="G2" s="1" t="s">
        <v>1054</v>
      </c>
      <c r="H2" s="1" t="s">
        <v>1055</v>
      </c>
      <c r="I2" s="1" t="s">
        <v>1056</v>
      </c>
      <c r="J2" s="1" t="s">
        <v>1057</v>
      </c>
      <c r="K2" s="1" t="s">
        <v>1058</v>
      </c>
      <c r="L2" s="1" t="s">
        <v>1059</v>
      </c>
      <c r="M2" s="1" t="s">
        <v>1060</v>
      </c>
      <c r="N2" s="1" t="s">
        <v>1061</v>
      </c>
      <c r="O2" s="1" t="s">
        <v>1062</v>
      </c>
      <c r="P2" s="1" t="s">
        <v>1063</v>
      </c>
      <c r="Q2" s="1" t="s">
        <v>1064</v>
      </c>
      <c r="R2" s="1" t="s">
        <v>1065</v>
      </c>
      <c r="S2" s="1" t="s">
        <v>1066</v>
      </c>
      <c r="T2" s="1" t="s">
        <v>1067</v>
      </c>
      <c r="U2" s="1" t="s">
        <v>1068</v>
      </c>
      <c r="V2" s="1" t="s">
        <v>1069</v>
      </c>
      <c r="W2" s="1" t="s">
        <v>1070</v>
      </c>
      <c r="X2" s="1" t="s">
        <v>1071</v>
      </c>
      <c r="Y2" s="1" t="s">
        <v>1071</v>
      </c>
      <c r="Z2" s="1" t="s">
        <v>1072</v>
      </c>
      <c r="AA2" s="1" t="s">
        <v>1073</v>
      </c>
      <c r="AB2" s="1" t="s">
        <v>1074</v>
      </c>
      <c r="AC2" s="1" t="s">
        <v>1075</v>
      </c>
      <c r="AD2" s="1" t="s">
        <v>1076</v>
      </c>
      <c r="AE2" s="1" t="s">
        <v>1077</v>
      </c>
      <c r="AF2" s="1" t="s">
        <v>1078</v>
      </c>
      <c r="AG2" s="1" t="s">
        <v>1079</v>
      </c>
      <c r="AH2" s="1" t="s">
        <v>1080</v>
      </c>
      <c r="AI2" s="465">
        <v>43056.229888680602</v>
      </c>
    </row>
    <row r="3" spans="1:35">
      <c r="A3" s="1" t="s">
        <v>417</v>
      </c>
      <c r="B3" s="1" t="s">
        <v>237</v>
      </c>
      <c r="C3" s="1" t="s">
        <v>1081</v>
      </c>
      <c r="D3" s="1" t="s">
        <v>1082</v>
      </c>
      <c r="E3" s="1" t="s">
        <v>1083</v>
      </c>
      <c r="F3" s="1" t="s">
        <v>1084</v>
      </c>
      <c r="G3" s="1" t="s">
        <v>1085</v>
      </c>
      <c r="H3" s="1" t="s">
        <v>1086</v>
      </c>
      <c r="I3" s="1" t="s">
        <v>1087</v>
      </c>
      <c r="J3" s="1" t="s">
        <v>1088</v>
      </c>
      <c r="K3" s="1" t="s">
        <v>1089</v>
      </c>
      <c r="L3" s="1" t="s">
        <v>1090</v>
      </c>
      <c r="M3" s="1" t="s">
        <v>1091</v>
      </c>
      <c r="N3" s="1" t="s">
        <v>1092</v>
      </c>
      <c r="O3" s="1" t="s">
        <v>1093</v>
      </c>
      <c r="P3" s="1" t="s">
        <v>1094</v>
      </c>
      <c r="Q3" s="1" t="s">
        <v>1095</v>
      </c>
      <c r="R3" s="1" t="s">
        <v>1095</v>
      </c>
      <c r="S3" s="1" t="s">
        <v>1096</v>
      </c>
      <c r="T3" s="1" t="s">
        <v>1097</v>
      </c>
      <c r="U3" s="1" t="s">
        <v>1098</v>
      </c>
      <c r="V3" s="1" t="s">
        <v>1099</v>
      </c>
      <c r="W3" s="1" t="s">
        <v>1100</v>
      </c>
      <c r="X3" s="1" t="s">
        <v>1101</v>
      </c>
      <c r="Y3" s="1" t="s">
        <v>1102</v>
      </c>
      <c r="Z3" s="1" t="s">
        <v>1103</v>
      </c>
      <c r="AA3" s="1" t="s">
        <v>1104</v>
      </c>
      <c r="AB3" s="1" t="s">
        <v>1105</v>
      </c>
      <c r="AC3" s="1" t="s">
        <v>1106</v>
      </c>
      <c r="AD3" s="1" t="s">
        <v>1107</v>
      </c>
      <c r="AE3" s="1" t="s">
        <v>1108</v>
      </c>
      <c r="AF3" s="1" t="s">
        <v>1109</v>
      </c>
      <c r="AG3" s="1" t="s">
        <v>1110</v>
      </c>
      <c r="AH3" s="1" t="s">
        <v>1111</v>
      </c>
      <c r="AI3" s="465">
        <v>43056.229888680602</v>
      </c>
    </row>
    <row r="4" spans="1:35">
      <c r="A4" s="1" t="s">
        <v>417</v>
      </c>
      <c r="B4" s="1" t="s">
        <v>944</v>
      </c>
      <c r="C4" s="1" t="s">
        <v>1112</v>
      </c>
      <c r="D4" s="1" t="s">
        <v>1112</v>
      </c>
      <c r="E4" s="1" t="s">
        <v>1113</v>
      </c>
      <c r="F4" s="1" t="s">
        <v>1114</v>
      </c>
      <c r="G4" s="1" t="s">
        <v>1115</v>
      </c>
      <c r="H4" s="1" t="s">
        <v>1116</v>
      </c>
      <c r="I4" s="1" t="s">
        <v>1117</v>
      </c>
      <c r="J4" s="1" t="s">
        <v>1118</v>
      </c>
      <c r="K4" s="1" t="s">
        <v>1118</v>
      </c>
      <c r="L4" s="1" t="s">
        <v>1119</v>
      </c>
      <c r="M4" s="1" t="s">
        <v>1120</v>
      </c>
      <c r="N4" s="1" t="s">
        <v>1121</v>
      </c>
      <c r="O4" s="1" t="s">
        <v>1122</v>
      </c>
      <c r="P4" s="1" t="s">
        <v>1123</v>
      </c>
      <c r="Q4" s="1" t="s">
        <v>1124</v>
      </c>
      <c r="R4" s="1" t="s">
        <v>1124</v>
      </c>
      <c r="S4" s="1" t="s">
        <v>1125</v>
      </c>
      <c r="T4" s="1" t="s">
        <v>1126</v>
      </c>
      <c r="U4" s="1" t="s">
        <v>1127</v>
      </c>
      <c r="V4" s="1" t="s">
        <v>1128</v>
      </c>
      <c r="W4" s="1" t="s">
        <v>1129</v>
      </c>
      <c r="X4" s="1" t="s">
        <v>1130</v>
      </c>
      <c r="Y4" s="1" t="s">
        <v>1130</v>
      </c>
      <c r="Z4" s="1" t="s">
        <v>1131</v>
      </c>
      <c r="AA4" s="306" t="s">
        <v>1132</v>
      </c>
      <c r="AB4" s="1" t="s">
        <v>1133</v>
      </c>
      <c r="AC4" s="1" t="s">
        <v>1134</v>
      </c>
      <c r="AD4" s="1" t="s">
        <v>1135</v>
      </c>
      <c r="AE4" s="1" t="s">
        <v>1136</v>
      </c>
      <c r="AF4" s="1" t="s">
        <v>1136</v>
      </c>
      <c r="AG4" s="1" t="s">
        <v>1137</v>
      </c>
      <c r="AH4" s="1" t="s">
        <v>1138</v>
      </c>
      <c r="AI4" s="465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383</v>
      </c>
      <c r="B1" s="1" t="s">
        <v>450</v>
      </c>
      <c r="C1" s="1" t="s">
        <v>943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452</v>
      </c>
    </row>
    <row r="2" spans="1:36">
      <c r="A2" s="1" t="s">
        <v>417</v>
      </c>
      <c r="B2" s="1" t="s">
        <v>72</v>
      </c>
      <c r="C2" s="1" t="s">
        <v>236</v>
      </c>
      <c r="D2" s="1" t="s">
        <v>1139</v>
      </c>
      <c r="E2" s="1" t="s">
        <v>1139</v>
      </c>
      <c r="F2" s="1" t="s">
        <v>1140</v>
      </c>
      <c r="G2" s="1" t="s">
        <v>1141</v>
      </c>
      <c r="H2" s="1" t="s">
        <v>1142</v>
      </c>
      <c r="I2" s="1" t="s">
        <v>1143</v>
      </c>
      <c r="J2" s="1" t="s">
        <v>1144</v>
      </c>
      <c r="K2" s="1" t="s">
        <v>1145</v>
      </c>
      <c r="L2" s="1" t="s">
        <v>1145</v>
      </c>
      <c r="M2" s="1" t="s">
        <v>1146</v>
      </c>
      <c r="N2" s="1" t="s">
        <v>1147</v>
      </c>
      <c r="O2" s="1" t="s">
        <v>1148</v>
      </c>
      <c r="P2" s="1" t="s">
        <v>1149</v>
      </c>
      <c r="Q2" s="1" t="s">
        <v>1150</v>
      </c>
      <c r="R2" s="1" t="s">
        <v>1151</v>
      </c>
      <c r="S2" s="1" t="s">
        <v>1151</v>
      </c>
      <c r="T2" s="1" t="s">
        <v>1152</v>
      </c>
      <c r="U2" s="1" t="s">
        <v>1153</v>
      </c>
      <c r="V2" s="1" t="s">
        <v>1154</v>
      </c>
      <c r="W2" s="1" t="s">
        <v>1155</v>
      </c>
      <c r="X2" s="1" t="s">
        <v>1156</v>
      </c>
      <c r="Y2" s="1" t="s">
        <v>1157</v>
      </c>
      <c r="Z2" s="1" t="s">
        <v>1157</v>
      </c>
      <c r="AA2" s="1" t="s">
        <v>1158</v>
      </c>
      <c r="AB2" s="1" t="s">
        <v>1159</v>
      </c>
      <c r="AC2" s="1" t="s">
        <v>1160</v>
      </c>
      <c r="AD2" s="1" t="s">
        <v>1161</v>
      </c>
      <c r="AE2" s="1" t="s">
        <v>1162</v>
      </c>
      <c r="AF2" s="1" t="s">
        <v>1163</v>
      </c>
      <c r="AG2" s="1" t="s">
        <v>1164</v>
      </c>
      <c r="AH2" s="1" t="s">
        <v>1165</v>
      </c>
      <c r="AI2" s="1" t="s">
        <v>1166</v>
      </c>
      <c r="AJ2" s="465">
        <v>43056.229889050897</v>
      </c>
    </row>
    <row r="3" spans="1:36">
      <c r="A3" s="1" t="s">
        <v>417</v>
      </c>
      <c r="B3" s="1" t="s">
        <v>72</v>
      </c>
      <c r="C3" s="1" t="s">
        <v>237</v>
      </c>
      <c r="D3" s="1" t="s">
        <v>1167</v>
      </c>
      <c r="E3" s="1" t="s">
        <v>1167</v>
      </c>
      <c r="F3" s="1" t="s">
        <v>1168</v>
      </c>
      <c r="G3" s="1" t="s">
        <v>1169</v>
      </c>
      <c r="H3" s="1" t="s">
        <v>1170</v>
      </c>
      <c r="I3" s="1" t="s">
        <v>1171</v>
      </c>
      <c r="J3" s="1" t="s">
        <v>1172</v>
      </c>
      <c r="K3" s="1" t="s">
        <v>1173</v>
      </c>
      <c r="L3" s="1" t="s">
        <v>1173</v>
      </c>
      <c r="M3" s="1" t="s">
        <v>1174</v>
      </c>
      <c r="N3" s="1" t="s">
        <v>1175</v>
      </c>
      <c r="O3" s="1" t="s">
        <v>1176</v>
      </c>
      <c r="P3" s="1" t="s">
        <v>1177</v>
      </c>
      <c r="Q3" s="1" t="s">
        <v>1178</v>
      </c>
      <c r="R3" s="1" t="s">
        <v>1179</v>
      </c>
      <c r="S3" s="1" t="s">
        <v>1179</v>
      </c>
      <c r="T3" s="1" t="s">
        <v>1180</v>
      </c>
      <c r="U3" s="1" t="s">
        <v>1181</v>
      </c>
      <c r="V3" s="1" t="s">
        <v>1182</v>
      </c>
      <c r="W3" s="1" t="s">
        <v>1183</v>
      </c>
      <c r="X3" s="1" t="s">
        <v>1184</v>
      </c>
      <c r="Y3" s="1" t="s">
        <v>1185</v>
      </c>
      <c r="Z3" s="1" t="s">
        <v>1185</v>
      </c>
      <c r="AA3" s="1" t="s">
        <v>1186</v>
      </c>
      <c r="AB3" s="1" t="s">
        <v>1187</v>
      </c>
      <c r="AC3" s="1" t="s">
        <v>1188</v>
      </c>
      <c r="AD3" s="1" t="s">
        <v>1189</v>
      </c>
      <c r="AE3" s="1" t="s">
        <v>1190</v>
      </c>
      <c r="AF3" s="1" t="s">
        <v>1191</v>
      </c>
      <c r="AG3" s="1" t="s">
        <v>1192</v>
      </c>
      <c r="AH3" s="1" t="s">
        <v>1193</v>
      </c>
      <c r="AI3" s="1" t="s">
        <v>1194</v>
      </c>
      <c r="AJ3" s="465">
        <v>43056.229889050897</v>
      </c>
    </row>
    <row r="4" spans="1:36">
      <c r="A4" s="1" t="s">
        <v>417</v>
      </c>
      <c r="B4" s="1" t="s">
        <v>72</v>
      </c>
      <c r="C4" s="1" t="s">
        <v>944</v>
      </c>
      <c r="D4" s="1" t="s">
        <v>1195</v>
      </c>
      <c r="E4" s="1" t="s">
        <v>1195</v>
      </c>
      <c r="F4" s="1" t="s">
        <v>1196</v>
      </c>
      <c r="G4" s="1" t="s">
        <v>1197</v>
      </c>
      <c r="H4" s="1" t="s">
        <v>1198</v>
      </c>
      <c r="I4" s="1" t="s">
        <v>1199</v>
      </c>
      <c r="J4" s="1" t="s">
        <v>1200</v>
      </c>
      <c r="K4" s="1" t="s">
        <v>1201</v>
      </c>
      <c r="L4" s="1" t="s">
        <v>1201</v>
      </c>
      <c r="M4" s="1" t="s">
        <v>1202</v>
      </c>
      <c r="N4" s="1" t="s">
        <v>1203</v>
      </c>
      <c r="O4" s="1" t="s">
        <v>1204</v>
      </c>
      <c r="P4" s="1" t="s">
        <v>1205</v>
      </c>
      <c r="Q4" s="1" t="s">
        <v>1206</v>
      </c>
      <c r="R4" s="1" t="s">
        <v>1206</v>
      </c>
      <c r="S4" s="1" t="s">
        <v>1206</v>
      </c>
      <c r="T4" s="1" t="s">
        <v>1206</v>
      </c>
      <c r="U4" s="1" t="s">
        <v>1207</v>
      </c>
      <c r="V4" s="1" t="s">
        <v>1207</v>
      </c>
      <c r="W4" s="1" t="s">
        <v>1208</v>
      </c>
      <c r="X4" s="1" t="s">
        <v>1209</v>
      </c>
      <c r="Y4" s="1" t="s">
        <v>1209</v>
      </c>
      <c r="Z4" s="1" t="s">
        <v>1209</v>
      </c>
      <c r="AA4" s="1" t="s">
        <v>1210</v>
      </c>
      <c r="AB4" s="1" t="s">
        <v>1211</v>
      </c>
      <c r="AC4" s="1" t="s">
        <v>1212</v>
      </c>
      <c r="AD4" s="1" t="s">
        <v>1213</v>
      </c>
      <c r="AE4" s="1" t="s">
        <v>1214</v>
      </c>
      <c r="AF4" s="1" t="s">
        <v>1214</v>
      </c>
      <c r="AG4" s="1" t="s">
        <v>1214</v>
      </c>
      <c r="AH4" s="1" t="s">
        <v>1215</v>
      </c>
      <c r="AI4" s="1" t="s">
        <v>1216</v>
      </c>
      <c r="AJ4" s="465">
        <v>43056.229889050897</v>
      </c>
    </row>
    <row r="5" spans="1:36">
      <c r="A5" s="1" t="s">
        <v>417</v>
      </c>
      <c r="B5" s="1" t="s">
        <v>238</v>
      </c>
      <c r="C5" s="1" t="s">
        <v>236</v>
      </c>
      <c r="D5" s="1" t="s">
        <v>609</v>
      </c>
      <c r="E5" s="1" t="s">
        <v>609</v>
      </c>
      <c r="F5" s="1" t="s">
        <v>609</v>
      </c>
      <c r="G5" s="1" t="s">
        <v>609</v>
      </c>
      <c r="H5" s="1" t="s">
        <v>609</v>
      </c>
      <c r="I5" s="1" t="s">
        <v>609</v>
      </c>
      <c r="J5" s="1" t="s">
        <v>609</v>
      </c>
      <c r="K5" s="1" t="s">
        <v>609</v>
      </c>
      <c r="L5" s="1" t="s">
        <v>609</v>
      </c>
      <c r="M5" s="1" t="s">
        <v>609</v>
      </c>
      <c r="N5" s="1" t="s">
        <v>609</v>
      </c>
      <c r="O5" s="1" t="s">
        <v>609</v>
      </c>
      <c r="P5" s="1" t="s">
        <v>609</v>
      </c>
      <c r="Q5" s="1" t="s">
        <v>609</v>
      </c>
      <c r="R5" s="1" t="s">
        <v>609</v>
      </c>
      <c r="S5" s="1" t="s">
        <v>609</v>
      </c>
      <c r="T5" s="1" t="s">
        <v>609</v>
      </c>
      <c r="U5" s="1" t="s">
        <v>609</v>
      </c>
      <c r="V5" s="1" t="s">
        <v>609</v>
      </c>
      <c r="W5" s="1" t="s">
        <v>609</v>
      </c>
      <c r="X5" s="1" t="s">
        <v>609</v>
      </c>
      <c r="Y5" s="1" t="s">
        <v>609</v>
      </c>
      <c r="Z5" s="1" t="s">
        <v>609</v>
      </c>
      <c r="AA5" s="1" t="s">
        <v>609</v>
      </c>
      <c r="AB5" s="1" t="s">
        <v>609</v>
      </c>
      <c r="AC5" s="1" t="s">
        <v>609</v>
      </c>
      <c r="AD5" s="1" t="s">
        <v>609</v>
      </c>
      <c r="AE5" s="1" t="s">
        <v>609</v>
      </c>
      <c r="AF5" s="1" t="s">
        <v>609</v>
      </c>
      <c r="AG5" s="1" t="s">
        <v>609</v>
      </c>
      <c r="AH5" s="1" t="s">
        <v>609</v>
      </c>
      <c r="AI5" s="1" t="s">
        <v>609</v>
      </c>
      <c r="AJ5" s="465">
        <v>43056.229889050897</v>
      </c>
    </row>
    <row r="6" spans="1:36">
      <c r="A6" s="1" t="s">
        <v>417</v>
      </c>
      <c r="B6" s="1" t="s">
        <v>238</v>
      </c>
      <c r="C6" s="1" t="s">
        <v>237</v>
      </c>
      <c r="D6" s="1" t="s">
        <v>609</v>
      </c>
      <c r="E6" s="1" t="s">
        <v>609</v>
      </c>
      <c r="F6" s="1" t="s">
        <v>609</v>
      </c>
      <c r="G6" s="1" t="s">
        <v>609</v>
      </c>
      <c r="H6" s="1" t="s">
        <v>609</v>
      </c>
      <c r="I6" s="1" t="s">
        <v>609</v>
      </c>
      <c r="J6" s="1" t="s">
        <v>609</v>
      </c>
      <c r="K6" s="1" t="s">
        <v>609</v>
      </c>
      <c r="L6" s="1" t="s">
        <v>609</v>
      </c>
      <c r="M6" s="1" t="s">
        <v>609</v>
      </c>
      <c r="N6" s="1" t="s">
        <v>609</v>
      </c>
      <c r="O6" s="1" t="s">
        <v>609</v>
      </c>
      <c r="P6" s="1" t="s">
        <v>609</v>
      </c>
      <c r="Q6" s="1" t="s">
        <v>609</v>
      </c>
      <c r="R6" s="1" t="s">
        <v>609</v>
      </c>
      <c r="S6" s="1" t="s">
        <v>609</v>
      </c>
      <c r="T6" s="1" t="s">
        <v>609</v>
      </c>
      <c r="U6" s="1" t="s">
        <v>609</v>
      </c>
      <c r="V6" s="1" t="s">
        <v>609</v>
      </c>
      <c r="W6" s="1" t="s">
        <v>609</v>
      </c>
      <c r="X6" s="1" t="s">
        <v>609</v>
      </c>
      <c r="Y6" s="1" t="s">
        <v>609</v>
      </c>
      <c r="Z6" s="1" t="s">
        <v>609</v>
      </c>
      <c r="AA6" s="1" t="s">
        <v>609</v>
      </c>
      <c r="AB6" s="1" t="s">
        <v>609</v>
      </c>
      <c r="AC6" s="1" t="s">
        <v>609</v>
      </c>
      <c r="AD6" s="1" t="s">
        <v>609</v>
      </c>
      <c r="AE6" s="1" t="s">
        <v>609</v>
      </c>
      <c r="AF6" s="1" t="s">
        <v>609</v>
      </c>
      <c r="AG6" s="1" t="s">
        <v>609</v>
      </c>
      <c r="AH6" s="1" t="s">
        <v>609</v>
      </c>
      <c r="AI6" s="1" t="s">
        <v>609</v>
      </c>
      <c r="AJ6" s="465">
        <v>43056.229889050897</v>
      </c>
    </row>
    <row r="7" spans="1:36">
      <c r="A7" s="1" t="s">
        <v>417</v>
      </c>
      <c r="B7" s="1" t="s">
        <v>245</v>
      </c>
      <c r="C7" s="1" t="s">
        <v>236</v>
      </c>
      <c r="D7" s="1" t="s">
        <v>1217</v>
      </c>
      <c r="E7" s="1" t="s">
        <v>1217</v>
      </c>
      <c r="F7" s="1" t="s">
        <v>1218</v>
      </c>
      <c r="G7" s="1" t="s">
        <v>1219</v>
      </c>
      <c r="H7" s="1" t="s">
        <v>1220</v>
      </c>
      <c r="I7" s="1" t="s">
        <v>1221</v>
      </c>
      <c r="J7" s="1" t="s">
        <v>1222</v>
      </c>
      <c r="K7" s="1" t="s">
        <v>1223</v>
      </c>
      <c r="L7" s="1" t="s">
        <v>1223</v>
      </c>
      <c r="M7" s="1" t="s">
        <v>1224</v>
      </c>
      <c r="N7" s="1" t="s">
        <v>1225</v>
      </c>
      <c r="O7" s="1" t="s">
        <v>1226</v>
      </c>
      <c r="P7" s="1" t="s">
        <v>1227</v>
      </c>
      <c r="Q7" s="1" t="s">
        <v>1228</v>
      </c>
      <c r="R7" s="1" t="s">
        <v>1229</v>
      </c>
      <c r="S7" s="1" t="s">
        <v>1229</v>
      </c>
      <c r="T7" s="1" t="s">
        <v>1230</v>
      </c>
      <c r="U7" s="1" t="s">
        <v>1231</v>
      </c>
      <c r="V7" s="1" t="s">
        <v>1232</v>
      </c>
      <c r="W7" s="1" t="s">
        <v>1233</v>
      </c>
      <c r="X7" s="1" t="s">
        <v>1234</v>
      </c>
      <c r="Y7" s="1" t="s">
        <v>1235</v>
      </c>
      <c r="Z7" s="1" t="s">
        <v>1235</v>
      </c>
      <c r="AA7" s="1" t="s">
        <v>1236</v>
      </c>
      <c r="AB7" s="1" t="s">
        <v>1237</v>
      </c>
      <c r="AC7" s="1" t="s">
        <v>1238</v>
      </c>
      <c r="AD7" s="1" t="s">
        <v>1239</v>
      </c>
      <c r="AE7" s="1" t="s">
        <v>1240</v>
      </c>
      <c r="AF7" s="1" t="s">
        <v>1241</v>
      </c>
      <c r="AG7" s="1" t="s">
        <v>1242</v>
      </c>
      <c r="AH7" s="1" t="s">
        <v>1243</v>
      </c>
      <c r="AI7" s="1" t="s">
        <v>1244</v>
      </c>
      <c r="AJ7" s="465">
        <v>43056.229889050897</v>
      </c>
    </row>
    <row r="8" spans="1:36">
      <c r="A8" s="1" t="s">
        <v>417</v>
      </c>
      <c r="B8" s="1" t="s">
        <v>239</v>
      </c>
      <c r="C8" s="1" t="s">
        <v>236</v>
      </c>
      <c r="D8" s="1" t="s">
        <v>609</v>
      </c>
      <c r="E8" s="1" t="s">
        <v>609</v>
      </c>
      <c r="F8" s="1" t="s">
        <v>609</v>
      </c>
      <c r="G8" s="1" t="s">
        <v>609</v>
      </c>
      <c r="H8" s="1" t="s">
        <v>609</v>
      </c>
      <c r="I8" s="1" t="s">
        <v>609</v>
      </c>
      <c r="J8" s="1" t="s">
        <v>609</v>
      </c>
      <c r="K8" s="1" t="s">
        <v>609</v>
      </c>
      <c r="L8" s="1" t="s">
        <v>609</v>
      </c>
      <c r="M8" s="1" t="s">
        <v>609</v>
      </c>
      <c r="N8" s="1" t="s">
        <v>609</v>
      </c>
      <c r="O8" s="1" t="s">
        <v>609</v>
      </c>
      <c r="P8" s="1" t="s">
        <v>609</v>
      </c>
      <c r="Q8" s="1" t="s">
        <v>609</v>
      </c>
      <c r="R8" s="1" t="s">
        <v>609</v>
      </c>
      <c r="S8" s="1" t="s">
        <v>609</v>
      </c>
      <c r="T8" s="1" t="s">
        <v>609</v>
      </c>
      <c r="U8" s="1" t="s">
        <v>609</v>
      </c>
      <c r="V8" s="1" t="s">
        <v>609</v>
      </c>
      <c r="W8" s="1" t="s">
        <v>609</v>
      </c>
      <c r="X8" s="1" t="s">
        <v>609</v>
      </c>
      <c r="Y8" s="1" t="s">
        <v>609</v>
      </c>
      <c r="Z8" s="1" t="s">
        <v>609</v>
      </c>
      <c r="AA8" s="1" t="s">
        <v>609</v>
      </c>
      <c r="AB8" s="1" t="s">
        <v>609</v>
      </c>
      <c r="AC8" s="1" t="s">
        <v>609</v>
      </c>
      <c r="AD8" s="1" t="s">
        <v>609</v>
      </c>
      <c r="AE8" s="1" t="s">
        <v>609</v>
      </c>
      <c r="AF8" s="1" t="s">
        <v>609</v>
      </c>
      <c r="AG8" s="1" t="s">
        <v>609</v>
      </c>
      <c r="AH8" s="1" t="s">
        <v>609</v>
      </c>
      <c r="AI8" s="1" t="s">
        <v>609</v>
      </c>
      <c r="AJ8" s="465">
        <v>43056.229889050897</v>
      </c>
    </row>
    <row r="9" spans="1:36">
      <c r="A9" s="1" t="s">
        <v>417</v>
      </c>
      <c r="B9" s="1" t="s">
        <v>239</v>
      </c>
      <c r="C9" s="1" t="s">
        <v>237</v>
      </c>
      <c r="D9" s="1" t="s">
        <v>609</v>
      </c>
      <c r="E9" s="1" t="s">
        <v>609</v>
      </c>
      <c r="F9" s="1" t="s">
        <v>609</v>
      </c>
      <c r="G9" s="1" t="s">
        <v>609</v>
      </c>
      <c r="H9" s="1" t="s">
        <v>609</v>
      </c>
      <c r="I9" s="1" t="s">
        <v>609</v>
      </c>
      <c r="J9" s="1" t="s">
        <v>609</v>
      </c>
      <c r="K9" s="1" t="s">
        <v>609</v>
      </c>
      <c r="L9" s="1" t="s">
        <v>609</v>
      </c>
      <c r="M9" s="1" t="s">
        <v>609</v>
      </c>
      <c r="N9" s="1" t="s">
        <v>609</v>
      </c>
      <c r="O9" s="1" t="s">
        <v>609</v>
      </c>
      <c r="P9" s="1" t="s">
        <v>609</v>
      </c>
      <c r="Q9" s="1" t="s">
        <v>609</v>
      </c>
      <c r="R9" s="1" t="s">
        <v>609</v>
      </c>
      <c r="S9" s="1" t="s">
        <v>609</v>
      </c>
      <c r="T9" s="1" t="s">
        <v>609</v>
      </c>
      <c r="U9" s="1" t="s">
        <v>609</v>
      </c>
      <c r="V9" s="1" t="s">
        <v>609</v>
      </c>
      <c r="W9" s="1" t="s">
        <v>609</v>
      </c>
      <c r="X9" s="1" t="s">
        <v>609</v>
      </c>
      <c r="Y9" s="1" t="s">
        <v>609</v>
      </c>
      <c r="Z9" s="1" t="s">
        <v>609</v>
      </c>
      <c r="AA9" s="1" t="s">
        <v>609</v>
      </c>
      <c r="AB9" s="1" t="s">
        <v>609</v>
      </c>
      <c r="AC9" s="1" t="s">
        <v>609</v>
      </c>
      <c r="AD9" s="1" t="s">
        <v>609</v>
      </c>
      <c r="AE9" s="1" t="s">
        <v>609</v>
      </c>
      <c r="AF9" s="1" t="s">
        <v>609</v>
      </c>
      <c r="AG9" s="1" t="s">
        <v>609</v>
      </c>
      <c r="AH9" s="1" t="s">
        <v>609</v>
      </c>
      <c r="AI9" s="1" t="s">
        <v>609</v>
      </c>
      <c r="AJ9" s="465">
        <v>43056.229889050897</v>
      </c>
    </row>
    <row r="10" spans="1:36">
      <c r="A10" s="1" t="s">
        <v>417</v>
      </c>
      <c r="B10" s="1" t="s">
        <v>240</v>
      </c>
      <c r="C10" s="1" t="s">
        <v>236</v>
      </c>
      <c r="D10" s="1" t="s">
        <v>609</v>
      </c>
      <c r="E10" s="1" t="s">
        <v>609</v>
      </c>
      <c r="F10" s="1" t="s">
        <v>609</v>
      </c>
      <c r="G10" s="1" t="s">
        <v>609</v>
      </c>
      <c r="H10" s="1" t="s">
        <v>609</v>
      </c>
      <c r="I10" s="1" t="s">
        <v>609</v>
      </c>
      <c r="J10" s="1" t="s">
        <v>609</v>
      </c>
      <c r="K10" s="1" t="s">
        <v>609</v>
      </c>
      <c r="L10" s="1" t="s">
        <v>609</v>
      </c>
      <c r="M10" s="1" t="s">
        <v>609</v>
      </c>
      <c r="N10" s="1" t="s">
        <v>609</v>
      </c>
      <c r="O10" s="1" t="s">
        <v>609</v>
      </c>
      <c r="P10" s="1" t="s">
        <v>609</v>
      </c>
      <c r="Q10" s="1" t="s">
        <v>609</v>
      </c>
      <c r="R10" s="1" t="s">
        <v>609</v>
      </c>
      <c r="S10" s="1" t="s">
        <v>609</v>
      </c>
      <c r="T10" s="1" t="s">
        <v>609</v>
      </c>
      <c r="U10" s="1" t="s">
        <v>609</v>
      </c>
      <c r="V10" s="1" t="s">
        <v>609</v>
      </c>
      <c r="W10" s="1" t="s">
        <v>609</v>
      </c>
      <c r="X10" s="1" t="s">
        <v>609</v>
      </c>
      <c r="Y10" s="1" t="s">
        <v>609</v>
      </c>
      <c r="Z10" s="1" t="s">
        <v>609</v>
      </c>
      <c r="AA10" s="1" t="s">
        <v>609</v>
      </c>
      <c r="AB10" s="1" t="s">
        <v>609</v>
      </c>
      <c r="AC10" s="1" t="s">
        <v>609</v>
      </c>
      <c r="AD10" s="1" t="s">
        <v>609</v>
      </c>
      <c r="AE10" s="1" t="s">
        <v>609</v>
      </c>
      <c r="AF10" s="1" t="s">
        <v>609</v>
      </c>
      <c r="AG10" s="1" t="s">
        <v>609</v>
      </c>
      <c r="AH10" s="1" t="s">
        <v>609</v>
      </c>
      <c r="AI10" s="1" t="s">
        <v>609</v>
      </c>
      <c r="AJ10" s="465">
        <v>43056.229889050897</v>
      </c>
    </row>
    <row r="11" spans="1:36">
      <c r="A11" s="1" t="s">
        <v>417</v>
      </c>
      <c r="B11" s="1" t="s">
        <v>240</v>
      </c>
      <c r="C11" s="1" t="s">
        <v>237</v>
      </c>
      <c r="D11" s="1" t="s">
        <v>609</v>
      </c>
      <c r="E11" s="1" t="s">
        <v>609</v>
      </c>
      <c r="F11" s="1" t="s">
        <v>609</v>
      </c>
      <c r="G11" s="1" t="s">
        <v>609</v>
      </c>
      <c r="H11" s="1" t="s">
        <v>609</v>
      </c>
      <c r="I11" s="1" t="s">
        <v>609</v>
      </c>
      <c r="J11" s="1" t="s">
        <v>609</v>
      </c>
      <c r="K11" s="1" t="s">
        <v>609</v>
      </c>
      <c r="L11" s="1" t="s">
        <v>609</v>
      </c>
      <c r="M11" s="1" t="s">
        <v>609</v>
      </c>
      <c r="N11" s="1" t="s">
        <v>609</v>
      </c>
      <c r="O11" s="1" t="s">
        <v>609</v>
      </c>
      <c r="P11" s="1" t="s">
        <v>609</v>
      </c>
      <c r="Q11" s="1" t="s">
        <v>609</v>
      </c>
      <c r="R11" s="1" t="s">
        <v>609</v>
      </c>
      <c r="S11" s="1" t="s">
        <v>609</v>
      </c>
      <c r="T11" s="1" t="s">
        <v>609</v>
      </c>
      <c r="U11" s="1" t="s">
        <v>609</v>
      </c>
      <c r="V11" s="1" t="s">
        <v>609</v>
      </c>
      <c r="W11" s="1" t="s">
        <v>609</v>
      </c>
      <c r="X11" s="1" t="s">
        <v>609</v>
      </c>
      <c r="Y11" s="1" t="s">
        <v>609</v>
      </c>
      <c r="Z11" s="1" t="s">
        <v>609</v>
      </c>
      <c r="AA11" s="1" t="s">
        <v>609</v>
      </c>
      <c r="AB11" s="1" t="s">
        <v>609</v>
      </c>
      <c r="AC11" s="1" t="s">
        <v>609</v>
      </c>
      <c r="AD11" s="1" t="s">
        <v>609</v>
      </c>
      <c r="AE11" s="1" t="s">
        <v>609</v>
      </c>
      <c r="AF11" s="1" t="s">
        <v>609</v>
      </c>
      <c r="AG11" s="1" t="s">
        <v>609</v>
      </c>
      <c r="AH11" s="1" t="s">
        <v>609</v>
      </c>
      <c r="AI11" s="1" t="s">
        <v>609</v>
      </c>
      <c r="AJ11" s="465">
        <v>43056.229889050897</v>
      </c>
    </row>
    <row r="12" spans="1:36">
      <c r="A12" s="1" t="s">
        <v>417</v>
      </c>
      <c r="B12" s="1" t="s">
        <v>241</v>
      </c>
      <c r="C12" s="1" t="s">
        <v>237</v>
      </c>
      <c r="D12" s="1" t="s">
        <v>609</v>
      </c>
      <c r="E12" s="1" t="s">
        <v>609</v>
      </c>
      <c r="F12" s="1" t="s">
        <v>609</v>
      </c>
      <c r="G12" s="1" t="s">
        <v>609</v>
      </c>
      <c r="H12" s="1" t="s">
        <v>609</v>
      </c>
      <c r="I12" s="1" t="s">
        <v>609</v>
      </c>
      <c r="J12" s="1" t="s">
        <v>609</v>
      </c>
      <c r="K12" s="1" t="s">
        <v>609</v>
      </c>
      <c r="L12" s="1" t="s">
        <v>609</v>
      </c>
      <c r="M12" s="1" t="s">
        <v>609</v>
      </c>
      <c r="N12" s="1" t="s">
        <v>609</v>
      </c>
      <c r="O12" s="1" t="s">
        <v>609</v>
      </c>
      <c r="P12" s="1" t="s">
        <v>609</v>
      </c>
      <c r="Q12" s="1" t="s">
        <v>609</v>
      </c>
      <c r="R12" s="1" t="s">
        <v>609</v>
      </c>
      <c r="S12" s="1" t="s">
        <v>609</v>
      </c>
      <c r="T12" s="1" t="s">
        <v>609</v>
      </c>
      <c r="U12" s="1" t="s">
        <v>609</v>
      </c>
      <c r="V12" s="1" t="s">
        <v>609</v>
      </c>
      <c r="W12" s="1" t="s">
        <v>609</v>
      </c>
      <c r="X12" s="1" t="s">
        <v>609</v>
      </c>
      <c r="Y12" s="1" t="s">
        <v>609</v>
      </c>
      <c r="Z12" s="1" t="s">
        <v>609</v>
      </c>
      <c r="AA12" s="1" t="s">
        <v>609</v>
      </c>
      <c r="AB12" s="1" t="s">
        <v>609</v>
      </c>
      <c r="AC12" s="1" t="s">
        <v>609</v>
      </c>
      <c r="AD12" s="1" t="s">
        <v>609</v>
      </c>
      <c r="AE12" s="1" t="s">
        <v>609</v>
      </c>
      <c r="AF12" s="1" t="s">
        <v>609</v>
      </c>
      <c r="AG12" s="1" t="s">
        <v>609</v>
      </c>
      <c r="AH12" s="1" t="s">
        <v>609</v>
      </c>
      <c r="AI12" s="1" t="s">
        <v>609</v>
      </c>
      <c r="AJ12" s="465">
        <v>43056.229889050897</v>
      </c>
    </row>
    <row r="13" spans="1:36">
      <c r="A13" s="1" t="s">
        <v>417</v>
      </c>
      <c r="B13" s="1" t="s">
        <v>242</v>
      </c>
      <c r="C13" s="1" t="s">
        <v>237</v>
      </c>
      <c r="D13" s="1" t="s">
        <v>609</v>
      </c>
      <c r="E13" s="1" t="s">
        <v>609</v>
      </c>
      <c r="F13" s="1" t="s">
        <v>609</v>
      </c>
      <c r="G13" s="1" t="s">
        <v>609</v>
      </c>
      <c r="H13" s="1" t="s">
        <v>609</v>
      </c>
      <c r="I13" s="1" t="s">
        <v>609</v>
      </c>
      <c r="J13" s="1" t="s">
        <v>609</v>
      </c>
      <c r="K13" s="1" t="s">
        <v>609</v>
      </c>
      <c r="L13" s="1" t="s">
        <v>609</v>
      </c>
      <c r="M13" s="1" t="s">
        <v>609</v>
      </c>
      <c r="N13" s="1" t="s">
        <v>609</v>
      </c>
      <c r="O13" s="1" t="s">
        <v>609</v>
      </c>
      <c r="P13" s="1" t="s">
        <v>609</v>
      </c>
      <c r="Q13" s="1" t="s">
        <v>609</v>
      </c>
      <c r="R13" s="1" t="s">
        <v>609</v>
      </c>
      <c r="S13" s="1" t="s">
        <v>609</v>
      </c>
      <c r="T13" s="1" t="s">
        <v>609</v>
      </c>
      <c r="U13" s="1" t="s">
        <v>609</v>
      </c>
      <c r="V13" s="1" t="s">
        <v>609</v>
      </c>
      <c r="W13" s="1" t="s">
        <v>609</v>
      </c>
      <c r="X13" s="1" t="s">
        <v>609</v>
      </c>
      <c r="Y13" s="1" t="s">
        <v>609</v>
      </c>
      <c r="Z13" s="1" t="s">
        <v>609</v>
      </c>
      <c r="AA13" s="1" t="s">
        <v>609</v>
      </c>
      <c r="AB13" s="1" t="s">
        <v>609</v>
      </c>
      <c r="AC13" s="1" t="s">
        <v>609</v>
      </c>
      <c r="AD13" s="1" t="s">
        <v>609</v>
      </c>
      <c r="AE13" s="1" t="s">
        <v>609</v>
      </c>
      <c r="AF13" s="1" t="s">
        <v>609</v>
      </c>
      <c r="AG13" s="1" t="s">
        <v>609</v>
      </c>
      <c r="AH13" s="1" t="s">
        <v>609</v>
      </c>
      <c r="AI13" s="1" t="s">
        <v>609</v>
      </c>
      <c r="AJ13" s="465">
        <v>43056.229889050897</v>
      </c>
    </row>
    <row r="14" spans="1:36">
      <c r="A14" s="1" t="s">
        <v>417</v>
      </c>
      <c r="B14" s="1" t="s">
        <v>1245</v>
      </c>
      <c r="C14" s="1" t="s">
        <v>237</v>
      </c>
      <c r="D14" s="1" t="s">
        <v>609</v>
      </c>
      <c r="E14" s="1" t="s">
        <v>609</v>
      </c>
      <c r="F14" s="1" t="s">
        <v>609</v>
      </c>
      <c r="G14" s="1" t="s">
        <v>609</v>
      </c>
      <c r="H14" s="1" t="s">
        <v>609</v>
      </c>
      <c r="I14" s="1" t="s">
        <v>609</v>
      </c>
      <c r="J14" s="1" t="s">
        <v>609</v>
      </c>
      <c r="K14" s="1" t="s">
        <v>609</v>
      </c>
      <c r="L14" s="1" t="s">
        <v>609</v>
      </c>
      <c r="M14" s="1" t="s">
        <v>609</v>
      </c>
      <c r="N14" s="1" t="s">
        <v>609</v>
      </c>
      <c r="O14" s="1" t="s">
        <v>609</v>
      </c>
      <c r="P14" s="1" t="s">
        <v>609</v>
      </c>
      <c r="Q14" s="1" t="s">
        <v>609</v>
      </c>
      <c r="R14" s="1" t="s">
        <v>609</v>
      </c>
      <c r="S14" s="1" t="s">
        <v>609</v>
      </c>
      <c r="T14" s="1" t="s">
        <v>609</v>
      </c>
      <c r="U14" s="1" t="s">
        <v>609</v>
      </c>
      <c r="V14" s="1" t="s">
        <v>609</v>
      </c>
      <c r="W14" s="1" t="s">
        <v>609</v>
      </c>
      <c r="X14" s="1" t="s">
        <v>609</v>
      </c>
      <c r="Y14" s="1" t="s">
        <v>609</v>
      </c>
      <c r="Z14" s="1" t="s">
        <v>609</v>
      </c>
      <c r="AA14" s="1" t="s">
        <v>609</v>
      </c>
      <c r="AB14" s="1" t="s">
        <v>609</v>
      </c>
      <c r="AC14" s="1" t="s">
        <v>609</v>
      </c>
      <c r="AD14" s="1" t="s">
        <v>609</v>
      </c>
      <c r="AE14" s="1" t="s">
        <v>609</v>
      </c>
      <c r="AF14" s="1" t="s">
        <v>609</v>
      </c>
      <c r="AG14" s="1" t="s">
        <v>609</v>
      </c>
      <c r="AH14" s="1" t="s">
        <v>609</v>
      </c>
      <c r="AI14" s="1" t="s">
        <v>609</v>
      </c>
      <c r="AJ14" s="465">
        <v>43056.229889050897</v>
      </c>
    </row>
    <row r="15" spans="1:36">
      <c r="A15" s="1" t="s">
        <v>417</v>
      </c>
      <c r="B15" s="1" t="s">
        <v>243</v>
      </c>
      <c r="C15" s="1" t="s">
        <v>237</v>
      </c>
      <c r="D15" s="1" t="s">
        <v>1246</v>
      </c>
      <c r="E15" s="1" t="s">
        <v>1246</v>
      </c>
      <c r="F15" s="1" t="s">
        <v>1246</v>
      </c>
      <c r="G15" s="1" t="s">
        <v>1247</v>
      </c>
      <c r="H15" s="1" t="s">
        <v>1247</v>
      </c>
      <c r="I15" s="1" t="s">
        <v>1247</v>
      </c>
      <c r="J15" s="1" t="s">
        <v>1247</v>
      </c>
      <c r="K15" s="1" t="s">
        <v>1247</v>
      </c>
      <c r="L15" s="1" t="s">
        <v>1247</v>
      </c>
      <c r="M15" s="1" t="s">
        <v>1248</v>
      </c>
      <c r="N15" s="1" t="s">
        <v>1249</v>
      </c>
      <c r="O15" s="1" t="s">
        <v>1250</v>
      </c>
      <c r="P15" s="1" t="s">
        <v>1251</v>
      </c>
      <c r="Q15" s="1" t="s">
        <v>1251</v>
      </c>
      <c r="R15" s="1" t="s">
        <v>1251</v>
      </c>
      <c r="S15" s="1" t="s">
        <v>1251</v>
      </c>
      <c r="T15" s="1" t="s">
        <v>1252</v>
      </c>
      <c r="U15" s="1" t="s">
        <v>1252</v>
      </c>
      <c r="V15" s="1" t="s">
        <v>1252</v>
      </c>
      <c r="W15" s="1" t="s">
        <v>1252</v>
      </c>
      <c r="X15" s="1" t="s">
        <v>1253</v>
      </c>
      <c r="Y15" s="1" t="s">
        <v>1253</v>
      </c>
      <c r="Z15" s="1" t="s">
        <v>1253</v>
      </c>
      <c r="AA15" s="1" t="s">
        <v>1253</v>
      </c>
      <c r="AB15" s="1" t="s">
        <v>1254</v>
      </c>
      <c r="AC15" s="1" t="s">
        <v>1254</v>
      </c>
      <c r="AD15" s="1" t="s">
        <v>1254</v>
      </c>
      <c r="AE15" s="1" t="s">
        <v>1254</v>
      </c>
      <c r="AF15" s="1" t="s">
        <v>1254</v>
      </c>
      <c r="AG15" s="1" t="s">
        <v>1254</v>
      </c>
      <c r="AH15" s="1" t="s">
        <v>1254</v>
      </c>
      <c r="AI15" s="1" t="s">
        <v>1255</v>
      </c>
      <c r="AJ15" s="465">
        <v>43056.229889050897</v>
      </c>
    </row>
    <row r="16" spans="1:36">
      <c r="A16" s="1" t="s">
        <v>417</v>
      </c>
      <c r="B16" s="1" t="s">
        <v>244</v>
      </c>
      <c r="C16" s="1" t="s">
        <v>237</v>
      </c>
      <c r="D16" s="1" t="s">
        <v>609</v>
      </c>
      <c r="E16" s="1" t="s">
        <v>609</v>
      </c>
      <c r="F16" s="1" t="s">
        <v>1256</v>
      </c>
      <c r="G16" s="1" t="s">
        <v>609</v>
      </c>
      <c r="H16" s="1" t="s">
        <v>609</v>
      </c>
      <c r="I16" s="1" t="s">
        <v>609</v>
      </c>
      <c r="J16" s="1" t="s">
        <v>609</v>
      </c>
      <c r="K16" s="1" t="s">
        <v>609</v>
      </c>
      <c r="L16" s="1" t="s">
        <v>609</v>
      </c>
      <c r="M16" s="1" t="s">
        <v>609</v>
      </c>
      <c r="N16" s="1" t="s">
        <v>609</v>
      </c>
      <c r="O16" s="1" t="s">
        <v>609</v>
      </c>
      <c r="P16" s="1" t="s">
        <v>609</v>
      </c>
      <c r="Q16" s="1" t="s">
        <v>609</v>
      </c>
      <c r="R16" s="1" t="s">
        <v>609</v>
      </c>
      <c r="S16" s="1" t="s">
        <v>609</v>
      </c>
      <c r="T16" s="1" t="s">
        <v>609</v>
      </c>
      <c r="U16" s="1" t="s">
        <v>609</v>
      </c>
      <c r="V16" s="1" t="s">
        <v>609</v>
      </c>
      <c r="W16" s="1" t="s">
        <v>609</v>
      </c>
      <c r="X16" s="1" t="s">
        <v>609</v>
      </c>
      <c r="Y16" s="1" t="s">
        <v>609</v>
      </c>
      <c r="Z16" s="1" t="s">
        <v>609</v>
      </c>
      <c r="AA16" s="1" t="s">
        <v>609</v>
      </c>
      <c r="AB16" s="1" t="s">
        <v>609</v>
      </c>
      <c r="AC16" s="1" t="s">
        <v>609</v>
      </c>
      <c r="AD16" s="1" t="s">
        <v>609</v>
      </c>
      <c r="AE16" s="1" t="s">
        <v>609</v>
      </c>
      <c r="AF16" s="1" t="s">
        <v>609</v>
      </c>
      <c r="AG16" s="1" t="s">
        <v>609</v>
      </c>
      <c r="AH16" s="1" t="s">
        <v>609</v>
      </c>
      <c r="AI16" s="1" t="s">
        <v>1257</v>
      </c>
      <c r="AJ16" s="465">
        <v>43056.229889050897</v>
      </c>
    </row>
    <row r="17" spans="1:36">
      <c r="A17" s="1" t="s">
        <v>417</v>
      </c>
      <c r="B17" s="1" t="s">
        <v>249</v>
      </c>
      <c r="C17" s="1" t="s">
        <v>236</v>
      </c>
      <c r="D17" s="1" t="s">
        <v>609</v>
      </c>
      <c r="E17" s="1" t="s">
        <v>609</v>
      </c>
      <c r="F17" s="1" t="s">
        <v>609</v>
      </c>
      <c r="G17" s="1" t="s">
        <v>609</v>
      </c>
      <c r="H17" s="1" t="s">
        <v>609</v>
      </c>
      <c r="I17" s="1" t="s">
        <v>609</v>
      </c>
      <c r="J17" s="1" t="s">
        <v>609</v>
      </c>
      <c r="K17" s="1" t="s">
        <v>609</v>
      </c>
      <c r="L17" s="1" t="s">
        <v>609</v>
      </c>
      <c r="M17" s="1" t="s">
        <v>609</v>
      </c>
      <c r="N17" s="1" t="s">
        <v>609</v>
      </c>
      <c r="O17" s="1" t="s">
        <v>609</v>
      </c>
      <c r="P17" s="1" t="s">
        <v>609</v>
      </c>
      <c r="Q17" s="1" t="s">
        <v>609</v>
      </c>
      <c r="R17" s="1" t="s">
        <v>609</v>
      </c>
      <c r="S17" s="1" t="s">
        <v>609</v>
      </c>
      <c r="T17" s="1" t="s">
        <v>609</v>
      </c>
      <c r="U17" s="1" t="s">
        <v>609</v>
      </c>
      <c r="V17" s="1" t="s">
        <v>609</v>
      </c>
      <c r="W17" s="1" t="s">
        <v>609</v>
      </c>
      <c r="X17" s="1" t="s">
        <v>609</v>
      </c>
      <c r="Y17" s="1" t="s">
        <v>609</v>
      </c>
      <c r="Z17" s="1" t="s">
        <v>609</v>
      </c>
      <c r="AA17" s="1" t="s">
        <v>609</v>
      </c>
      <c r="AB17" s="1" t="s">
        <v>609</v>
      </c>
      <c r="AC17" s="1" t="s">
        <v>609</v>
      </c>
      <c r="AD17" s="1" t="s">
        <v>609</v>
      </c>
      <c r="AE17" s="1" t="s">
        <v>609</v>
      </c>
      <c r="AF17" s="1" t="s">
        <v>609</v>
      </c>
      <c r="AG17" s="1" t="s">
        <v>609</v>
      </c>
      <c r="AH17" s="1" t="s">
        <v>609</v>
      </c>
      <c r="AI17" s="1" t="s">
        <v>609</v>
      </c>
      <c r="AJ17" s="465">
        <v>43056.229889050897</v>
      </c>
    </row>
    <row r="18" spans="1:36">
      <c r="A18" s="1" t="s">
        <v>417</v>
      </c>
      <c r="B18" s="1" t="s">
        <v>250</v>
      </c>
      <c r="C18" s="1" t="s">
        <v>237</v>
      </c>
      <c r="D18" s="1" t="s">
        <v>609</v>
      </c>
      <c r="E18" s="1" t="s">
        <v>609</v>
      </c>
      <c r="F18" s="1" t="s">
        <v>609</v>
      </c>
      <c r="G18" s="1" t="s">
        <v>609</v>
      </c>
      <c r="H18" s="1" t="s">
        <v>609</v>
      </c>
      <c r="I18" s="1" t="s">
        <v>609</v>
      </c>
      <c r="J18" s="1" t="s">
        <v>609</v>
      </c>
      <c r="K18" s="1" t="s">
        <v>609</v>
      </c>
      <c r="L18" s="1" t="s">
        <v>609</v>
      </c>
      <c r="M18" s="1" t="s">
        <v>609</v>
      </c>
      <c r="N18" s="1" t="s">
        <v>609</v>
      </c>
      <c r="O18" s="1" t="s">
        <v>609</v>
      </c>
      <c r="P18" s="1" t="s">
        <v>609</v>
      </c>
      <c r="Q18" s="1" t="s">
        <v>609</v>
      </c>
      <c r="R18" s="1" t="s">
        <v>609</v>
      </c>
      <c r="S18" s="1" t="s">
        <v>609</v>
      </c>
      <c r="T18" s="1" t="s">
        <v>609</v>
      </c>
      <c r="U18" s="1" t="s">
        <v>609</v>
      </c>
      <c r="V18" s="1" t="s">
        <v>609</v>
      </c>
      <c r="W18" s="1" t="s">
        <v>609</v>
      </c>
      <c r="X18" s="1" t="s">
        <v>609</v>
      </c>
      <c r="Y18" s="1" t="s">
        <v>609</v>
      </c>
      <c r="Z18" s="1" t="s">
        <v>609</v>
      </c>
      <c r="AA18" s="1" t="s">
        <v>609</v>
      </c>
      <c r="AB18" s="1" t="s">
        <v>609</v>
      </c>
      <c r="AC18" s="1" t="s">
        <v>609</v>
      </c>
      <c r="AD18" s="1" t="s">
        <v>609</v>
      </c>
      <c r="AE18" s="1" t="s">
        <v>609</v>
      </c>
      <c r="AF18" s="1" t="s">
        <v>609</v>
      </c>
      <c r="AG18" s="1" t="s">
        <v>609</v>
      </c>
      <c r="AH18" s="1" t="s">
        <v>609</v>
      </c>
      <c r="AI18" s="1" t="s">
        <v>609</v>
      </c>
      <c r="AJ18" s="465">
        <v>43056.229889050897</v>
      </c>
    </row>
    <row r="19" spans="1:36">
      <c r="A19" s="1" t="s">
        <v>417</v>
      </c>
      <c r="B19" s="1" t="s">
        <v>246</v>
      </c>
      <c r="C19" s="1" t="s">
        <v>237</v>
      </c>
      <c r="D19" s="1" t="s">
        <v>609</v>
      </c>
      <c r="E19" s="1" t="s">
        <v>609</v>
      </c>
      <c r="F19" s="1" t="s">
        <v>609</v>
      </c>
      <c r="G19" s="1" t="s">
        <v>609</v>
      </c>
      <c r="H19" s="1" t="s">
        <v>609</v>
      </c>
      <c r="I19" s="1" t="s">
        <v>609</v>
      </c>
      <c r="J19" s="1" t="s">
        <v>609</v>
      </c>
      <c r="K19" s="1" t="s">
        <v>609</v>
      </c>
      <c r="L19" s="1" t="s">
        <v>609</v>
      </c>
      <c r="M19" s="1" t="s">
        <v>609</v>
      </c>
      <c r="N19" s="1" t="s">
        <v>609</v>
      </c>
      <c r="O19" s="1" t="s">
        <v>609</v>
      </c>
      <c r="P19" s="1" t="s">
        <v>609</v>
      </c>
      <c r="Q19" s="1" t="s">
        <v>609</v>
      </c>
      <c r="R19" s="1" t="s">
        <v>609</v>
      </c>
      <c r="S19" s="1" t="s">
        <v>609</v>
      </c>
      <c r="T19" s="1" t="s">
        <v>609</v>
      </c>
      <c r="U19" s="1" t="s">
        <v>609</v>
      </c>
      <c r="V19" s="1" t="s">
        <v>609</v>
      </c>
      <c r="W19" s="1" t="s">
        <v>609</v>
      </c>
      <c r="X19" s="1" t="s">
        <v>609</v>
      </c>
      <c r="Y19" s="1" t="s">
        <v>609</v>
      </c>
      <c r="Z19" s="1" t="s">
        <v>609</v>
      </c>
      <c r="AA19" s="1" t="s">
        <v>609</v>
      </c>
      <c r="AB19" s="1" t="s">
        <v>609</v>
      </c>
      <c r="AC19" s="1" t="s">
        <v>609</v>
      </c>
      <c r="AD19" s="1" t="s">
        <v>609</v>
      </c>
      <c r="AE19" s="1" t="s">
        <v>609</v>
      </c>
      <c r="AF19" s="1" t="s">
        <v>609</v>
      </c>
      <c r="AG19" s="1" t="s">
        <v>609</v>
      </c>
      <c r="AH19" s="1" t="s">
        <v>609</v>
      </c>
      <c r="AI19" s="1" t="s">
        <v>609</v>
      </c>
      <c r="AJ19" s="465">
        <v>43056.229889050897</v>
      </c>
    </row>
    <row r="20" spans="1:36">
      <c r="A20" s="1" t="s">
        <v>417</v>
      </c>
      <c r="B20" s="1" t="s">
        <v>248</v>
      </c>
      <c r="C20" s="1" t="s">
        <v>237</v>
      </c>
      <c r="D20" s="1" t="s">
        <v>609</v>
      </c>
      <c r="E20" s="1" t="s">
        <v>609</v>
      </c>
      <c r="F20" s="1" t="s">
        <v>609</v>
      </c>
      <c r="G20" s="1" t="s">
        <v>609</v>
      </c>
      <c r="H20" s="1" t="s">
        <v>609</v>
      </c>
      <c r="I20" s="1" t="s">
        <v>609</v>
      </c>
      <c r="J20" s="1" t="s">
        <v>609</v>
      </c>
      <c r="K20" s="1" t="s">
        <v>609</v>
      </c>
      <c r="L20" s="1" t="s">
        <v>609</v>
      </c>
      <c r="M20" s="1" t="s">
        <v>609</v>
      </c>
      <c r="N20" s="1" t="s">
        <v>609</v>
      </c>
      <c r="O20" s="1" t="s">
        <v>609</v>
      </c>
      <c r="P20" s="1" t="s">
        <v>609</v>
      </c>
      <c r="Q20" s="1" t="s">
        <v>609</v>
      </c>
      <c r="R20" s="1" t="s">
        <v>609</v>
      </c>
      <c r="S20" s="1" t="s">
        <v>609</v>
      </c>
      <c r="T20" s="1" t="s">
        <v>609</v>
      </c>
      <c r="U20" s="1" t="s">
        <v>609</v>
      </c>
      <c r="V20" s="1" t="s">
        <v>609</v>
      </c>
      <c r="W20" s="1" t="s">
        <v>609</v>
      </c>
      <c r="X20" s="1" t="s">
        <v>609</v>
      </c>
      <c r="Y20" s="1" t="s">
        <v>609</v>
      </c>
      <c r="Z20" s="1" t="s">
        <v>609</v>
      </c>
      <c r="AA20" s="1" t="s">
        <v>609</v>
      </c>
      <c r="AB20" s="1" t="s">
        <v>609</v>
      </c>
      <c r="AC20" s="1" t="s">
        <v>609</v>
      </c>
      <c r="AD20" s="1" t="s">
        <v>609</v>
      </c>
      <c r="AE20" s="1" t="s">
        <v>609</v>
      </c>
      <c r="AF20" s="1" t="s">
        <v>609</v>
      </c>
      <c r="AG20" s="1" t="s">
        <v>609</v>
      </c>
      <c r="AH20" s="1" t="s">
        <v>609</v>
      </c>
      <c r="AI20" s="1" t="s">
        <v>609</v>
      </c>
      <c r="AJ20" s="465">
        <v>43056.229889050897</v>
      </c>
    </row>
    <row r="21" spans="1:36">
      <c r="A21" s="1" t="s">
        <v>417</v>
      </c>
      <c r="B21" s="1" t="s">
        <v>247</v>
      </c>
      <c r="C21" s="1" t="s">
        <v>237</v>
      </c>
      <c r="D21" s="1" t="s">
        <v>609</v>
      </c>
      <c r="E21" s="1" t="s">
        <v>609</v>
      </c>
      <c r="F21" s="1" t="s">
        <v>609</v>
      </c>
      <c r="G21" s="1" t="s">
        <v>609</v>
      </c>
      <c r="H21" s="1" t="s">
        <v>609</v>
      </c>
      <c r="I21" s="1" t="s">
        <v>609</v>
      </c>
      <c r="J21" s="1" t="s">
        <v>609</v>
      </c>
      <c r="K21" s="1" t="s">
        <v>609</v>
      </c>
      <c r="L21" s="1" t="s">
        <v>609</v>
      </c>
      <c r="M21" s="1" t="s">
        <v>609</v>
      </c>
      <c r="N21" s="1" t="s">
        <v>609</v>
      </c>
      <c r="O21" s="1" t="s">
        <v>609</v>
      </c>
      <c r="P21" s="1" t="s">
        <v>609</v>
      </c>
      <c r="Q21" s="1" t="s">
        <v>609</v>
      </c>
      <c r="R21" s="1" t="s">
        <v>609</v>
      </c>
      <c r="S21" s="1" t="s">
        <v>609</v>
      </c>
      <c r="T21" s="1" t="s">
        <v>609</v>
      </c>
      <c r="U21" s="1" t="s">
        <v>609</v>
      </c>
      <c r="V21" s="1" t="s">
        <v>609</v>
      </c>
      <c r="W21" s="1" t="s">
        <v>609</v>
      </c>
      <c r="X21" s="1" t="s">
        <v>609</v>
      </c>
      <c r="Y21" s="1" t="s">
        <v>609</v>
      </c>
      <c r="Z21" s="1" t="s">
        <v>609</v>
      </c>
      <c r="AA21" s="1" t="s">
        <v>609</v>
      </c>
      <c r="AB21" s="1" t="s">
        <v>609</v>
      </c>
      <c r="AC21" s="1" t="s">
        <v>609</v>
      </c>
      <c r="AD21" s="1" t="s">
        <v>609</v>
      </c>
      <c r="AE21" s="1" t="s">
        <v>609</v>
      </c>
      <c r="AF21" s="1" t="s">
        <v>609</v>
      </c>
      <c r="AG21" s="1" t="s">
        <v>609</v>
      </c>
      <c r="AH21" s="1" t="s">
        <v>609</v>
      </c>
      <c r="AI21" s="1" t="s">
        <v>609</v>
      </c>
      <c r="AJ21" s="465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1258</v>
      </c>
      <c r="B1" s="1" t="s">
        <v>450</v>
      </c>
      <c r="C1" s="1" t="s">
        <v>1259</v>
      </c>
      <c r="D1" s="1" t="s">
        <v>1260</v>
      </c>
      <c r="E1" s="1" t="s">
        <v>1261</v>
      </c>
      <c r="F1" s="1" t="s">
        <v>1262</v>
      </c>
      <c r="G1" s="1" t="s">
        <v>1263</v>
      </c>
      <c r="H1" s="1" t="s">
        <v>1264</v>
      </c>
      <c r="I1" s="1" t="s">
        <v>1265</v>
      </c>
      <c r="J1" s="1" t="s">
        <v>1266</v>
      </c>
      <c r="K1" s="1" t="s">
        <v>1267</v>
      </c>
      <c r="L1" s="1" t="s">
        <v>1268</v>
      </c>
      <c r="M1" s="1" t="s">
        <v>1269</v>
      </c>
      <c r="N1" s="1" t="s">
        <v>1270</v>
      </c>
      <c r="O1" s="1" t="s">
        <v>452</v>
      </c>
      <c r="P1" s="1" t="s">
        <v>1271</v>
      </c>
      <c r="Q1" s="1" t="s">
        <v>1272</v>
      </c>
      <c r="R1" s="1" t="s">
        <v>1273</v>
      </c>
      <c r="S1" s="1" t="s">
        <v>1274</v>
      </c>
      <c r="T1" s="1" t="s">
        <v>1275</v>
      </c>
      <c r="U1" s="1" t="s">
        <v>1276</v>
      </c>
      <c r="V1" s="1" t="s">
        <v>1277</v>
      </c>
      <c r="W1" s="1" t="s">
        <v>1278</v>
      </c>
      <c r="X1" s="1" t="s">
        <v>1279</v>
      </c>
      <c r="Y1" s="1" t="s">
        <v>1280</v>
      </c>
      <c r="Z1" s="1" t="s">
        <v>1281</v>
      </c>
      <c r="AA1" s="1" t="s">
        <v>1282</v>
      </c>
      <c r="AB1" s="1" t="s">
        <v>1283</v>
      </c>
    </row>
    <row r="2" spans="1:29">
      <c r="A2" s="1" t="s">
        <v>1284</v>
      </c>
      <c r="B2" s="1" t="s">
        <v>453</v>
      </c>
      <c r="C2" s="1" t="s">
        <v>1285</v>
      </c>
      <c r="D2" s="1" t="s">
        <v>1286</v>
      </c>
      <c r="E2" s="1" t="s">
        <v>1287</v>
      </c>
      <c r="F2" s="1" t="s">
        <v>1288</v>
      </c>
      <c r="G2" s="1" t="s">
        <v>1289</v>
      </c>
      <c r="H2" s="1" t="s">
        <v>1290</v>
      </c>
      <c r="I2" s="1" t="s">
        <v>1291</v>
      </c>
      <c r="J2" s="1" t="s">
        <v>609</v>
      </c>
      <c r="K2" s="1" t="s">
        <v>609</v>
      </c>
      <c r="L2" s="1" t="s">
        <v>609</v>
      </c>
      <c r="M2" s="1" t="s">
        <v>609</v>
      </c>
      <c r="N2" s="1" t="s">
        <v>609</v>
      </c>
      <c r="O2" s="1" t="s">
        <v>1292</v>
      </c>
      <c r="P2" s="1" t="s">
        <v>1293</v>
      </c>
      <c r="Q2" s="1" t="s">
        <v>1294</v>
      </c>
      <c r="R2" s="1" t="s">
        <v>1295</v>
      </c>
      <c r="S2" s="1" t="s">
        <v>1296</v>
      </c>
      <c r="T2" s="1" t="s">
        <v>1297</v>
      </c>
      <c r="U2" s="1" t="s">
        <v>1298</v>
      </c>
      <c r="V2" s="1" t="s">
        <v>1299</v>
      </c>
      <c r="W2" s="1" t="s">
        <v>609</v>
      </c>
      <c r="X2" s="1" t="s">
        <v>609</v>
      </c>
      <c r="Y2" s="1" t="s">
        <v>609</v>
      </c>
      <c r="Z2" s="1" t="s">
        <v>609</v>
      </c>
      <c r="AA2" s="1" t="s">
        <v>609</v>
      </c>
      <c r="AB2" s="1" t="s">
        <v>1300</v>
      </c>
      <c r="AC2" s="465">
        <v>43045.229882731503</v>
      </c>
    </row>
    <row r="3" spans="1:29">
      <c r="A3" s="1" t="s">
        <v>1284</v>
      </c>
      <c r="B3" s="1" t="s">
        <v>487</v>
      </c>
      <c r="C3" s="1" t="s">
        <v>1301</v>
      </c>
      <c r="D3" s="1" t="s">
        <v>1302</v>
      </c>
      <c r="E3" s="1" t="s">
        <v>1303</v>
      </c>
      <c r="F3" s="1" t="s">
        <v>1304</v>
      </c>
      <c r="G3" s="1" t="s">
        <v>1305</v>
      </c>
      <c r="H3" s="1" t="s">
        <v>1306</v>
      </c>
      <c r="I3" s="1" t="s">
        <v>1307</v>
      </c>
      <c r="J3" s="1" t="s">
        <v>609</v>
      </c>
      <c r="K3" s="1" t="s">
        <v>609</v>
      </c>
      <c r="L3" s="1" t="s">
        <v>609</v>
      </c>
      <c r="M3" s="1" t="s">
        <v>609</v>
      </c>
      <c r="N3" s="1" t="s">
        <v>609</v>
      </c>
      <c r="O3" s="1" t="s">
        <v>1308</v>
      </c>
      <c r="P3" s="1" t="s">
        <v>1309</v>
      </c>
      <c r="Q3" s="1" t="s">
        <v>1310</v>
      </c>
      <c r="R3" s="1" t="s">
        <v>1311</v>
      </c>
      <c r="S3" s="1" t="s">
        <v>1312</v>
      </c>
      <c r="T3" s="1" t="s">
        <v>1313</v>
      </c>
      <c r="U3" s="1" t="s">
        <v>1314</v>
      </c>
      <c r="V3" s="1" t="s">
        <v>1315</v>
      </c>
      <c r="W3" s="1" t="s">
        <v>609</v>
      </c>
      <c r="X3" s="1" t="s">
        <v>609</v>
      </c>
      <c r="Y3" s="1" t="s">
        <v>609</v>
      </c>
      <c r="Z3" s="1" t="s">
        <v>609</v>
      </c>
      <c r="AA3" s="1" t="s">
        <v>609</v>
      </c>
      <c r="AB3" s="1" t="s">
        <v>1316</v>
      </c>
      <c r="AC3" s="465">
        <v>43045.229882731503</v>
      </c>
    </row>
    <row r="4" spans="1:29">
      <c r="A4" s="1" t="s">
        <v>1284</v>
      </c>
      <c r="B4" s="1" t="s">
        <v>518</v>
      </c>
      <c r="C4" s="1" t="s">
        <v>1317</v>
      </c>
      <c r="D4" s="1" t="s">
        <v>1318</v>
      </c>
      <c r="E4" s="1" t="s">
        <v>1319</v>
      </c>
      <c r="F4" s="1" t="s">
        <v>1320</v>
      </c>
      <c r="G4" s="1" t="s">
        <v>1321</v>
      </c>
      <c r="H4" s="1" t="s">
        <v>1322</v>
      </c>
      <c r="I4" s="1" t="s">
        <v>1323</v>
      </c>
      <c r="J4" s="1" t="s">
        <v>609</v>
      </c>
      <c r="K4" s="1" t="s">
        <v>609</v>
      </c>
      <c r="L4" s="1" t="s">
        <v>609</v>
      </c>
      <c r="M4" s="1" t="s">
        <v>609</v>
      </c>
      <c r="N4" s="1" t="s">
        <v>609</v>
      </c>
      <c r="O4" s="1" t="s">
        <v>1324</v>
      </c>
      <c r="P4" s="1" t="s">
        <v>1325</v>
      </c>
      <c r="Q4" s="1" t="s">
        <v>1326</v>
      </c>
      <c r="R4" s="1" t="s">
        <v>1327</v>
      </c>
      <c r="S4" s="1" t="s">
        <v>1328</v>
      </c>
      <c r="T4" s="1" t="s">
        <v>1329</v>
      </c>
      <c r="U4" s="1" t="s">
        <v>1330</v>
      </c>
      <c r="V4" s="1" t="s">
        <v>1331</v>
      </c>
      <c r="W4" s="1" t="s">
        <v>609</v>
      </c>
      <c r="X4" s="1" t="s">
        <v>609</v>
      </c>
      <c r="Y4" s="1" t="s">
        <v>609</v>
      </c>
      <c r="Z4" s="1" t="s">
        <v>609</v>
      </c>
      <c r="AA4" s="1" t="s">
        <v>609</v>
      </c>
      <c r="AB4" s="1" t="s">
        <v>1332</v>
      </c>
      <c r="AC4" s="465">
        <v>43045.229882731503</v>
      </c>
    </row>
    <row r="5" spans="1:29">
      <c r="A5" s="1" t="s">
        <v>1284</v>
      </c>
      <c r="B5" s="1" t="s">
        <v>547</v>
      </c>
      <c r="C5" s="1" t="s">
        <v>1333</v>
      </c>
      <c r="D5" s="1" t="s">
        <v>1334</v>
      </c>
      <c r="E5" s="1" t="s">
        <v>1335</v>
      </c>
      <c r="F5" s="1" t="s">
        <v>1336</v>
      </c>
      <c r="G5" s="1" t="s">
        <v>1337</v>
      </c>
      <c r="H5" s="1" t="s">
        <v>1338</v>
      </c>
      <c r="I5" s="1" t="s">
        <v>1339</v>
      </c>
      <c r="J5" s="1" t="s">
        <v>609</v>
      </c>
      <c r="K5" s="1" t="s">
        <v>609</v>
      </c>
      <c r="L5" s="1" t="s">
        <v>609</v>
      </c>
      <c r="M5" s="1" t="s">
        <v>609</v>
      </c>
      <c r="N5" s="1" t="s">
        <v>609</v>
      </c>
      <c r="O5" s="1" t="s">
        <v>1340</v>
      </c>
      <c r="P5" s="1" t="s">
        <v>1341</v>
      </c>
      <c r="Q5" s="1" t="s">
        <v>1342</v>
      </c>
      <c r="R5" s="1" t="s">
        <v>1343</v>
      </c>
      <c r="S5" s="1" t="s">
        <v>1344</v>
      </c>
      <c r="T5" s="1" t="s">
        <v>1345</v>
      </c>
      <c r="U5" s="1" t="s">
        <v>1346</v>
      </c>
      <c r="V5" s="1" t="s">
        <v>1347</v>
      </c>
      <c r="W5" s="1" t="s">
        <v>609</v>
      </c>
      <c r="X5" s="1" t="s">
        <v>609</v>
      </c>
      <c r="Y5" s="1" t="s">
        <v>609</v>
      </c>
      <c r="Z5" s="1" t="s">
        <v>609</v>
      </c>
      <c r="AA5" s="1" t="s">
        <v>609</v>
      </c>
      <c r="AB5" s="1" t="s">
        <v>1348</v>
      </c>
      <c r="AC5" s="465">
        <v>43045.229882731503</v>
      </c>
    </row>
    <row r="6" spans="1:29">
      <c r="A6" s="1" t="s">
        <v>1284</v>
      </c>
      <c r="B6" s="1" t="s">
        <v>576</v>
      </c>
      <c r="C6" s="1" t="s">
        <v>1349</v>
      </c>
      <c r="D6" s="1" t="s">
        <v>1350</v>
      </c>
      <c r="E6" s="1" t="s">
        <v>1351</v>
      </c>
      <c r="F6" s="1" t="s">
        <v>1352</v>
      </c>
      <c r="G6" s="1" t="s">
        <v>1353</v>
      </c>
      <c r="H6" s="1" t="s">
        <v>1354</v>
      </c>
      <c r="I6" s="1" t="s">
        <v>1355</v>
      </c>
      <c r="J6" s="1" t="s">
        <v>609</v>
      </c>
      <c r="K6" s="1" t="s">
        <v>609</v>
      </c>
      <c r="L6" s="1" t="s">
        <v>609</v>
      </c>
      <c r="M6" s="1" t="s">
        <v>609</v>
      </c>
      <c r="N6" s="1" t="s">
        <v>609</v>
      </c>
      <c r="O6" s="1" t="s">
        <v>1356</v>
      </c>
      <c r="P6" s="1" t="s">
        <v>1357</v>
      </c>
      <c r="Q6" s="1" t="s">
        <v>1358</v>
      </c>
      <c r="R6" s="1" t="s">
        <v>1359</v>
      </c>
      <c r="S6" s="1" t="s">
        <v>1360</v>
      </c>
      <c r="T6" s="1" t="s">
        <v>1361</v>
      </c>
      <c r="U6" s="1" t="s">
        <v>1362</v>
      </c>
      <c r="V6" s="1" t="s">
        <v>1363</v>
      </c>
      <c r="W6" s="1" t="s">
        <v>609</v>
      </c>
      <c r="X6" s="1" t="s">
        <v>609</v>
      </c>
      <c r="Y6" s="1" t="s">
        <v>609</v>
      </c>
      <c r="Z6" s="1" t="s">
        <v>609</v>
      </c>
      <c r="AA6" s="1" t="s">
        <v>609</v>
      </c>
      <c r="AB6" s="1" t="s">
        <v>1364</v>
      </c>
      <c r="AC6" s="465">
        <v>43045.229882731503</v>
      </c>
    </row>
    <row r="7" spans="1:29">
      <c r="A7" s="1" t="s">
        <v>1284</v>
      </c>
      <c r="B7" s="1" t="s">
        <v>608</v>
      </c>
      <c r="C7" s="1" t="s">
        <v>609</v>
      </c>
      <c r="D7" s="1" t="s">
        <v>609</v>
      </c>
      <c r="E7" s="1" t="s">
        <v>609</v>
      </c>
      <c r="F7" s="1" t="s">
        <v>609</v>
      </c>
      <c r="G7" s="1" t="s">
        <v>609</v>
      </c>
      <c r="H7" s="1" t="s">
        <v>609</v>
      </c>
      <c r="I7" s="1" t="s">
        <v>609</v>
      </c>
      <c r="J7" s="1" t="s">
        <v>609</v>
      </c>
      <c r="K7" s="1" t="s">
        <v>609</v>
      </c>
      <c r="L7" s="1" t="s">
        <v>609</v>
      </c>
      <c r="M7" s="1" t="s">
        <v>609</v>
      </c>
      <c r="N7" s="1" t="s">
        <v>609</v>
      </c>
      <c r="O7" s="1" t="s">
        <v>609</v>
      </c>
      <c r="P7" s="1" t="s">
        <v>609</v>
      </c>
      <c r="Q7" s="1" t="s">
        <v>609</v>
      </c>
      <c r="R7" s="1" t="s">
        <v>609</v>
      </c>
      <c r="S7" s="1" t="s">
        <v>609</v>
      </c>
      <c r="T7" s="1" t="s">
        <v>609</v>
      </c>
      <c r="U7" s="1" t="s">
        <v>609</v>
      </c>
      <c r="V7" s="1" t="s">
        <v>609</v>
      </c>
      <c r="W7" s="1" t="s">
        <v>609</v>
      </c>
      <c r="X7" s="1" t="s">
        <v>609</v>
      </c>
      <c r="Y7" s="1" t="s">
        <v>609</v>
      </c>
      <c r="Z7" s="1" t="s">
        <v>609</v>
      </c>
      <c r="AA7" s="1" t="s">
        <v>609</v>
      </c>
      <c r="AB7" s="1" t="s">
        <v>609</v>
      </c>
      <c r="AC7" s="465">
        <v>43045.229882731503</v>
      </c>
    </row>
    <row r="8" spans="1:29">
      <c r="A8" s="1" t="s">
        <v>1284</v>
      </c>
      <c r="B8" s="1" t="s">
        <v>610</v>
      </c>
      <c r="C8" s="1" t="s">
        <v>1365</v>
      </c>
      <c r="D8" s="1" t="s">
        <v>1366</v>
      </c>
      <c r="E8" s="1" t="s">
        <v>1367</v>
      </c>
      <c r="F8" s="1" t="s">
        <v>1368</v>
      </c>
      <c r="G8" s="1" t="s">
        <v>1369</v>
      </c>
      <c r="H8" s="1" t="s">
        <v>1370</v>
      </c>
      <c r="I8" s="1" t="s">
        <v>1371</v>
      </c>
      <c r="J8" s="1" t="s">
        <v>609</v>
      </c>
      <c r="K8" s="1" t="s">
        <v>609</v>
      </c>
      <c r="L8" s="1" t="s">
        <v>609</v>
      </c>
      <c r="M8" s="1" t="s">
        <v>609</v>
      </c>
      <c r="N8" s="1" t="s">
        <v>609</v>
      </c>
      <c r="O8" s="1" t="s">
        <v>1372</v>
      </c>
      <c r="P8" s="1" t="s">
        <v>1373</v>
      </c>
      <c r="Q8" s="1" t="s">
        <v>1374</v>
      </c>
      <c r="R8" s="1" t="s">
        <v>1375</v>
      </c>
      <c r="S8" s="1" t="s">
        <v>1376</v>
      </c>
      <c r="T8" s="1" t="s">
        <v>1377</v>
      </c>
      <c r="U8" s="1" t="s">
        <v>1378</v>
      </c>
      <c r="V8" s="1" t="s">
        <v>1379</v>
      </c>
      <c r="W8" s="1" t="s">
        <v>609</v>
      </c>
      <c r="X8" s="1" t="s">
        <v>609</v>
      </c>
      <c r="Y8" s="1" t="s">
        <v>609</v>
      </c>
      <c r="Z8" s="1" t="s">
        <v>609</v>
      </c>
      <c r="AA8" s="1" t="s">
        <v>609</v>
      </c>
      <c r="AB8" s="1" t="s">
        <v>1380</v>
      </c>
      <c r="AC8" s="465">
        <v>43045.229882731503</v>
      </c>
    </row>
    <row r="9" spans="1:29">
      <c r="A9" s="1" t="s">
        <v>1284</v>
      </c>
      <c r="B9" s="1" t="s">
        <v>639</v>
      </c>
      <c r="C9" s="1" t="s">
        <v>609</v>
      </c>
      <c r="D9" s="1" t="s">
        <v>609</v>
      </c>
      <c r="E9" s="1" t="s">
        <v>609</v>
      </c>
      <c r="F9" s="1" t="s">
        <v>609</v>
      </c>
      <c r="G9" s="1" t="s">
        <v>609</v>
      </c>
      <c r="H9" s="1" t="s">
        <v>609</v>
      </c>
      <c r="I9" s="1" t="s">
        <v>609</v>
      </c>
      <c r="J9" s="1" t="s">
        <v>609</v>
      </c>
      <c r="K9" s="1" t="s">
        <v>609</v>
      </c>
      <c r="L9" s="1" t="s">
        <v>609</v>
      </c>
      <c r="M9" s="1" t="s">
        <v>609</v>
      </c>
      <c r="N9" s="1" t="s">
        <v>609</v>
      </c>
      <c r="O9" s="1" t="s">
        <v>609</v>
      </c>
      <c r="P9" s="1" t="s">
        <v>609</v>
      </c>
      <c r="Q9" s="1" t="s">
        <v>609</v>
      </c>
      <c r="R9" s="1" t="s">
        <v>609</v>
      </c>
      <c r="S9" s="1" t="s">
        <v>609</v>
      </c>
      <c r="T9" s="1" t="s">
        <v>609</v>
      </c>
      <c r="U9" s="1" t="s">
        <v>609</v>
      </c>
      <c r="V9" s="1" t="s">
        <v>609</v>
      </c>
      <c r="W9" s="1" t="s">
        <v>609</v>
      </c>
      <c r="X9" s="1" t="s">
        <v>609</v>
      </c>
      <c r="Y9" s="1" t="s">
        <v>609</v>
      </c>
      <c r="Z9" s="1" t="s">
        <v>609</v>
      </c>
      <c r="AA9" s="1" t="s">
        <v>609</v>
      </c>
      <c r="AB9" s="1" t="s">
        <v>609</v>
      </c>
      <c r="AC9" s="465">
        <v>43045.229882731503</v>
      </c>
    </row>
    <row r="10" spans="1:29">
      <c r="A10" s="1" t="s">
        <v>1284</v>
      </c>
      <c r="B10" s="1" t="s">
        <v>640</v>
      </c>
      <c r="C10" s="1" t="s">
        <v>1381</v>
      </c>
      <c r="D10" s="1" t="s">
        <v>1382</v>
      </c>
      <c r="E10" s="1" t="s">
        <v>1383</v>
      </c>
      <c r="F10" s="1" t="s">
        <v>1384</v>
      </c>
      <c r="G10" s="1" t="s">
        <v>1385</v>
      </c>
      <c r="H10" s="1" t="s">
        <v>1386</v>
      </c>
      <c r="I10" s="1" t="s">
        <v>1387</v>
      </c>
      <c r="J10" s="1" t="s">
        <v>609</v>
      </c>
      <c r="K10" s="1" t="s">
        <v>609</v>
      </c>
      <c r="L10" s="1" t="s">
        <v>609</v>
      </c>
      <c r="M10" s="1" t="s">
        <v>609</v>
      </c>
      <c r="N10" s="1" t="s">
        <v>609</v>
      </c>
      <c r="O10" s="1" t="s">
        <v>1388</v>
      </c>
      <c r="P10" s="1" t="s">
        <v>1389</v>
      </c>
      <c r="Q10" s="1" t="s">
        <v>1390</v>
      </c>
      <c r="R10" s="1" t="s">
        <v>1391</v>
      </c>
      <c r="S10" s="1" t="s">
        <v>1392</v>
      </c>
      <c r="T10" s="1" t="s">
        <v>1393</v>
      </c>
      <c r="U10" s="1" t="s">
        <v>1394</v>
      </c>
      <c r="V10" s="1" t="s">
        <v>1395</v>
      </c>
      <c r="W10" s="1" t="s">
        <v>609</v>
      </c>
      <c r="X10" s="1" t="s">
        <v>609</v>
      </c>
      <c r="Y10" s="1" t="s">
        <v>609</v>
      </c>
      <c r="Z10" s="1" t="s">
        <v>609</v>
      </c>
      <c r="AA10" s="1" t="s">
        <v>609</v>
      </c>
      <c r="AB10" s="1" t="s">
        <v>1396</v>
      </c>
      <c r="AC10" s="465">
        <v>43045.229882731503</v>
      </c>
    </row>
    <row r="11" spans="1:29">
      <c r="A11" s="1" t="s">
        <v>1284</v>
      </c>
      <c r="B11" s="1" t="s">
        <v>669</v>
      </c>
      <c r="C11" s="1" t="s">
        <v>670</v>
      </c>
      <c r="D11" s="1" t="s">
        <v>670</v>
      </c>
      <c r="E11" s="1" t="s">
        <v>1397</v>
      </c>
      <c r="F11" s="1" t="s">
        <v>670</v>
      </c>
      <c r="G11" s="1" t="s">
        <v>670</v>
      </c>
      <c r="H11" s="1" t="s">
        <v>670</v>
      </c>
      <c r="I11" s="1" t="s">
        <v>670</v>
      </c>
      <c r="J11" s="1" t="s">
        <v>609</v>
      </c>
      <c r="K11" s="1" t="s">
        <v>609</v>
      </c>
      <c r="L11" s="1" t="s">
        <v>609</v>
      </c>
      <c r="M11" s="1" t="s">
        <v>609</v>
      </c>
      <c r="N11" s="1" t="s">
        <v>609</v>
      </c>
      <c r="O11" s="1" t="s">
        <v>1398</v>
      </c>
      <c r="P11" s="1" t="s">
        <v>670</v>
      </c>
      <c r="Q11" s="1" t="s">
        <v>670</v>
      </c>
      <c r="R11" s="1" t="s">
        <v>670</v>
      </c>
      <c r="S11" s="1" t="s">
        <v>670</v>
      </c>
      <c r="T11" s="1" t="s">
        <v>670</v>
      </c>
      <c r="U11" s="1" t="s">
        <v>670</v>
      </c>
      <c r="V11" s="1" t="s">
        <v>670</v>
      </c>
      <c r="W11" s="1" t="s">
        <v>609</v>
      </c>
      <c r="X11" s="1" t="s">
        <v>609</v>
      </c>
      <c r="Y11" s="1" t="s">
        <v>609</v>
      </c>
      <c r="Z11" s="1" t="s">
        <v>609</v>
      </c>
      <c r="AA11" s="1" t="s">
        <v>609</v>
      </c>
      <c r="AB11" s="1" t="s">
        <v>670</v>
      </c>
      <c r="AC11" s="465">
        <v>43045.229882731503</v>
      </c>
    </row>
    <row r="12" spans="1:29">
      <c r="A12" s="1" t="s">
        <v>1284</v>
      </c>
      <c r="B12" s="1" t="s">
        <v>673</v>
      </c>
      <c r="C12" s="1" t="s">
        <v>609</v>
      </c>
      <c r="D12" s="1" t="s">
        <v>609</v>
      </c>
      <c r="E12" s="1" t="s">
        <v>1399</v>
      </c>
      <c r="F12" s="1" t="s">
        <v>609</v>
      </c>
      <c r="G12" s="1" t="s">
        <v>609</v>
      </c>
      <c r="H12" s="1" t="s">
        <v>609</v>
      </c>
      <c r="I12" s="1" t="s">
        <v>1400</v>
      </c>
      <c r="J12" s="1" t="s">
        <v>609</v>
      </c>
      <c r="K12" s="1" t="s">
        <v>609</v>
      </c>
      <c r="L12" s="1" t="s">
        <v>609</v>
      </c>
      <c r="M12" s="1" t="s">
        <v>609</v>
      </c>
      <c r="N12" s="1" t="s">
        <v>609</v>
      </c>
      <c r="O12" s="1" t="s">
        <v>1401</v>
      </c>
      <c r="P12" s="1" t="s">
        <v>609</v>
      </c>
      <c r="Q12" s="1" t="s">
        <v>609</v>
      </c>
      <c r="R12" s="1" t="s">
        <v>609</v>
      </c>
      <c r="S12" s="1" t="s">
        <v>609</v>
      </c>
      <c r="T12" s="1" t="s">
        <v>609</v>
      </c>
      <c r="U12" s="1" t="s">
        <v>609</v>
      </c>
      <c r="V12" s="1" t="s">
        <v>674</v>
      </c>
      <c r="W12" s="1" t="s">
        <v>609</v>
      </c>
      <c r="X12" s="1" t="s">
        <v>609</v>
      </c>
      <c r="Y12" s="1" t="s">
        <v>609</v>
      </c>
      <c r="Z12" s="1" t="s">
        <v>609</v>
      </c>
      <c r="AA12" s="1" t="s">
        <v>609</v>
      </c>
      <c r="AB12" s="1" t="s">
        <v>1402</v>
      </c>
      <c r="AC12" s="465">
        <v>43045.229882731503</v>
      </c>
    </row>
    <row r="13" spans="1:29">
      <c r="A13" s="1" t="s">
        <v>1284</v>
      </c>
      <c r="B13" s="1" t="s">
        <v>677</v>
      </c>
      <c r="C13" s="1" t="s">
        <v>1403</v>
      </c>
      <c r="D13" s="1" t="s">
        <v>1404</v>
      </c>
      <c r="E13" s="1" t="s">
        <v>1405</v>
      </c>
      <c r="F13" s="1" t="s">
        <v>1406</v>
      </c>
      <c r="G13" s="1" t="s">
        <v>1407</v>
      </c>
      <c r="H13" s="1" t="s">
        <v>1408</v>
      </c>
      <c r="I13" s="1" t="s">
        <v>1409</v>
      </c>
      <c r="J13" s="1" t="s">
        <v>609</v>
      </c>
      <c r="K13" s="1" t="s">
        <v>609</v>
      </c>
      <c r="L13" s="1" t="s">
        <v>609</v>
      </c>
      <c r="M13" s="1" t="s">
        <v>609</v>
      </c>
      <c r="N13" s="1" t="s">
        <v>609</v>
      </c>
      <c r="O13" s="1" t="s">
        <v>1410</v>
      </c>
      <c r="P13" s="1" t="s">
        <v>1411</v>
      </c>
      <c r="Q13" s="1" t="s">
        <v>1412</v>
      </c>
      <c r="R13" s="1" t="s">
        <v>1413</v>
      </c>
      <c r="S13" s="1" t="s">
        <v>1414</v>
      </c>
      <c r="T13" s="1" t="s">
        <v>1415</v>
      </c>
      <c r="U13" s="1" t="s">
        <v>1416</v>
      </c>
      <c r="V13" s="1" t="s">
        <v>1417</v>
      </c>
      <c r="W13" s="1" t="s">
        <v>609</v>
      </c>
      <c r="X13" s="1" t="s">
        <v>609</v>
      </c>
      <c r="Y13" s="1" t="s">
        <v>609</v>
      </c>
      <c r="Z13" s="1" t="s">
        <v>609</v>
      </c>
      <c r="AA13" s="1" t="s">
        <v>609</v>
      </c>
      <c r="AB13" s="1" t="s">
        <v>1418</v>
      </c>
      <c r="AC13" s="465">
        <v>43045.229882731503</v>
      </c>
    </row>
    <row r="14" spans="1:29">
      <c r="A14" s="1" t="s">
        <v>1284</v>
      </c>
      <c r="B14" s="1" t="s">
        <v>706</v>
      </c>
      <c r="C14" s="1" t="s">
        <v>1419</v>
      </c>
      <c r="D14" s="1" t="s">
        <v>1420</v>
      </c>
      <c r="E14" s="1" t="s">
        <v>1421</v>
      </c>
      <c r="F14" s="1" t="s">
        <v>1422</v>
      </c>
      <c r="G14" s="1" t="s">
        <v>1423</v>
      </c>
      <c r="H14" s="1" t="s">
        <v>1424</v>
      </c>
      <c r="I14" s="1" t="s">
        <v>1425</v>
      </c>
      <c r="J14" s="1" t="s">
        <v>609</v>
      </c>
      <c r="K14" s="1" t="s">
        <v>609</v>
      </c>
      <c r="L14" s="1" t="s">
        <v>609</v>
      </c>
      <c r="M14" s="1" t="s">
        <v>609</v>
      </c>
      <c r="N14" s="1" t="s">
        <v>609</v>
      </c>
      <c r="O14" s="1" t="s">
        <v>1426</v>
      </c>
      <c r="P14" s="1" t="s">
        <v>1427</v>
      </c>
      <c r="Q14" s="1" t="s">
        <v>1428</v>
      </c>
      <c r="R14" s="1" t="s">
        <v>1429</v>
      </c>
      <c r="S14" s="1" t="s">
        <v>1430</v>
      </c>
      <c r="T14" s="1" t="s">
        <v>1431</v>
      </c>
      <c r="U14" s="1" t="s">
        <v>1432</v>
      </c>
      <c r="V14" s="1" t="s">
        <v>1433</v>
      </c>
      <c r="W14" s="1" t="s">
        <v>609</v>
      </c>
      <c r="X14" s="1" t="s">
        <v>609</v>
      </c>
      <c r="Y14" s="1" t="s">
        <v>609</v>
      </c>
      <c r="Z14" s="1" t="s">
        <v>609</v>
      </c>
      <c r="AA14" s="1" t="s">
        <v>609</v>
      </c>
      <c r="AB14" s="1" t="s">
        <v>1434</v>
      </c>
      <c r="AC14" s="465">
        <v>43045.229882731503</v>
      </c>
    </row>
    <row r="15" spans="1:29">
      <c r="A15" s="1" t="s">
        <v>1284</v>
      </c>
      <c r="B15" s="1" t="s">
        <v>731</v>
      </c>
      <c r="C15" s="1" t="s">
        <v>1435</v>
      </c>
      <c r="D15" s="1" t="s">
        <v>1436</v>
      </c>
      <c r="E15" s="1" t="s">
        <v>1437</v>
      </c>
      <c r="F15" s="1" t="s">
        <v>1438</v>
      </c>
      <c r="G15" s="1" t="s">
        <v>1439</v>
      </c>
      <c r="H15" s="1" t="s">
        <v>1440</v>
      </c>
      <c r="I15" s="1" t="s">
        <v>1441</v>
      </c>
      <c r="J15" s="1" t="s">
        <v>609</v>
      </c>
      <c r="K15" s="1" t="s">
        <v>609</v>
      </c>
      <c r="L15" s="1" t="s">
        <v>609</v>
      </c>
      <c r="M15" s="1" t="s">
        <v>609</v>
      </c>
      <c r="N15" s="1" t="s">
        <v>609</v>
      </c>
      <c r="O15" s="1" t="s">
        <v>1442</v>
      </c>
      <c r="P15" s="1" t="s">
        <v>1443</v>
      </c>
      <c r="Q15" s="1" t="s">
        <v>1444</v>
      </c>
      <c r="R15" s="1" t="s">
        <v>1445</v>
      </c>
      <c r="S15" s="1" t="s">
        <v>1446</v>
      </c>
      <c r="T15" s="1" t="s">
        <v>1447</v>
      </c>
      <c r="U15" s="1" t="s">
        <v>732</v>
      </c>
      <c r="V15" s="1" t="s">
        <v>732</v>
      </c>
      <c r="W15" s="1" t="s">
        <v>609</v>
      </c>
      <c r="X15" s="1" t="s">
        <v>609</v>
      </c>
      <c r="Y15" s="1" t="s">
        <v>609</v>
      </c>
      <c r="Z15" s="1" t="s">
        <v>609</v>
      </c>
      <c r="AA15" s="1" t="s">
        <v>609</v>
      </c>
      <c r="AB15" s="1" t="s">
        <v>1448</v>
      </c>
      <c r="AC15" s="465">
        <v>43045.229882731503</v>
      </c>
    </row>
    <row r="16" spans="1:29">
      <c r="A16" s="1" t="s">
        <v>1284</v>
      </c>
      <c r="B16" s="1" t="s">
        <v>1449</v>
      </c>
      <c r="C16" s="1" t="s">
        <v>609</v>
      </c>
      <c r="D16" s="1" t="s">
        <v>609</v>
      </c>
      <c r="E16" s="1" t="s">
        <v>609</v>
      </c>
      <c r="F16" s="1" t="s">
        <v>609</v>
      </c>
      <c r="G16" s="1" t="s">
        <v>609</v>
      </c>
      <c r="H16" s="1" t="s">
        <v>609</v>
      </c>
      <c r="I16" s="1" t="s">
        <v>609</v>
      </c>
      <c r="J16" s="1" t="s">
        <v>609</v>
      </c>
      <c r="K16" s="1" t="s">
        <v>609</v>
      </c>
      <c r="L16" s="1" t="s">
        <v>609</v>
      </c>
      <c r="M16" s="1" t="s">
        <v>609</v>
      </c>
      <c r="N16" s="1" t="s">
        <v>609</v>
      </c>
      <c r="O16" s="1" t="s">
        <v>609</v>
      </c>
      <c r="P16" s="1" t="s">
        <v>609</v>
      </c>
      <c r="Q16" s="1" t="s">
        <v>609</v>
      </c>
      <c r="R16" s="1" t="s">
        <v>609</v>
      </c>
      <c r="S16" s="1" t="s">
        <v>609</v>
      </c>
      <c r="T16" s="1" t="s">
        <v>609</v>
      </c>
      <c r="U16" s="1" t="s">
        <v>609</v>
      </c>
      <c r="V16" s="1" t="s">
        <v>609</v>
      </c>
      <c r="W16" s="1" t="s">
        <v>609</v>
      </c>
      <c r="X16" s="1" t="s">
        <v>609</v>
      </c>
      <c r="Y16" s="1" t="s">
        <v>609</v>
      </c>
      <c r="Z16" s="1" t="s">
        <v>609</v>
      </c>
      <c r="AA16" s="1" t="s">
        <v>609</v>
      </c>
      <c r="AB16" s="1" t="s">
        <v>609</v>
      </c>
      <c r="AC16" s="465">
        <v>43045.229882731503</v>
      </c>
    </row>
    <row r="17" spans="1:29">
      <c r="A17" s="1" t="s">
        <v>1284</v>
      </c>
      <c r="B17" s="1" t="s">
        <v>735</v>
      </c>
      <c r="C17" s="1" t="s">
        <v>1450</v>
      </c>
      <c r="D17" s="1" t="s">
        <v>1451</v>
      </c>
      <c r="E17" s="1" t="s">
        <v>1452</v>
      </c>
      <c r="F17" s="1" t="s">
        <v>1453</v>
      </c>
      <c r="G17" s="1" t="s">
        <v>1454</v>
      </c>
      <c r="H17" s="1" t="s">
        <v>1455</v>
      </c>
      <c r="I17" s="1" t="s">
        <v>1456</v>
      </c>
      <c r="J17" s="1" t="s">
        <v>609</v>
      </c>
      <c r="K17" s="1" t="s">
        <v>609</v>
      </c>
      <c r="L17" s="1" t="s">
        <v>609</v>
      </c>
      <c r="M17" s="1" t="s">
        <v>609</v>
      </c>
      <c r="N17" s="1" t="s">
        <v>609</v>
      </c>
      <c r="O17" s="1" t="s">
        <v>1457</v>
      </c>
      <c r="P17" s="1" t="s">
        <v>1458</v>
      </c>
      <c r="Q17" s="1" t="s">
        <v>1459</v>
      </c>
      <c r="R17" s="1" t="s">
        <v>1460</v>
      </c>
      <c r="S17" s="1" t="s">
        <v>1461</v>
      </c>
      <c r="T17" s="1" t="s">
        <v>1462</v>
      </c>
      <c r="U17" s="1" t="s">
        <v>1463</v>
      </c>
      <c r="V17" s="1" t="s">
        <v>1464</v>
      </c>
      <c r="W17" s="1" t="s">
        <v>609</v>
      </c>
      <c r="X17" s="1" t="s">
        <v>609</v>
      </c>
      <c r="Y17" s="1" t="s">
        <v>609</v>
      </c>
      <c r="Z17" s="1" t="s">
        <v>609</v>
      </c>
      <c r="AA17" s="1" t="s">
        <v>609</v>
      </c>
      <c r="AB17" s="1" t="s">
        <v>1465</v>
      </c>
      <c r="AC17" s="465">
        <v>43045.229882731503</v>
      </c>
    </row>
    <row r="18" spans="1:29">
      <c r="A18" s="1" t="s">
        <v>1284</v>
      </c>
      <c r="B18" s="464" t="s">
        <v>764</v>
      </c>
      <c r="C18" s="1" t="s">
        <v>1466</v>
      </c>
      <c r="D18" s="1" t="s">
        <v>1467</v>
      </c>
      <c r="E18" s="1" t="s">
        <v>1468</v>
      </c>
      <c r="F18" s="1" t="s">
        <v>1469</v>
      </c>
      <c r="G18" s="1" t="s">
        <v>1470</v>
      </c>
      <c r="H18" s="1" t="s">
        <v>1471</v>
      </c>
      <c r="I18" s="1" t="s">
        <v>1472</v>
      </c>
      <c r="J18" s="1" t="s">
        <v>609</v>
      </c>
      <c r="K18" s="1" t="s">
        <v>609</v>
      </c>
      <c r="L18" s="1" t="s">
        <v>609</v>
      </c>
      <c r="M18" s="1" t="s">
        <v>609</v>
      </c>
      <c r="N18" s="1" t="s">
        <v>609</v>
      </c>
      <c r="O18" s="1" t="s">
        <v>1473</v>
      </c>
      <c r="P18" s="1" t="s">
        <v>1474</v>
      </c>
      <c r="Q18" s="1" t="s">
        <v>1475</v>
      </c>
      <c r="R18" s="1" t="s">
        <v>1476</v>
      </c>
      <c r="S18" s="1" t="s">
        <v>1477</v>
      </c>
      <c r="T18" s="1" t="s">
        <v>1478</v>
      </c>
      <c r="U18" s="1" t="s">
        <v>1479</v>
      </c>
      <c r="V18" s="1" t="s">
        <v>1480</v>
      </c>
      <c r="W18" s="1" t="s">
        <v>609</v>
      </c>
      <c r="X18" s="1" t="s">
        <v>609</v>
      </c>
      <c r="Y18" s="1" t="s">
        <v>609</v>
      </c>
      <c r="Z18" s="1" t="s">
        <v>609</v>
      </c>
      <c r="AA18" s="1" t="s">
        <v>609</v>
      </c>
      <c r="AB18" s="1" t="s">
        <v>1481</v>
      </c>
      <c r="AC18" s="465">
        <v>43045.229882731503</v>
      </c>
    </row>
    <row r="19" spans="1:29">
      <c r="A19" s="1" t="s">
        <v>1284</v>
      </c>
      <c r="B19" s="1" t="s">
        <v>793</v>
      </c>
      <c r="C19" s="1" t="s">
        <v>1482</v>
      </c>
      <c r="D19" s="1" t="s">
        <v>1483</v>
      </c>
      <c r="E19" s="1" t="s">
        <v>1484</v>
      </c>
      <c r="F19" s="1" t="s">
        <v>1485</v>
      </c>
      <c r="G19" s="1" t="s">
        <v>1486</v>
      </c>
      <c r="H19" s="1" t="s">
        <v>1487</v>
      </c>
      <c r="I19" s="1" t="s">
        <v>1488</v>
      </c>
      <c r="J19" s="1" t="s">
        <v>609</v>
      </c>
      <c r="K19" s="1" t="s">
        <v>609</v>
      </c>
      <c r="L19" s="1" t="s">
        <v>609</v>
      </c>
      <c r="M19" s="1" t="s">
        <v>609</v>
      </c>
      <c r="N19" s="1" t="s">
        <v>609</v>
      </c>
      <c r="O19" s="1" t="s">
        <v>1489</v>
      </c>
      <c r="P19" s="1" t="s">
        <v>1490</v>
      </c>
      <c r="Q19" s="1" t="s">
        <v>1491</v>
      </c>
      <c r="R19" s="1" t="s">
        <v>1492</v>
      </c>
      <c r="S19" s="1" t="s">
        <v>1493</v>
      </c>
      <c r="T19" s="1" t="s">
        <v>1494</v>
      </c>
      <c r="U19" s="1" t="s">
        <v>1495</v>
      </c>
      <c r="V19" s="1" t="s">
        <v>1496</v>
      </c>
      <c r="W19" s="1" t="s">
        <v>609</v>
      </c>
      <c r="X19" s="1" t="s">
        <v>609</v>
      </c>
      <c r="Y19" s="1" t="s">
        <v>609</v>
      </c>
      <c r="Z19" s="1" t="s">
        <v>609</v>
      </c>
      <c r="AA19" s="1" t="s">
        <v>609</v>
      </c>
      <c r="AB19" s="1" t="s">
        <v>1497</v>
      </c>
      <c r="AC19" s="465">
        <v>43045.229882731503</v>
      </c>
    </row>
    <row r="20" spans="1:29">
      <c r="A20" s="1" t="s">
        <v>1284</v>
      </c>
      <c r="B20" s="1" t="s">
        <v>822</v>
      </c>
      <c r="C20" s="1" t="s">
        <v>823</v>
      </c>
      <c r="D20" s="1" t="s">
        <v>823</v>
      </c>
      <c r="E20" s="1" t="s">
        <v>823</v>
      </c>
      <c r="F20" s="1" t="s">
        <v>823</v>
      </c>
      <c r="G20" s="1" t="s">
        <v>823</v>
      </c>
      <c r="H20" s="1" t="s">
        <v>823</v>
      </c>
      <c r="I20" s="1" t="s">
        <v>823</v>
      </c>
      <c r="J20" s="1" t="s">
        <v>609</v>
      </c>
      <c r="K20" s="1" t="s">
        <v>609</v>
      </c>
      <c r="L20" s="1" t="s">
        <v>609</v>
      </c>
      <c r="M20" s="1" t="s">
        <v>609</v>
      </c>
      <c r="N20" s="1" t="s">
        <v>609</v>
      </c>
      <c r="O20" s="1" t="s">
        <v>823</v>
      </c>
      <c r="P20" s="1" t="s">
        <v>823</v>
      </c>
      <c r="Q20" s="1" t="s">
        <v>823</v>
      </c>
      <c r="R20" s="1" t="s">
        <v>823</v>
      </c>
      <c r="S20" s="1" t="s">
        <v>823</v>
      </c>
      <c r="T20" s="1" t="s">
        <v>823</v>
      </c>
      <c r="U20" s="1" t="s">
        <v>823</v>
      </c>
      <c r="V20" s="1" t="s">
        <v>823</v>
      </c>
      <c r="W20" s="1" t="s">
        <v>609</v>
      </c>
      <c r="X20" s="1" t="s">
        <v>609</v>
      </c>
      <c r="Y20" s="1" t="s">
        <v>609</v>
      </c>
      <c r="Z20" s="1" t="s">
        <v>609</v>
      </c>
      <c r="AA20" s="1" t="s">
        <v>609</v>
      </c>
      <c r="AB20" s="1" t="s">
        <v>823</v>
      </c>
      <c r="AC20" s="465">
        <v>43045.229882731503</v>
      </c>
    </row>
    <row r="21" spans="1:29">
      <c r="A21" s="1" t="s">
        <v>1284</v>
      </c>
      <c r="B21" s="1" t="s">
        <v>824</v>
      </c>
      <c r="C21" s="1" t="s">
        <v>825</v>
      </c>
      <c r="D21" s="1" t="s">
        <v>825</v>
      </c>
      <c r="E21" s="1" t="s">
        <v>825</v>
      </c>
      <c r="F21" s="1" t="s">
        <v>825</v>
      </c>
      <c r="G21" s="1" t="s">
        <v>825</v>
      </c>
      <c r="H21" s="1" t="s">
        <v>825</v>
      </c>
      <c r="I21" s="1" t="s">
        <v>825</v>
      </c>
      <c r="J21" s="1" t="s">
        <v>609</v>
      </c>
      <c r="K21" s="1" t="s">
        <v>609</v>
      </c>
      <c r="L21" s="1" t="s">
        <v>609</v>
      </c>
      <c r="M21" s="1" t="s">
        <v>609</v>
      </c>
      <c r="N21" s="1" t="s">
        <v>609</v>
      </c>
      <c r="O21" s="1" t="s">
        <v>825</v>
      </c>
      <c r="P21" s="1" t="s">
        <v>825</v>
      </c>
      <c r="Q21" s="1" t="s">
        <v>825</v>
      </c>
      <c r="R21" s="1" t="s">
        <v>825</v>
      </c>
      <c r="S21" s="1" t="s">
        <v>825</v>
      </c>
      <c r="T21" s="1" t="s">
        <v>825</v>
      </c>
      <c r="U21" s="1" t="s">
        <v>825</v>
      </c>
      <c r="V21" s="1" t="s">
        <v>825</v>
      </c>
      <c r="W21" s="1" t="s">
        <v>609</v>
      </c>
      <c r="X21" s="1" t="s">
        <v>609</v>
      </c>
      <c r="Y21" s="1" t="s">
        <v>609</v>
      </c>
      <c r="Z21" s="1" t="s">
        <v>609</v>
      </c>
      <c r="AA21" s="1" t="s">
        <v>609</v>
      </c>
      <c r="AB21" s="1" t="s">
        <v>825</v>
      </c>
      <c r="AC21" s="465">
        <v>43045.229882731503</v>
      </c>
    </row>
    <row r="22" spans="1:29">
      <c r="A22" s="1" t="s">
        <v>1284</v>
      </c>
      <c r="B22" s="1" t="s">
        <v>826</v>
      </c>
      <c r="C22" s="1" t="s">
        <v>1498</v>
      </c>
      <c r="D22" s="1" t="s">
        <v>1499</v>
      </c>
      <c r="E22" s="1" t="s">
        <v>1500</v>
      </c>
      <c r="F22" s="1" t="s">
        <v>1501</v>
      </c>
      <c r="G22" s="1" t="s">
        <v>1502</v>
      </c>
      <c r="H22" s="1" t="s">
        <v>1503</v>
      </c>
      <c r="I22" s="1" t="s">
        <v>1504</v>
      </c>
      <c r="J22" s="1" t="s">
        <v>609</v>
      </c>
      <c r="K22" s="1" t="s">
        <v>609</v>
      </c>
      <c r="L22" s="1" t="s">
        <v>609</v>
      </c>
      <c r="M22" s="1" t="s">
        <v>609</v>
      </c>
      <c r="N22" s="1" t="s">
        <v>609</v>
      </c>
      <c r="O22" s="1" t="s">
        <v>1505</v>
      </c>
      <c r="P22" s="1" t="s">
        <v>1506</v>
      </c>
      <c r="Q22" s="1" t="s">
        <v>1507</v>
      </c>
      <c r="R22" s="1" t="s">
        <v>1508</v>
      </c>
      <c r="S22" s="1" t="s">
        <v>1509</v>
      </c>
      <c r="T22" s="1" t="s">
        <v>1510</v>
      </c>
      <c r="U22" s="1" t="s">
        <v>1511</v>
      </c>
      <c r="V22" s="1" t="s">
        <v>827</v>
      </c>
      <c r="W22" s="1" t="s">
        <v>609</v>
      </c>
      <c r="X22" s="1" t="s">
        <v>609</v>
      </c>
      <c r="Y22" s="1" t="s">
        <v>609</v>
      </c>
      <c r="Z22" s="1" t="s">
        <v>609</v>
      </c>
      <c r="AA22" s="1" t="s">
        <v>609</v>
      </c>
      <c r="AB22" s="1" t="s">
        <v>1512</v>
      </c>
      <c r="AC22" s="465">
        <v>43045.229882731503</v>
      </c>
    </row>
    <row r="23" spans="1:29">
      <c r="A23" s="1" t="s">
        <v>1284</v>
      </c>
      <c r="B23" s="464" t="s">
        <v>830</v>
      </c>
      <c r="C23" s="1" t="s">
        <v>609</v>
      </c>
      <c r="D23" s="1" t="s">
        <v>609</v>
      </c>
      <c r="E23" s="1" t="s">
        <v>609</v>
      </c>
      <c r="F23" s="1" t="s">
        <v>609</v>
      </c>
      <c r="G23" s="1" t="s">
        <v>609</v>
      </c>
      <c r="H23" s="1" t="s">
        <v>609</v>
      </c>
      <c r="I23" s="1" t="s">
        <v>609</v>
      </c>
      <c r="J23" s="1" t="s">
        <v>609</v>
      </c>
      <c r="K23" s="1" t="s">
        <v>609</v>
      </c>
      <c r="L23" s="1" t="s">
        <v>609</v>
      </c>
      <c r="M23" s="1" t="s">
        <v>609</v>
      </c>
      <c r="N23" s="1" t="s">
        <v>609</v>
      </c>
      <c r="O23" s="1" t="s">
        <v>609</v>
      </c>
      <c r="P23" s="1" t="s">
        <v>609</v>
      </c>
      <c r="Q23" s="1" t="s">
        <v>609</v>
      </c>
      <c r="R23" s="1" t="s">
        <v>609</v>
      </c>
      <c r="S23" s="1" t="s">
        <v>609</v>
      </c>
      <c r="T23" s="1" t="s">
        <v>609</v>
      </c>
      <c r="U23" s="1" t="s">
        <v>609</v>
      </c>
      <c r="V23" s="1" t="s">
        <v>609</v>
      </c>
      <c r="W23" s="1" t="s">
        <v>609</v>
      </c>
      <c r="X23" s="1" t="s">
        <v>609</v>
      </c>
      <c r="Y23" s="1" t="s">
        <v>609</v>
      </c>
      <c r="Z23" s="1" t="s">
        <v>609</v>
      </c>
      <c r="AA23" s="1" t="s">
        <v>609</v>
      </c>
      <c r="AB23" s="1" t="s">
        <v>609</v>
      </c>
      <c r="AC23" s="465">
        <v>43045.229882731503</v>
      </c>
    </row>
    <row r="24" spans="1:29">
      <c r="A24" s="1" t="s">
        <v>1284</v>
      </c>
      <c r="B24" s="464" t="s">
        <v>831</v>
      </c>
      <c r="C24" s="1" t="s">
        <v>609</v>
      </c>
      <c r="D24" s="1" t="s">
        <v>609</v>
      </c>
      <c r="E24" s="1" t="s">
        <v>609</v>
      </c>
      <c r="F24" s="1" t="s">
        <v>609</v>
      </c>
      <c r="G24" s="1" t="s">
        <v>609</v>
      </c>
      <c r="H24" s="1" t="s">
        <v>609</v>
      </c>
      <c r="I24" s="1" t="s">
        <v>609</v>
      </c>
      <c r="J24" s="1" t="s">
        <v>609</v>
      </c>
      <c r="K24" s="1" t="s">
        <v>609</v>
      </c>
      <c r="L24" s="1" t="s">
        <v>609</v>
      </c>
      <c r="M24" s="1" t="s">
        <v>609</v>
      </c>
      <c r="N24" s="1" t="s">
        <v>609</v>
      </c>
      <c r="O24" s="1" t="s">
        <v>609</v>
      </c>
      <c r="P24" s="1" t="s">
        <v>609</v>
      </c>
      <c r="Q24" s="1" t="s">
        <v>609</v>
      </c>
      <c r="R24" s="1" t="s">
        <v>609</v>
      </c>
      <c r="S24" s="1" t="s">
        <v>609</v>
      </c>
      <c r="T24" s="1" t="s">
        <v>609</v>
      </c>
      <c r="U24" s="1" t="s">
        <v>609</v>
      </c>
      <c r="V24" s="1" t="s">
        <v>609</v>
      </c>
      <c r="W24" s="1" t="s">
        <v>609</v>
      </c>
      <c r="X24" s="1" t="s">
        <v>609</v>
      </c>
      <c r="Y24" s="1" t="s">
        <v>609</v>
      </c>
      <c r="Z24" s="1" t="s">
        <v>609</v>
      </c>
      <c r="AA24" s="1" t="s">
        <v>609</v>
      </c>
      <c r="AB24" s="1" t="s">
        <v>609</v>
      </c>
      <c r="AC24" s="465">
        <v>43045.229882731503</v>
      </c>
    </row>
    <row r="25" spans="1:29">
      <c r="A25" s="1" t="s">
        <v>1284</v>
      </c>
      <c r="B25" s="464" t="s">
        <v>832</v>
      </c>
      <c r="C25" s="1" t="s">
        <v>1513</v>
      </c>
      <c r="D25" s="1" t="s">
        <v>1514</v>
      </c>
      <c r="E25" s="1" t="s">
        <v>1515</v>
      </c>
      <c r="F25" s="1" t="s">
        <v>1516</v>
      </c>
      <c r="G25" s="1" t="s">
        <v>1517</v>
      </c>
      <c r="H25" s="1" t="s">
        <v>1518</v>
      </c>
      <c r="I25" s="1" t="s">
        <v>1519</v>
      </c>
      <c r="J25" s="1" t="s">
        <v>609</v>
      </c>
      <c r="K25" s="1" t="s">
        <v>609</v>
      </c>
      <c r="L25" s="1" t="s">
        <v>609</v>
      </c>
      <c r="M25" s="1" t="s">
        <v>609</v>
      </c>
      <c r="N25" s="1" t="s">
        <v>609</v>
      </c>
      <c r="O25" s="1" t="s">
        <v>1520</v>
      </c>
      <c r="P25" s="1" t="s">
        <v>1521</v>
      </c>
      <c r="Q25" s="1" t="s">
        <v>1522</v>
      </c>
      <c r="R25" s="1" t="s">
        <v>1523</v>
      </c>
      <c r="S25" s="1" t="s">
        <v>1524</v>
      </c>
      <c r="T25" s="1" t="s">
        <v>1525</v>
      </c>
      <c r="U25" s="1" t="s">
        <v>1526</v>
      </c>
      <c r="V25" s="1" t="s">
        <v>1527</v>
      </c>
      <c r="W25" s="1" t="s">
        <v>609</v>
      </c>
      <c r="X25" s="1" t="s">
        <v>609</v>
      </c>
      <c r="Y25" s="1" t="s">
        <v>609</v>
      </c>
      <c r="Z25" s="1" t="s">
        <v>609</v>
      </c>
      <c r="AA25" s="1" t="s">
        <v>609</v>
      </c>
      <c r="AB25" s="1" t="s">
        <v>1528</v>
      </c>
      <c r="AC25" s="465">
        <v>43045.229882731503</v>
      </c>
    </row>
    <row r="26" spans="1:29">
      <c r="A26" s="1" t="s">
        <v>1284</v>
      </c>
      <c r="B26" s="464" t="s">
        <v>861</v>
      </c>
      <c r="C26" s="1" t="s">
        <v>1529</v>
      </c>
      <c r="D26" s="1" t="s">
        <v>1530</v>
      </c>
      <c r="E26" s="1" t="s">
        <v>1531</v>
      </c>
      <c r="F26" s="1" t="s">
        <v>1532</v>
      </c>
      <c r="G26" s="1" t="s">
        <v>1533</v>
      </c>
      <c r="H26" s="1" t="s">
        <v>1534</v>
      </c>
      <c r="I26" s="1" t="s">
        <v>1535</v>
      </c>
      <c r="J26" s="1" t="s">
        <v>609</v>
      </c>
      <c r="K26" s="1" t="s">
        <v>609</v>
      </c>
      <c r="L26" s="1" t="s">
        <v>609</v>
      </c>
      <c r="M26" s="1" t="s">
        <v>609</v>
      </c>
      <c r="N26" s="1" t="s">
        <v>609</v>
      </c>
      <c r="O26" s="1" t="s">
        <v>1536</v>
      </c>
      <c r="P26" s="1" t="s">
        <v>1537</v>
      </c>
      <c r="Q26" s="1" t="s">
        <v>1538</v>
      </c>
      <c r="R26" s="1" t="s">
        <v>1539</v>
      </c>
      <c r="S26" s="1" t="s">
        <v>1540</v>
      </c>
      <c r="T26" s="1" t="s">
        <v>1541</v>
      </c>
      <c r="U26" s="1" t="s">
        <v>1542</v>
      </c>
      <c r="V26" s="1" t="s">
        <v>1543</v>
      </c>
      <c r="W26" s="1" t="s">
        <v>609</v>
      </c>
      <c r="X26" s="1" t="s">
        <v>609</v>
      </c>
      <c r="Y26" s="1" t="s">
        <v>609</v>
      </c>
      <c r="Z26" s="1" t="s">
        <v>609</v>
      </c>
      <c r="AA26" s="1" t="s">
        <v>609</v>
      </c>
      <c r="AB26" s="1" t="s">
        <v>1544</v>
      </c>
      <c r="AC26" s="465">
        <v>43045.229882731503</v>
      </c>
    </row>
    <row r="27" spans="1:29">
      <c r="B27" s="464"/>
      <c r="AC27" s="465">
        <v>43045.229882731503</v>
      </c>
    </row>
    <row r="28" spans="1:29">
      <c r="B28" s="464"/>
      <c r="AC28" s="465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1258</v>
      </c>
      <c r="B1" s="1" t="s">
        <v>450</v>
      </c>
      <c r="C1" s="1" t="s">
        <v>1259</v>
      </c>
      <c r="D1" s="1" t="s">
        <v>1260</v>
      </c>
      <c r="E1" s="1" t="s">
        <v>1261</v>
      </c>
      <c r="F1" s="1" t="s">
        <v>1262</v>
      </c>
      <c r="G1" s="1" t="s">
        <v>1263</v>
      </c>
      <c r="H1" s="1" t="s">
        <v>1264</v>
      </c>
      <c r="I1" s="1" t="s">
        <v>1265</v>
      </c>
      <c r="J1" s="1" t="s">
        <v>1266</v>
      </c>
      <c r="K1" s="1" t="s">
        <v>1267</v>
      </c>
      <c r="L1" s="1" t="s">
        <v>1268</v>
      </c>
      <c r="M1" s="1" t="s">
        <v>1269</v>
      </c>
      <c r="N1" s="1" t="s">
        <v>1270</v>
      </c>
      <c r="O1" s="1" t="s">
        <v>890</v>
      </c>
    </row>
    <row r="2" spans="1:17">
      <c r="A2" s="1" t="s">
        <v>1284</v>
      </c>
      <c r="B2" s="275" t="s">
        <v>453</v>
      </c>
      <c r="C2" s="1" t="s">
        <v>289</v>
      </c>
      <c r="D2" s="1" t="s">
        <v>286</v>
      </c>
      <c r="E2" s="1" t="s">
        <v>289</v>
      </c>
      <c r="F2" s="1" t="s">
        <v>290</v>
      </c>
      <c r="G2" s="1" t="s">
        <v>332</v>
      </c>
      <c r="H2" s="1" t="s">
        <v>340</v>
      </c>
      <c r="I2" s="1" t="s">
        <v>322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333</v>
      </c>
      <c r="P2" s="465"/>
      <c r="Q2" s="465"/>
    </row>
    <row r="3" spans="1:17">
      <c r="A3" s="1" t="s">
        <v>1284</v>
      </c>
      <c r="B3" s="275" t="s">
        <v>487</v>
      </c>
      <c r="C3" s="1" t="s">
        <v>347</v>
      </c>
      <c r="D3" s="1" t="s">
        <v>322</v>
      </c>
      <c r="E3" s="1" t="s">
        <v>346</v>
      </c>
      <c r="F3" s="1" t="s">
        <v>287</v>
      </c>
      <c r="G3" s="1" t="s">
        <v>330</v>
      </c>
      <c r="H3" s="1" t="s">
        <v>332</v>
      </c>
      <c r="I3" s="1" t="s">
        <v>333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332</v>
      </c>
      <c r="P3" s="465"/>
      <c r="Q3" s="465"/>
    </row>
    <row r="4" spans="1:17">
      <c r="A4" s="1" t="s">
        <v>1284</v>
      </c>
      <c r="B4" s="275" t="s">
        <v>518</v>
      </c>
      <c r="C4" s="1" t="s">
        <v>293</v>
      </c>
      <c r="D4" s="1" t="s">
        <v>293</v>
      </c>
      <c r="E4" s="1" t="s">
        <v>293</v>
      </c>
      <c r="F4" s="1" t="s">
        <v>336</v>
      </c>
      <c r="G4" s="1" t="s">
        <v>336</v>
      </c>
      <c r="H4" s="1" t="s">
        <v>292</v>
      </c>
      <c r="I4" s="1" t="s">
        <v>292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292</v>
      </c>
      <c r="P4" s="465"/>
      <c r="Q4" s="465"/>
    </row>
    <row r="5" spans="1:17">
      <c r="A5" s="1" t="s">
        <v>1284</v>
      </c>
      <c r="B5" s="275" t="s">
        <v>547</v>
      </c>
      <c r="C5" s="1" t="s">
        <v>1545</v>
      </c>
      <c r="D5" s="1" t="s">
        <v>371</v>
      </c>
      <c r="E5" s="1" t="s">
        <v>301</v>
      </c>
      <c r="F5" s="1" t="s">
        <v>1546</v>
      </c>
      <c r="G5" s="1" t="s">
        <v>1547</v>
      </c>
      <c r="H5" s="1" t="s">
        <v>1548</v>
      </c>
      <c r="I5" s="1" t="s">
        <v>1549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1550</v>
      </c>
      <c r="P5" s="465"/>
      <c r="Q5" s="465"/>
    </row>
    <row r="6" spans="1:17">
      <c r="A6" s="1" t="s">
        <v>1284</v>
      </c>
      <c r="B6" s="275" t="s">
        <v>576</v>
      </c>
      <c r="C6" s="1" t="s">
        <v>307</v>
      </c>
      <c r="D6" s="1" t="s">
        <v>307</v>
      </c>
      <c r="E6" s="1" t="s">
        <v>308</v>
      </c>
      <c r="F6" s="1" t="s">
        <v>308</v>
      </c>
      <c r="G6" s="1" t="s">
        <v>335</v>
      </c>
      <c r="H6" s="1" t="s">
        <v>358</v>
      </c>
      <c r="I6" s="1" t="s">
        <v>306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307</v>
      </c>
      <c r="P6" s="465"/>
      <c r="Q6" s="465"/>
    </row>
    <row r="7" spans="1:17">
      <c r="A7" s="1" t="s">
        <v>1284</v>
      </c>
      <c r="B7" s="275" t="s">
        <v>608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465"/>
      <c r="Q7" s="465"/>
    </row>
    <row r="8" spans="1:17">
      <c r="A8" s="1" t="s">
        <v>1284</v>
      </c>
      <c r="B8" s="275" t="s">
        <v>610</v>
      </c>
      <c r="C8" s="1" t="s">
        <v>290</v>
      </c>
      <c r="D8" s="1" t="s">
        <v>320</v>
      </c>
      <c r="E8" s="1" t="s">
        <v>319</v>
      </c>
      <c r="F8" s="1" t="s">
        <v>307</v>
      </c>
      <c r="G8" s="1" t="s">
        <v>305</v>
      </c>
      <c r="H8" s="1" t="s">
        <v>319</v>
      </c>
      <c r="I8" s="1" t="s">
        <v>308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318</v>
      </c>
      <c r="P8" s="465"/>
      <c r="Q8" s="465"/>
    </row>
    <row r="9" spans="1:17">
      <c r="A9" s="1" t="s">
        <v>1284</v>
      </c>
      <c r="B9" s="275" t="s">
        <v>899</v>
      </c>
      <c r="C9" s="1" t="s">
        <v>339</v>
      </c>
      <c r="D9" s="1" t="s">
        <v>339</v>
      </c>
      <c r="E9" s="1" t="s">
        <v>1551</v>
      </c>
      <c r="F9" s="1" t="s">
        <v>349</v>
      </c>
      <c r="G9" s="1" t="s">
        <v>319</v>
      </c>
      <c r="H9" s="1" t="s">
        <v>1552</v>
      </c>
      <c r="I9" s="1" t="s">
        <v>335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339</v>
      </c>
      <c r="P9" s="465"/>
      <c r="Q9" s="465"/>
    </row>
    <row r="10" spans="1:17">
      <c r="A10" s="1" t="s">
        <v>1284</v>
      </c>
      <c r="B10" s="275" t="s">
        <v>900</v>
      </c>
      <c r="C10" s="1" t="s">
        <v>287</v>
      </c>
      <c r="D10" s="1" t="s">
        <v>326</v>
      </c>
      <c r="E10" s="1" t="s">
        <v>287</v>
      </c>
      <c r="F10" s="1" t="s">
        <v>289</v>
      </c>
      <c r="G10" s="1" t="s">
        <v>321</v>
      </c>
      <c r="H10" s="1" t="s">
        <v>346</v>
      </c>
      <c r="I10" s="1" t="s">
        <v>332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321</v>
      </c>
      <c r="P10" s="465"/>
      <c r="Q10" s="465"/>
    </row>
    <row r="11" spans="1:17">
      <c r="A11" s="1" t="s">
        <v>1284</v>
      </c>
      <c r="B11" s="275" t="s">
        <v>901</v>
      </c>
      <c r="C11" s="1" t="s">
        <v>304</v>
      </c>
      <c r="D11" s="1" t="s">
        <v>293</v>
      </c>
      <c r="E11" s="1" t="s">
        <v>293</v>
      </c>
      <c r="F11" s="1" t="s">
        <v>336</v>
      </c>
      <c r="G11" s="1" t="s">
        <v>293</v>
      </c>
      <c r="H11" s="1" t="s">
        <v>293</v>
      </c>
      <c r="I11" s="1" t="s">
        <v>293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292</v>
      </c>
      <c r="P11" s="465"/>
      <c r="Q11" s="465"/>
    </row>
    <row r="12" spans="1:17">
      <c r="A12" s="1" t="s">
        <v>1284</v>
      </c>
      <c r="B12" s="275" t="s">
        <v>903</v>
      </c>
      <c r="C12" s="1" t="s">
        <v>315</v>
      </c>
      <c r="D12" s="1" t="s">
        <v>1553</v>
      </c>
      <c r="E12" s="1" t="s">
        <v>915</v>
      </c>
      <c r="F12" s="1" t="s">
        <v>316</v>
      </c>
      <c r="G12" s="1" t="s">
        <v>1554</v>
      </c>
      <c r="H12" s="1" t="s">
        <v>1555</v>
      </c>
      <c r="I12" s="1" t="s">
        <v>1556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1557</v>
      </c>
      <c r="P12" s="465"/>
      <c r="Q12" s="465"/>
    </row>
    <row r="13" spans="1:17">
      <c r="A13" s="1" t="s">
        <v>1284</v>
      </c>
      <c r="B13" s="275" t="s">
        <v>913</v>
      </c>
      <c r="C13" s="1" t="s">
        <v>323</v>
      </c>
      <c r="D13" s="1" t="s">
        <v>353</v>
      </c>
      <c r="E13" s="1" t="s">
        <v>339</v>
      </c>
      <c r="F13" s="1" t="s">
        <v>333</v>
      </c>
      <c r="G13" s="1" t="s">
        <v>323</v>
      </c>
      <c r="H13" s="1" t="s">
        <v>342</v>
      </c>
      <c r="I13" s="1" t="s">
        <v>322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347</v>
      </c>
      <c r="P13" s="465"/>
      <c r="Q13" s="465"/>
    </row>
    <row r="14" spans="1:17">
      <c r="A14" s="1" t="s">
        <v>1284</v>
      </c>
      <c r="B14" s="275" t="s">
        <v>917</v>
      </c>
      <c r="C14" s="1" t="s">
        <v>374</v>
      </c>
      <c r="D14" s="1" t="s">
        <v>952</v>
      </c>
      <c r="E14" s="1" t="s">
        <v>315</v>
      </c>
      <c r="F14" s="1" t="s">
        <v>352</v>
      </c>
      <c r="G14" s="1" t="s">
        <v>360</v>
      </c>
      <c r="H14" s="1" t="s">
        <v>345</v>
      </c>
      <c r="I14" s="1" t="s">
        <v>1552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1558</v>
      </c>
      <c r="P14" s="465"/>
      <c r="Q14" s="465"/>
    </row>
    <row r="15" spans="1:17">
      <c r="A15" s="1" t="s">
        <v>1284</v>
      </c>
      <c r="B15" s="275" t="s">
        <v>920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465"/>
      <c r="Q15" s="465"/>
    </row>
    <row r="16" spans="1:17">
      <c r="A16" s="1" t="s">
        <v>1284</v>
      </c>
      <c r="B16" s="275" t="s">
        <v>921</v>
      </c>
      <c r="C16" s="1" t="s">
        <v>345</v>
      </c>
      <c r="D16" s="1" t="s">
        <v>370</v>
      </c>
      <c r="E16" s="1" t="s">
        <v>323</v>
      </c>
      <c r="F16" s="1" t="s">
        <v>289</v>
      </c>
      <c r="G16" s="1" t="s">
        <v>290</v>
      </c>
      <c r="H16" s="1" t="s">
        <v>322</v>
      </c>
      <c r="I16" s="1" t="s">
        <v>340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322</v>
      </c>
      <c r="P16" s="465"/>
      <c r="Q16" s="465"/>
    </row>
    <row r="17" spans="1:17">
      <c r="A17" s="1" t="s">
        <v>1284</v>
      </c>
      <c r="B17" s="275" t="s">
        <v>922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465"/>
      <c r="Q17" s="465"/>
    </row>
    <row r="18" spans="1:17">
      <c r="A18" s="1" t="s">
        <v>1284</v>
      </c>
      <c r="B18" s="275" t="s">
        <v>923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465"/>
      <c r="Q18" s="465"/>
    </row>
    <row r="19" spans="1:17">
      <c r="A19" s="1" t="s">
        <v>1284</v>
      </c>
      <c r="B19" s="275" t="s">
        <v>924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465"/>
      <c r="Q19" s="465"/>
    </row>
    <row r="20" spans="1:17">
      <c r="A20" s="1" t="s">
        <v>1284</v>
      </c>
      <c r="B20" s="275" t="s">
        <v>925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465"/>
      <c r="Q20" s="465"/>
    </row>
    <row r="21" spans="1:17">
      <c r="A21" s="1" t="s">
        <v>1284</v>
      </c>
      <c r="B21" s="275" t="s">
        <v>926</v>
      </c>
      <c r="C21" s="1" t="s">
        <v>1559</v>
      </c>
      <c r="D21" s="1" t="s">
        <v>289</v>
      </c>
      <c r="E21" s="1" t="s">
        <v>292</v>
      </c>
      <c r="F21" s="1" t="s">
        <v>293</v>
      </c>
      <c r="G21" s="1" t="s">
        <v>293</v>
      </c>
      <c r="H21" s="1" t="s">
        <v>293</v>
      </c>
      <c r="I21" s="1" t="s">
        <v>293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353</v>
      </c>
      <c r="P21" s="465"/>
      <c r="Q21" s="465"/>
    </row>
    <row r="22" spans="1:17">
      <c r="A22" s="1" t="s">
        <v>1284</v>
      </c>
      <c r="B22" s="275" t="s">
        <v>927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465"/>
    </row>
    <row r="23" spans="1:17">
      <c r="A23" s="1" t="s">
        <v>1284</v>
      </c>
      <c r="B23" s="275" t="s">
        <v>928</v>
      </c>
      <c r="C23" s="1" t="s">
        <v>1552</v>
      </c>
      <c r="D23" s="1" t="s">
        <v>360</v>
      </c>
      <c r="E23" s="1" t="s">
        <v>364</v>
      </c>
      <c r="F23" s="1" t="s">
        <v>918</v>
      </c>
      <c r="G23" s="1" t="s">
        <v>355</v>
      </c>
      <c r="H23" s="1" t="s">
        <v>1560</v>
      </c>
      <c r="I23" s="1" t="s">
        <v>1561</v>
      </c>
      <c r="J23" s="1" t="s">
        <v>356</v>
      </c>
      <c r="K23" s="1" t="s">
        <v>356</v>
      </c>
      <c r="L23" s="1" t="s">
        <v>356</v>
      </c>
      <c r="M23" s="1" t="s">
        <v>356</v>
      </c>
      <c r="N23" s="1" t="s">
        <v>356</v>
      </c>
      <c r="O23" s="1" t="s">
        <v>1562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1258</v>
      </c>
      <c r="B1" s="1" t="s">
        <v>450</v>
      </c>
      <c r="C1" s="1" t="s">
        <v>943</v>
      </c>
      <c r="D1" s="1" t="s">
        <v>1259</v>
      </c>
      <c r="E1" s="1" t="s">
        <v>1260</v>
      </c>
      <c r="F1" s="1" t="s">
        <v>1261</v>
      </c>
      <c r="G1" s="1" t="s">
        <v>1262</v>
      </c>
      <c r="H1" s="1" t="s">
        <v>1263</v>
      </c>
      <c r="I1" s="1" t="s">
        <v>1264</v>
      </c>
      <c r="J1" s="1" t="s">
        <v>1265</v>
      </c>
      <c r="K1" s="1" t="s">
        <v>1266</v>
      </c>
      <c r="L1" s="1" t="s">
        <v>1267</v>
      </c>
      <c r="M1" s="1" t="s">
        <v>1268</v>
      </c>
      <c r="N1" s="1" t="s">
        <v>1269</v>
      </c>
      <c r="O1" s="1" t="s">
        <v>1270</v>
      </c>
      <c r="P1" s="1" t="s">
        <v>890</v>
      </c>
    </row>
    <row r="2" spans="1:17">
      <c r="A2" s="1" t="s">
        <v>1284</v>
      </c>
      <c r="B2" s="275" t="s">
        <v>453</v>
      </c>
      <c r="C2" s="1" t="s">
        <v>236</v>
      </c>
      <c r="D2" s="1" t="s">
        <v>321</v>
      </c>
      <c r="E2" s="1" t="s">
        <v>287</v>
      </c>
      <c r="F2" s="1" t="s">
        <v>333</v>
      </c>
      <c r="G2" s="1" t="s">
        <v>290</v>
      </c>
      <c r="H2" s="1" t="s">
        <v>340</v>
      </c>
      <c r="I2" s="1" t="s">
        <v>322</v>
      </c>
      <c r="J2" s="1" t="s">
        <v>338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356</v>
      </c>
      <c r="P2" s="1" t="s">
        <v>332</v>
      </c>
      <c r="Q2" s="465">
        <v>43045.229883090302</v>
      </c>
    </row>
    <row r="3" spans="1:17">
      <c r="A3" s="1" t="s">
        <v>1284</v>
      </c>
      <c r="B3" s="275" t="s">
        <v>453</v>
      </c>
      <c r="C3" s="1" t="s">
        <v>237</v>
      </c>
      <c r="D3" s="1" t="s">
        <v>286</v>
      </c>
      <c r="E3" s="1" t="s">
        <v>341</v>
      </c>
      <c r="F3" s="1" t="s">
        <v>326</v>
      </c>
      <c r="G3" s="1" t="s">
        <v>286</v>
      </c>
      <c r="H3" s="1" t="s">
        <v>321</v>
      </c>
      <c r="I3" s="1" t="s">
        <v>333</v>
      </c>
      <c r="J3" s="1" t="s">
        <v>287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356</v>
      </c>
      <c r="P3" s="1" t="s">
        <v>330</v>
      </c>
      <c r="Q3" s="465">
        <v>43045.229883090302</v>
      </c>
    </row>
    <row r="4" spans="1:17">
      <c r="A4" s="1" t="s">
        <v>1284</v>
      </c>
      <c r="B4" s="275" t="s">
        <v>453</v>
      </c>
      <c r="C4" s="1" t="s">
        <v>944</v>
      </c>
      <c r="D4" s="1" t="s">
        <v>319</v>
      </c>
      <c r="E4" s="1" t="s">
        <v>308</v>
      </c>
      <c r="F4" s="1" t="s">
        <v>319</v>
      </c>
      <c r="G4" s="1" t="s">
        <v>318</v>
      </c>
      <c r="H4" s="1" t="s">
        <v>291</v>
      </c>
      <c r="I4" s="1" t="s">
        <v>319</v>
      </c>
      <c r="J4" s="1" t="s">
        <v>319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356</v>
      </c>
      <c r="P4" s="1" t="s">
        <v>358</v>
      </c>
      <c r="Q4" s="465">
        <v>43045.229883090302</v>
      </c>
    </row>
    <row r="5" spans="1:17">
      <c r="A5" s="1" t="s">
        <v>1284</v>
      </c>
      <c r="B5" s="275" t="s">
        <v>453</v>
      </c>
      <c r="C5" s="1" t="s">
        <v>945</v>
      </c>
      <c r="D5" s="1" t="s">
        <v>330</v>
      </c>
      <c r="E5" s="1" t="s">
        <v>288</v>
      </c>
      <c r="F5" s="1" t="s">
        <v>330</v>
      </c>
      <c r="G5" s="1" t="s">
        <v>330</v>
      </c>
      <c r="H5" s="1" t="s">
        <v>321</v>
      </c>
      <c r="I5" s="1" t="s">
        <v>333</v>
      </c>
      <c r="J5" s="1" t="s">
        <v>332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356</v>
      </c>
      <c r="P5" s="1" t="s">
        <v>289</v>
      </c>
      <c r="Q5" s="465">
        <v>43045.229883090302</v>
      </c>
    </row>
    <row r="6" spans="1:17">
      <c r="A6" s="1" t="s">
        <v>1284</v>
      </c>
      <c r="B6" s="275" t="s">
        <v>487</v>
      </c>
      <c r="C6" s="1" t="s">
        <v>945</v>
      </c>
      <c r="D6" s="1" t="s">
        <v>322</v>
      </c>
      <c r="E6" s="1" t="s">
        <v>321</v>
      </c>
      <c r="F6" s="1" t="s">
        <v>289</v>
      </c>
      <c r="G6" s="1" t="s">
        <v>320</v>
      </c>
      <c r="H6" s="1" t="s">
        <v>320</v>
      </c>
      <c r="I6" s="1" t="s">
        <v>330</v>
      </c>
      <c r="J6" s="1" t="s">
        <v>330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330</v>
      </c>
      <c r="Q6" s="465">
        <v>43045.229883090302</v>
      </c>
    </row>
    <row r="7" spans="1:17">
      <c r="A7" s="1" t="s">
        <v>1284</v>
      </c>
      <c r="B7" s="275" t="s">
        <v>518</v>
      </c>
      <c r="C7" s="1" t="s">
        <v>945</v>
      </c>
      <c r="D7" s="1" t="s">
        <v>292</v>
      </c>
      <c r="E7" s="1" t="s">
        <v>293</v>
      </c>
      <c r="F7" s="1" t="s">
        <v>292</v>
      </c>
      <c r="G7" s="1" t="s">
        <v>336</v>
      </c>
      <c r="H7" s="1" t="s">
        <v>336</v>
      </c>
      <c r="I7" s="1" t="s">
        <v>336</v>
      </c>
      <c r="J7" s="1" t="s">
        <v>292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292</v>
      </c>
      <c r="Q7" s="465">
        <v>43045.229883090302</v>
      </c>
    </row>
    <row r="8" spans="1:17">
      <c r="A8" s="1" t="s">
        <v>1284</v>
      </c>
      <c r="B8" s="275" t="s">
        <v>547</v>
      </c>
      <c r="C8" s="1" t="s">
        <v>945</v>
      </c>
      <c r="D8" s="1" t="s">
        <v>295</v>
      </c>
      <c r="E8" s="1" t="s">
        <v>310</v>
      </c>
      <c r="F8" s="1" t="s">
        <v>931</v>
      </c>
      <c r="G8" s="1" t="s">
        <v>1550</v>
      </c>
      <c r="H8" s="1" t="s">
        <v>1563</v>
      </c>
      <c r="I8" s="1" t="s">
        <v>303</v>
      </c>
      <c r="J8" s="1" t="s">
        <v>1564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366</v>
      </c>
      <c r="Q8" s="465">
        <v>43045.229883090302</v>
      </c>
    </row>
    <row r="9" spans="1:17">
      <c r="A9" s="1" t="s">
        <v>1284</v>
      </c>
      <c r="B9" s="275" t="s">
        <v>576</v>
      </c>
      <c r="C9" s="1" t="s">
        <v>945</v>
      </c>
      <c r="D9" s="1" t="s">
        <v>308</v>
      </c>
      <c r="E9" s="1" t="s">
        <v>307</v>
      </c>
      <c r="F9" s="1" t="s">
        <v>306</v>
      </c>
      <c r="G9" s="1" t="s">
        <v>308</v>
      </c>
      <c r="H9" s="1" t="s">
        <v>335</v>
      </c>
      <c r="I9" s="1" t="s">
        <v>358</v>
      </c>
      <c r="J9" s="1" t="s">
        <v>306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356</v>
      </c>
      <c r="P9" s="1" t="s">
        <v>308</v>
      </c>
      <c r="Q9" s="465">
        <v>43045.229883090302</v>
      </c>
    </row>
    <row r="10" spans="1:17">
      <c r="A10" s="1" t="s">
        <v>1284</v>
      </c>
      <c r="B10" s="275" t="s">
        <v>608</v>
      </c>
      <c r="C10" s="1" t="s">
        <v>945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465">
        <v>43045.229883090302</v>
      </c>
    </row>
    <row r="11" spans="1:17">
      <c r="A11" s="1" t="s">
        <v>1284</v>
      </c>
      <c r="B11" s="275" t="s">
        <v>610</v>
      </c>
      <c r="C11" s="1" t="s">
        <v>945</v>
      </c>
      <c r="D11" s="1" t="s">
        <v>290</v>
      </c>
      <c r="E11" s="1" t="s">
        <v>320</v>
      </c>
      <c r="F11" s="1" t="s">
        <v>318</v>
      </c>
      <c r="G11" s="1" t="s">
        <v>305</v>
      </c>
      <c r="H11" s="1" t="s">
        <v>305</v>
      </c>
      <c r="I11" s="1" t="s">
        <v>318</v>
      </c>
      <c r="J11" s="1" t="s">
        <v>308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356</v>
      </c>
      <c r="P11" s="1" t="s">
        <v>318</v>
      </c>
      <c r="Q11" s="465">
        <v>43045.229883090302</v>
      </c>
    </row>
    <row r="12" spans="1:17">
      <c r="A12" s="1" t="s">
        <v>1284</v>
      </c>
      <c r="B12" s="275" t="s">
        <v>901</v>
      </c>
      <c r="C12" s="1" t="s">
        <v>945</v>
      </c>
      <c r="D12" s="1" t="s">
        <v>335</v>
      </c>
      <c r="E12" s="1" t="s">
        <v>293</v>
      </c>
      <c r="F12" s="1" t="s">
        <v>293</v>
      </c>
      <c r="G12" s="1" t="s">
        <v>304</v>
      </c>
      <c r="H12" s="1" t="s">
        <v>293</v>
      </c>
      <c r="I12" s="1" t="s">
        <v>293</v>
      </c>
      <c r="J12" s="1" t="s">
        <v>293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356</v>
      </c>
      <c r="P12" s="1" t="s">
        <v>292</v>
      </c>
      <c r="Q12" s="465">
        <v>43045.229883090302</v>
      </c>
    </row>
    <row r="13" spans="1:17">
      <c r="A13" s="1" t="s">
        <v>1284</v>
      </c>
      <c r="B13" s="275" t="s">
        <v>903</v>
      </c>
      <c r="C13" s="1" t="s">
        <v>945</v>
      </c>
      <c r="D13" s="1" t="s">
        <v>1565</v>
      </c>
      <c r="E13" s="1" t="s">
        <v>374</v>
      </c>
      <c r="F13" s="1" t="s">
        <v>371</v>
      </c>
      <c r="G13" s="1" t="s">
        <v>1553</v>
      </c>
      <c r="H13" s="1" t="s">
        <v>1566</v>
      </c>
      <c r="I13" s="1" t="s">
        <v>1567</v>
      </c>
      <c r="J13" s="1" t="s">
        <v>1568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356</v>
      </c>
      <c r="P13" s="1" t="s">
        <v>1037</v>
      </c>
      <c r="Q13" s="465">
        <v>43045.229883090302</v>
      </c>
    </row>
    <row r="14" spans="1:17">
      <c r="A14" s="1" t="s">
        <v>1284</v>
      </c>
      <c r="B14" s="275" t="s">
        <v>913</v>
      </c>
      <c r="C14" s="1" t="s">
        <v>945</v>
      </c>
      <c r="D14" s="1" t="s">
        <v>332</v>
      </c>
      <c r="E14" s="1" t="s">
        <v>371</v>
      </c>
      <c r="F14" s="1" t="s">
        <v>353</v>
      </c>
      <c r="G14" s="1" t="s">
        <v>289</v>
      </c>
      <c r="H14" s="1" t="s">
        <v>333</v>
      </c>
      <c r="I14" s="1" t="s">
        <v>346</v>
      </c>
      <c r="J14" s="1" t="s">
        <v>332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356</v>
      </c>
      <c r="P14" s="1" t="s">
        <v>340</v>
      </c>
      <c r="Q14" s="465">
        <v>43045.229883090302</v>
      </c>
    </row>
    <row r="15" spans="1:17">
      <c r="A15" s="1" t="s">
        <v>1284</v>
      </c>
      <c r="B15" s="275" t="s">
        <v>917</v>
      </c>
      <c r="C15" s="1" t="s">
        <v>945</v>
      </c>
      <c r="D15" s="1" t="s">
        <v>334</v>
      </c>
      <c r="E15" s="1" t="s">
        <v>952</v>
      </c>
      <c r="F15" s="1" t="s">
        <v>315</v>
      </c>
      <c r="G15" s="1" t="s">
        <v>352</v>
      </c>
      <c r="H15" s="1" t="s">
        <v>360</v>
      </c>
      <c r="I15" s="1" t="s">
        <v>333</v>
      </c>
      <c r="J15" s="1" t="s">
        <v>1552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1553</v>
      </c>
      <c r="Q15" s="465">
        <v>43045.229883090302</v>
      </c>
    </row>
    <row r="16" spans="1:17">
      <c r="A16" s="1" t="s">
        <v>1284</v>
      </c>
      <c r="B16" s="275" t="s">
        <v>920</v>
      </c>
      <c r="C16" s="1" t="s">
        <v>945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465">
        <v>43045.229883090302</v>
      </c>
    </row>
    <row r="17" spans="1:17">
      <c r="A17" s="1" t="s">
        <v>1284</v>
      </c>
      <c r="B17" s="275" t="s">
        <v>953</v>
      </c>
      <c r="C17" s="1" t="s">
        <v>945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465">
        <v>43045.229883090302</v>
      </c>
    </row>
    <row r="18" spans="1:17">
      <c r="A18" s="1" t="s">
        <v>1284</v>
      </c>
      <c r="B18" s="275" t="s">
        <v>954</v>
      </c>
      <c r="C18" s="1" t="s">
        <v>945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465">
        <v>43045.229883090302</v>
      </c>
    </row>
    <row r="19" spans="1:17">
      <c r="A19" s="1" t="s">
        <v>1284</v>
      </c>
      <c r="B19" s="275" t="s">
        <v>955</v>
      </c>
      <c r="C19" s="1" t="s">
        <v>945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465">
        <v>43045.229883090302</v>
      </c>
    </row>
    <row r="20" spans="1:17">
      <c r="A20" s="1" t="s">
        <v>1284</v>
      </c>
      <c r="B20" s="275" t="s">
        <v>956</v>
      </c>
      <c r="C20" s="1" t="s">
        <v>945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465">
        <v>43045.229883090302</v>
      </c>
    </row>
    <row r="21" spans="1:17">
      <c r="A21" s="1" t="s">
        <v>1284</v>
      </c>
      <c r="B21" s="275" t="s">
        <v>957</v>
      </c>
      <c r="C21" s="1" t="s">
        <v>945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465">
        <v>43045.229883090302</v>
      </c>
    </row>
    <row r="22" spans="1:17">
      <c r="A22" s="1" t="s">
        <v>1284</v>
      </c>
      <c r="B22" s="275" t="s">
        <v>958</v>
      </c>
      <c r="C22" s="1" t="s">
        <v>945</v>
      </c>
      <c r="D22" s="1" t="s">
        <v>1558</v>
      </c>
      <c r="E22" s="1" t="s">
        <v>329</v>
      </c>
      <c r="F22" s="1" t="s">
        <v>316</v>
      </c>
      <c r="G22" s="1" t="s">
        <v>310</v>
      </c>
      <c r="H22" s="1" t="s">
        <v>1552</v>
      </c>
      <c r="I22" s="1" t="s">
        <v>324</v>
      </c>
      <c r="J22" s="1" t="s">
        <v>1562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929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466" t="s">
        <v>1258</v>
      </c>
      <c r="B1" s="466" t="s">
        <v>450</v>
      </c>
      <c r="C1" s="466" t="s">
        <v>1259</v>
      </c>
      <c r="D1" s="466" t="s">
        <v>1260</v>
      </c>
      <c r="E1" s="466" t="s">
        <v>1261</v>
      </c>
      <c r="F1" s="466" t="s">
        <v>1262</v>
      </c>
      <c r="G1" s="466" t="s">
        <v>1263</v>
      </c>
      <c r="H1" s="466" t="s">
        <v>1264</v>
      </c>
      <c r="I1" s="466" t="s">
        <v>1265</v>
      </c>
      <c r="J1" s="466" t="s">
        <v>1266</v>
      </c>
      <c r="K1" s="466" t="s">
        <v>1267</v>
      </c>
      <c r="L1" s="466" t="s">
        <v>1268</v>
      </c>
      <c r="M1" s="466" t="s">
        <v>1269</v>
      </c>
      <c r="N1" s="466" t="s">
        <v>1270</v>
      </c>
      <c r="O1" s="466" t="s">
        <v>1569</v>
      </c>
    </row>
    <row r="2" spans="1:15">
      <c r="A2" s="466" t="s">
        <v>1284</v>
      </c>
      <c r="B2" s="466" t="s">
        <v>453</v>
      </c>
      <c r="C2" s="466" t="s">
        <v>1570</v>
      </c>
      <c r="D2" s="466" t="s">
        <v>1571</v>
      </c>
      <c r="E2" s="466" t="s">
        <v>1572</v>
      </c>
      <c r="F2" s="466" t="s">
        <v>1573</v>
      </c>
      <c r="G2" s="466" t="s">
        <v>1574</v>
      </c>
      <c r="H2" s="466" t="s">
        <v>1575</v>
      </c>
      <c r="I2" s="466" t="s">
        <v>1576</v>
      </c>
      <c r="J2" s="466" t="s">
        <v>356</v>
      </c>
      <c r="K2" s="466" t="s">
        <v>356</v>
      </c>
      <c r="L2" s="466" t="s">
        <v>356</v>
      </c>
      <c r="M2" s="466" t="s">
        <v>356</v>
      </c>
      <c r="N2" s="466" t="s">
        <v>356</v>
      </c>
      <c r="O2" s="466" t="s">
        <v>1577</v>
      </c>
    </row>
    <row r="3" spans="1:15">
      <c r="A3" s="466" t="s">
        <v>1284</v>
      </c>
      <c r="B3" s="466" t="s">
        <v>487</v>
      </c>
      <c r="C3" s="466" t="s">
        <v>1578</v>
      </c>
      <c r="D3" s="466" t="s">
        <v>1579</v>
      </c>
      <c r="E3" s="466" t="s">
        <v>1580</v>
      </c>
      <c r="F3" s="466" t="s">
        <v>1581</v>
      </c>
      <c r="G3" s="466" t="s">
        <v>1582</v>
      </c>
      <c r="H3" s="466" t="s">
        <v>1583</v>
      </c>
      <c r="I3" s="466" t="s">
        <v>1584</v>
      </c>
      <c r="J3" s="466" t="s">
        <v>356</v>
      </c>
      <c r="K3" s="466" t="s">
        <v>356</v>
      </c>
      <c r="L3" s="466" t="s">
        <v>356</v>
      </c>
      <c r="M3" s="466" t="s">
        <v>356</v>
      </c>
      <c r="N3" s="466" t="s">
        <v>356</v>
      </c>
      <c r="O3" s="466" t="s">
        <v>1585</v>
      </c>
    </row>
    <row r="4" spans="1:15">
      <c r="A4" s="466" t="s">
        <v>1284</v>
      </c>
      <c r="B4" s="466" t="s">
        <v>518</v>
      </c>
      <c r="C4" s="466" t="s">
        <v>1586</v>
      </c>
      <c r="D4" s="466" t="s">
        <v>356</v>
      </c>
      <c r="E4" s="466" t="s">
        <v>1587</v>
      </c>
      <c r="F4" s="466" t="s">
        <v>1588</v>
      </c>
      <c r="G4" s="466" t="s">
        <v>1588</v>
      </c>
      <c r="H4" s="466" t="s">
        <v>1589</v>
      </c>
      <c r="I4" s="466" t="s">
        <v>1590</v>
      </c>
      <c r="J4" s="466" t="s">
        <v>356</v>
      </c>
      <c r="K4" s="466" t="s">
        <v>356</v>
      </c>
      <c r="L4" s="466" t="s">
        <v>356</v>
      </c>
      <c r="M4" s="466" t="s">
        <v>356</v>
      </c>
      <c r="N4" s="466" t="s">
        <v>356</v>
      </c>
      <c r="O4" s="466" t="s">
        <v>1590</v>
      </c>
    </row>
    <row r="5" spans="1:15">
      <c r="A5" s="466" t="s">
        <v>1284</v>
      </c>
      <c r="B5" s="466" t="s">
        <v>547</v>
      </c>
      <c r="C5" s="466" t="s">
        <v>1591</v>
      </c>
      <c r="D5" s="466" t="s">
        <v>1036</v>
      </c>
      <c r="E5" s="466" t="s">
        <v>1592</v>
      </c>
      <c r="F5" s="466" t="s">
        <v>1591</v>
      </c>
      <c r="G5" s="466" t="s">
        <v>1593</v>
      </c>
      <c r="H5" s="466" t="s">
        <v>1594</v>
      </c>
      <c r="I5" s="466" t="s">
        <v>1595</v>
      </c>
      <c r="J5" s="466" t="s">
        <v>356</v>
      </c>
      <c r="K5" s="466" t="s">
        <v>356</v>
      </c>
      <c r="L5" s="466" t="s">
        <v>356</v>
      </c>
      <c r="M5" s="466" t="s">
        <v>356</v>
      </c>
      <c r="N5" s="466" t="s">
        <v>356</v>
      </c>
      <c r="O5" s="466" t="s">
        <v>1596</v>
      </c>
    </row>
    <row r="6" spans="1:15">
      <c r="A6" s="466" t="s">
        <v>1284</v>
      </c>
      <c r="B6" s="466" t="s">
        <v>576</v>
      </c>
      <c r="C6" s="466" t="s">
        <v>1597</v>
      </c>
      <c r="D6" s="466" t="s">
        <v>1598</v>
      </c>
      <c r="E6" s="466" t="s">
        <v>1599</v>
      </c>
      <c r="F6" s="466" t="s">
        <v>1600</v>
      </c>
      <c r="G6" s="466" t="s">
        <v>1601</v>
      </c>
      <c r="H6" s="466" t="s">
        <v>1602</v>
      </c>
      <c r="I6" s="466" t="s">
        <v>1603</v>
      </c>
      <c r="J6" s="466" t="s">
        <v>356</v>
      </c>
      <c r="K6" s="466" t="s">
        <v>356</v>
      </c>
      <c r="L6" s="466" t="s">
        <v>356</v>
      </c>
      <c r="M6" s="466" t="s">
        <v>356</v>
      </c>
      <c r="N6" s="466" t="s">
        <v>356</v>
      </c>
      <c r="O6" s="466" t="s">
        <v>1604</v>
      </c>
    </row>
    <row r="7" spans="1:15">
      <c r="A7" s="466" t="s">
        <v>1284</v>
      </c>
      <c r="B7" s="466" t="s">
        <v>608</v>
      </c>
      <c r="C7" s="466" t="s">
        <v>356</v>
      </c>
      <c r="D7" s="466" t="s">
        <v>356</v>
      </c>
      <c r="E7" s="466" t="s">
        <v>356</v>
      </c>
      <c r="F7" s="466" t="s">
        <v>356</v>
      </c>
      <c r="G7" s="466" t="s">
        <v>356</v>
      </c>
      <c r="H7" s="466" t="s">
        <v>356</v>
      </c>
      <c r="I7" s="466" t="s">
        <v>356</v>
      </c>
      <c r="J7" s="466" t="s">
        <v>356</v>
      </c>
      <c r="K7" s="466" t="s">
        <v>356</v>
      </c>
      <c r="L7" s="466" t="s">
        <v>356</v>
      </c>
      <c r="M7" s="466" t="s">
        <v>356</v>
      </c>
      <c r="N7" s="466" t="s">
        <v>356</v>
      </c>
      <c r="O7" s="466" t="s">
        <v>356</v>
      </c>
    </row>
    <row r="8" spans="1:15">
      <c r="A8" s="466" t="s">
        <v>1284</v>
      </c>
      <c r="B8" s="466" t="s">
        <v>610</v>
      </c>
      <c r="C8" s="466" t="s">
        <v>1605</v>
      </c>
      <c r="D8" s="466" t="s">
        <v>1606</v>
      </c>
      <c r="E8" s="466" t="s">
        <v>1607</v>
      </c>
      <c r="F8" s="466" t="s">
        <v>1608</v>
      </c>
      <c r="G8" s="466" t="s">
        <v>1609</v>
      </c>
      <c r="H8" s="466" t="s">
        <v>1610</v>
      </c>
      <c r="I8" s="466" t="s">
        <v>911</v>
      </c>
      <c r="J8" s="466" t="s">
        <v>356</v>
      </c>
      <c r="K8" s="466" t="s">
        <v>356</v>
      </c>
      <c r="L8" s="466" t="s">
        <v>356</v>
      </c>
      <c r="M8" s="466" t="s">
        <v>356</v>
      </c>
      <c r="N8" s="466" t="s">
        <v>356</v>
      </c>
      <c r="O8" s="466" t="s">
        <v>1611</v>
      </c>
    </row>
    <row r="9" spans="1:15">
      <c r="A9" s="466" t="s">
        <v>1284</v>
      </c>
      <c r="B9" s="466" t="s">
        <v>899</v>
      </c>
      <c r="C9" s="466" t="s">
        <v>1612</v>
      </c>
      <c r="D9" s="466" t="s">
        <v>1587</v>
      </c>
      <c r="E9" s="466" t="s">
        <v>1613</v>
      </c>
      <c r="F9" s="466" t="s">
        <v>1614</v>
      </c>
      <c r="G9" s="466" t="s">
        <v>944</v>
      </c>
      <c r="H9" s="466" t="s">
        <v>1594</v>
      </c>
      <c r="I9" s="466" t="s">
        <v>449</v>
      </c>
      <c r="J9" s="466" t="s">
        <v>356</v>
      </c>
      <c r="K9" s="466" t="s">
        <v>356</v>
      </c>
      <c r="L9" s="466" t="s">
        <v>356</v>
      </c>
      <c r="M9" s="466" t="s">
        <v>356</v>
      </c>
      <c r="N9" s="466" t="s">
        <v>356</v>
      </c>
      <c r="O9" s="466" t="s">
        <v>1614</v>
      </c>
    </row>
    <row r="10" spans="1:15">
      <c r="A10" s="466" t="s">
        <v>1284</v>
      </c>
      <c r="B10" s="466" t="s">
        <v>901</v>
      </c>
      <c r="C10" s="466" t="s">
        <v>449</v>
      </c>
      <c r="D10" s="466" t="s">
        <v>356</v>
      </c>
      <c r="E10" s="466" t="s">
        <v>356</v>
      </c>
      <c r="F10" s="466" t="s">
        <v>236</v>
      </c>
      <c r="G10" s="466" t="s">
        <v>356</v>
      </c>
      <c r="H10" s="466" t="s">
        <v>356</v>
      </c>
      <c r="I10" s="466" t="s">
        <v>356</v>
      </c>
      <c r="J10" s="466" t="s">
        <v>356</v>
      </c>
      <c r="K10" s="466" t="s">
        <v>356</v>
      </c>
      <c r="L10" s="466" t="s">
        <v>356</v>
      </c>
      <c r="M10" s="466" t="s">
        <v>356</v>
      </c>
      <c r="N10" s="466" t="s">
        <v>356</v>
      </c>
      <c r="O10" s="466" t="s">
        <v>356</v>
      </c>
    </row>
    <row r="11" spans="1:15">
      <c r="A11" s="466" t="s">
        <v>1284</v>
      </c>
      <c r="B11" s="466" t="s">
        <v>903</v>
      </c>
      <c r="C11" s="466" t="s">
        <v>1615</v>
      </c>
      <c r="D11" s="466" t="s">
        <v>1616</v>
      </c>
      <c r="E11" s="466" t="s">
        <v>1614</v>
      </c>
      <c r="F11" s="466" t="s">
        <v>1617</v>
      </c>
      <c r="G11" s="466" t="s">
        <v>357</v>
      </c>
      <c r="H11" s="466" t="s">
        <v>1607</v>
      </c>
      <c r="I11" s="466" t="s">
        <v>1618</v>
      </c>
      <c r="J11" s="466" t="s">
        <v>356</v>
      </c>
      <c r="K11" s="466" t="s">
        <v>356</v>
      </c>
      <c r="L11" s="466" t="s">
        <v>356</v>
      </c>
      <c r="M11" s="466" t="s">
        <v>356</v>
      </c>
      <c r="N11" s="466" t="s">
        <v>356</v>
      </c>
      <c r="O11" s="466" t="s">
        <v>1619</v>
      </c>
    </row>
    <row r="12" spans="1:15">
      <c r="A12" s="466" t="s">
        <v>1284</v>
      </c>
      <c r="B12" s="466" t="s">
        <v>913</v>
      </c>
      <c r="C12" s="466" t="s">
        <v>1620</v>
      </c>
      <c r="D12" s="466" t="s">
        <v>1621</v>
      </c>
      <c r="E12" s="466" t="s">
        <v>1622</v>
      </c>
      <c r="F12" s="466" t="s">
        <v>1623</v>
      </c>
      <c r="G12" s="466" t="s">
        <v>1624</v>
      </c>
      <c r="H12" s="466" t="s">
        <v>1625</v>
      </c>
      <c r="I12" s="466" t="s">
        <v>1626</v>
      </c>
      <c r="J12" s="466" t="s">
        <v>356</v>
      </c>
      <c r="K12" s="466" t="s">
        <v>356</v>
      </c>
      <c r="L12" s="466" t="s">
        <v>356</v>
      </c>
      <c r="M12" s="466" t="s">
        <v>356</v>
      </c>
      <c r="N12" s="466" t="s">
        <v>356</v>
      </c>
      <c r="O12" s="466" t="s">
        <v>1627</v>
      </c>
    </row>
    <row r="13" spans="1:15">
      <c r="A13" s="466" t="s">
        <v>1284</v>
      </c>
      <c r="B13" s="466" t="s">
        <v>917</v>
      </c>
      <c r="C13" s="466" t="s">
        <v>1628</v>
      </c>
      <c r="D13" s="466" t="s">
        <v>963</v>
      </c>
      <c r="E13" s="466" t="s">
        <v>334</v>
      </c>
      <c r="F13" s="466" t="s">
        <v>1629</v>
      </c>
      <c r="G13" s="466" t="s">
        <v>287</v>
      </c>
      <c r="H13" s="466" t="s">
        <v>1630</v>
      </c>
      <c r="I13" s="466" t="s">
        <v>1631</v>
      </c>
      <c r="J13" s="466" t="s">
        <v>356</v>
      </c>
      <c r="K13" s="466" t="s">
        <v>356</v>
      </c>
      <c r="L13" s="466" t="s">
        <v>356</v>
      </c>
      <c r="M13" s="466" t="s">
        <v>356</v>
      </c>
      <c r="N13" s="466" t="s">
        <v>356</v>
      </c>
      <c r="O13" s="466" t="s">
        <v>1632</v>
      </c>
    </row>
    <row r="14" spans="1:15">
      <c r="A14" s="466" t="s">
        <v>1284</v>
      </c>
      <c r="B14" s="466" t="s">
        <v>920</v>
      </c>
      <c r="C14" s="466" t="s">
        <v>356</v>
      </c>
      <c r="D14" s="466" t="s">
        <v>356</v>
      </c>
      <c r="E14" s="466" t="s">
        <v>236</v>
      </c>
      <c r="F14" s="466" t="s">
        <v>356</v>
      </c>
      <c r="G14" s="466" t="s">
        <v>236</v>
      </c>
      <c r="H14" s="466" t="s">
        <v>356</v>
      </c>
      <c r="I14" s="466" t="s">
        <v>356</v>
      </c>
      <c r="J14" s="466" t="s">
        <v>356</v>
      </c>
      <c r="K14" s="466" t="s">
        <v>356</v>
      </c>
      <c r="L14" s="466" t="s">
        <v>356</v>
      </c>
      <c r="M14" s="466" t="s">
        <v>356</v>
      </c>
      <c r="N14" s="466" t="s">
        <v>356</v>
      </c>
      <c r="O14" s="466" t="s">
        <v>356</v>
      </c>
    </row>
    <row r="15" spans="1:15">
      <c r="A15" s="466" t="s">
        <v>1284</v>
      </c>
      <c r="B15" s="466" t="s">
        <v>953</v>
      </c>
      <c r="C15" s="466" t="s">
        <v>356</v>
      </c>
      <c r="D15" s="466" t="s">
        <v>356</v>
      </c>
      <c r="E15" s="466" t="s">
        <v>356</v>
      </c>
      <c r="F15" s="466" t="s">
        <v>356</v>
      </c>
      <c r="G15" s="466" t="s">
        <v>356</v>
      </c>
      <c r="H15" s="466" t="s">
        <v>356</v>
      </c>
      <c r="I15" s="466" t="s">
        <v>356</v>
      </c>
      <c r="J15" s="466" t="s">
        <v>356</v>
      </c>
      <c r="K15" s="466" t="s">
        <v>356</v>
      </c>
      <c r="L15" s="466" t="s">
        <v>356</v>
      </c>
      <c r="M15" s="466" t="s">
        <v>356</v>
      </c>
      <c r="N15" s="466" t="s">
        <v>356</v>
      </c>
      <c r="O15" s="466" t="s">
        <v>356</v>
      </c>
    </row>
    <row r="16" spans="1:15">
      <c r="A16" s="466" t="s">
        <v>1284</v>
      </c>
      <c r="B16" s="466" t="s">
        <v>954</v>
      </c>
      <c r="C16" s="466" t="s">
        <v>356</v>
      </c>
      <c r="D16" s="466" t="s">
        <v>356</v>
      </c>
      <c r="E16" s="466" t="s">
        <v>356</v>
      </c>
      <c r="F16" s="466" t="s">
        <v>356</v>
      </c>
      <c r="G16" s="466" t="s">
        <v>356</v>
      </c>
      <c r="H16" s="466" t="s">
        <v>356</v>
      </c>
      <c r="I16" s="466" t="s">
        <v>356</v>
      </c>
      <c r="J16" s="466" t="s">
        <v>356</v>
      </c>
      <c r="K16" s="466" t="s">
        <v>356</v>
      </c>
      <c r="L16" s="466" t="s">
        <v>356</v>
      </c>
      <c r="M16" s="466" t="s">
        <v>356</v>
      </c>
      <c r="N16" s="466" t="s">
        <v>356</v>
      </c>
      <c r="O16" s="466" t="s">
        <v>356</v>
      </c>
    </row>
    <row r="17" spans="1:15">
      <c r="A17" s="466" t="s">
        <v>1284</v>
      </c>
      <c r="B17" s="466" t="s">
        <v>955</v>
      </c>
      <c r="C17" s="466" t="s">
        <v>356</v>
      </c>
      <c r="D17" s="466" t="s">
        <v>356</v>
      </c>
      <c r="E17" s="466" t="s">
        <v>356</v>
      </c>
      <c r="F17" s="466" t="s">
        <v>356</v>
      </c>
      <c r="G17" s="466" t="s">
        <v>356</v>
      </c>
      <c r="H17" s="466" t="s">
        <v>356</v>
      </c>
      <c r="I17" s="466" t="s">
        <v>356</v>
      </c>
      <c r="J17" s="466" t="s">
        <v>356</v>
      </c>
      <c r="K17" s="466" t="s">
        <v>356</v>
      </c>
      <c r="L17" s="466" t="s">
        <v>356</v>
      </c>
      <c r="M17" s="466" t="s">
        <v>356</v>
      </c>
      <c r="N17" s="466" t="s">
        <v>356</v>
      </c>
      <c r="O17" s="466" t="s">
        <v>356</v>
      </c>
    </row>
    <row r="18" spans="1:15">
      <c r="A18" s="466" t="s">
        <v>1284</v>
      </c>
      <c r="B18" s="466" t="s">
        <v>956</v>
      </c>
      <c r="C18" s="466" t="s">
        <v>356</v>
      </c>
      <c r="D18" s="466" t="s">
        <v>356</v>
      </c>
      <c r="E18" s="466" t="s">
        <v>356</v>
      </c>
      <c r="F18" s="466" t="s">
        <v>356</v>
      </c>
      <c r="G18" s="466" t="s">
        <v>356</v>
      </c>
      <c r="H18" s="466" t="s">
        <v>356</v>
      </c>
      <c r="I18" s="466" t="s">
        <v>356</v>
      </c>
      <c r="J18" s="466" t="s">
        <v>356</v>
      </c>
      <c r="K18" s="466" t="s">
        <v>356</v>
      </c>
      <c r="L18" s="466" t="s">
        <v>356</v>
      </c>
      <c r="M18" s="466" t="s">
        <v>356</v>
      </c>
      <c r="N18" s="466" t="s">
        <v>356</v>
      </c>
      <c r="O18" s="466" t="s">
        <v>356</v>
      </c>
    </row>
    <row r="19" spans="1:15">
      <c r="A19" s="466" t="s">
        <v>1284</v>
      </c>
      <c r="B19" s="466" t="s">
        <v>957</v>
      </c>
      <c r="C19" s="466" t="s">
        <v>356</v>
      </c>
      <c r="D19" s="466" t="s">
        <v>356</v>
      </c>
      <c r="E19" s="466" t="s">
        <v>356</v>
      </c>
      <c r="F19" s="466" t="s">
        <v>356</v>
      </c>
      <c r="G19" s="466" t="s">
        <v>356</v>
      </c>
      <c r="H19" s="466" t="s">
        <v>356</v>
      </c>
      <c r="I19" s="466" t="s">
        <v>356</v>
      </c>
      <c r="J19" s="466" t="s">
        <v>356</v>
      </c>
      <c r="K19" s="466" t="s">
        <v>356</v>
      </c>
      <c r="L19" s="466" t="s">
        <v>356</v>
      </c>
      <c r="M19" s="466" t="s">
        <v>356</v>
      </c>
      <c r="N19" s="466" t="s">
        <v>356</v>
      </c>
      <c r="O19" s="466" t="s">
        <v>356</v>
      </c>
    </row>
    <row r="20" spans="1:15">
      <c r="A20" s="466" t="s">
        <v>1284</v>
      </c>
      <c r="B20" s="466" t="s">
        <v>958</v>
      </c>
      <c r="C20" s="466" t="s">
        <v>1633</v>
      </c>
      <c r="D20" s="466" t="s">
        <v>1634</v>
      </c>
      <c r="E20" s="466" t="s">
        <v>1635</v>
      </c>
      <c r="F20" s="466" t="s">
        <v>1636</v>
      </c>
      <c r="G20" s="466" t="s">
        <v>1637</v>
      </c>
      <c r="H20" s="466" t="s">
        <v>1638</v>
      </c>
      <c r="I20" s="466" t="s">
        <v>1639</v>
      </c>
      <c r="J20" s="466" t="s">
        <v>356</v>
      </c>
      <c r="K20" s="466" t="s">
        <v>356</v>
      </c>
      <c r="L20" s="466" t="s">
        <v>356</v>
      </c>
      <c r="M20" s="466" t="s">
        <v>356</v>
      </c>
      <c r="N20" s="466" t="s">
        <v>356</v>
      </c>
      <c r="O20" s="466" t="s">
        <v>1640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7" ma:contentTypeDescription="建立新的文件。" ma:contentTypeScope="" ma:versionID="bd6512a906ac452f4c9dfe9837c2f5a7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ad131db03c5b447eeb9023453ae82b1a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7239D-59F0-4EEF-ACF2-57D62CF26EBC}"/>
</file>

<file path=customXml/itemProps2.xml><?xml version="1.0" encoding="utf-8"?>
<ds:datastoreItem xmlns:ds="http://schemas.openxmlformats.org/officeDocument/2006/customXml" ds:itemID="{EC39957D-8F25-4C5A-A3A8-28652AEF8862}"/>
</file>

<file path=customXml/itemProps3.xml><?xml version="1.0" encoding="utf-8"?>
<ds:datastoreItem xmlns:ds="http://schemas.openxmlformats.org/officeDocument/2006/customXml" ds:itemID="{C1A1BB37-3C6F-4FF3-84EF-F93E2EF133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謝尚穎</cp:lastModifiedBy>
  <cp:revision/>
  <dcterms:created xsi:type="dcterms:W3CDTF">2010-08-05T03:30:00Z</dcterms:created>
  <dcterms:modified xsi:type="dcterms:W3CDTF">2026-09-24T05:33:57Z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