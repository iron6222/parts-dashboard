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taimotor.sharepoint.com/sites/HTKM_P0002/PB000/DailyReport/202606/"/>
    </mc:Choice>
  </mc:AlternateContent>
  <xr:revisionPtr revIDLastSave="2" documentId="13_ncr:1_{529B4BA9-EABF-42C8-8562-D21F7747F34E}" xr6:coauthVersionLast="47" xr6:coauthVersionMax="47" xr10:uidLastSave="{A267F196-6A6D-46FF-8D43-785B4CD7CB67}"/>
  <bookViews>
    <workbookView xWindow="-1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<sst xmlns="http://schemas.openxmlformats.org/spreadsheetml/2006/main" count="7511" uniqueCount="1486">
  <si>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</si>
  <si>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</si>
  <si>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</si>
  <si>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</si>
  <si>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</si>
  <si>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</si>
  <si>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</si>
  <si>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</si>
  <si>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</si>
  <si>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</si>
  <si>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</si>
  <si>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</si>
  <si>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</si>
  <si>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</si>
  <si>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</si>
  <si>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</si>
  <si>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</si>
  <si>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</si>
  <si>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</si>
  <si>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</si>
  <si>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</si>
  <si>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</si>
  <si>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</si>
  <si>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</si>
  <si>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</si>
  <si>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</si>
  <si>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</si>
  <si>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</si>
  <si>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</si>
  <si>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</si>
  <si>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</si>
  <si>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</si>
  <si>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</si>
  <si>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</si>
  <si>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</si>
  <si>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</si>
  <si>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</si>
  <si>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</si>
  <si>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</si>
  <si>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</si>
  <si>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</si>
  <si>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</si>
  <si>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</si>
  <si>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</si>
  <si>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</si>
  <si>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</si>
  <si>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</si>
  <si>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</si>
  <si>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</si>
  <si>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</si>
  <si>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</si>
  <si>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</si>
  <si>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</si>
  <si>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</si>
  <si>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</si>
  <si>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</si>
  <si>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</si>
  <si>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</si>
  <si>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</si>
  <si>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</si>
  <si>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</si>
  <si>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</si>
  <si>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</si>
  <si>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</si>
  <si>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</si>
  <si>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</si>
  <si>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</si>
  <si>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</si>
  <si>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</si>
  <si>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</si>
  <si>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</si>
  <si>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</si>
  <si>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</si>
  <si>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</si>
  <si>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</si>
  <si>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</si>
  <si>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</si>
  <si>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</si>
  <si>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</si>
  <si>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</si>
  <si>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</si>
  <si>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</si>
  <si>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</si>
  <si>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</si>
  <si>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</si>
  <si>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</si>
  <si>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</si>
  <si>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</si>
  <si>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</si>
  <si>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</si>
  <si>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</si>
  <si>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</si>
  <si>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</si>
  <si>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</si>
  <si>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</si>
  <si>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</si>
  <si>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</si>
  <si>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</si>
  <si>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</si>
  <si>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</si>
  <si>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</si>
  <si>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</si>
  <si>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</si>
  <si>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</si>
  <si>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</si>
  <si>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</si>
  <si>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</si>
  <si>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</si>
  <si>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</si>
  <si>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</si>
  <si>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</si>
  <si>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</si>
  <si>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</si>
  <si>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</si>
  <si>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</si>
  <si>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</si>
  <si>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</si>
  <si>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</si>
  <si>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</si>
  <si>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</si>
  <si>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</si>
  <si>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</si>
  <si>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</si>
  <si>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</si>
  <si>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</si>
  <si>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</si>
  <si>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</si>
  <si>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</si>
  <si>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</si>
  <si>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</si>
  <si>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</si>
  <si>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</si>
  <si>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</si>
  <si>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</si>
  <si>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</si>
  <si>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</si>
  <si>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</si>
  <si>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</si>
  <si>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</si>
  <si>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</si>
  <si>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</si>
  <si>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</si>
  <si>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</si>
  <si>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</si>
  <si>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</si>
  <si>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</si>
  <si>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</si>
  <si>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</si>
  <si>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</si>
  <si>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</si>
  <si>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</si>
  <si>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</si>
  <si>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</si>
  <si>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</si>
  <si>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</si>
  <si>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</si>
  <si>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</si>
  <si>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</si>
  <si>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</si>
  <si>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</si>
  <si>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</si>
  <si>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</si>
  <si>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</si>
  <si>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</si>
  <si>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</si>
  <si>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</si>
  <si>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</si>
  <si>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</si>
  <si>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</si>
  <si>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</si>
  <si>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</si>
  <si>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</si>
  <si>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</si>
  <si>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</si>
  <si>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</si>
  <si>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</si>
  <si>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</si>
  <si>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</si>
  <si>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</si>
  <si>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</si>
  <si>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</si>
  <si>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</si>
  <si>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</si>
  <si>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</si>
  <si>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</si>
  <si>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</si>
  <si>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</si>
  <si>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</si>
  <si>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</si>
  <si>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</si>
  <si>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</si>
  <si>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</si>
  <si>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</si>
  <si>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</si>
  <si>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</si>
  <si>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</si>
  <si>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</si>
  <si>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</si>
  <si>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</si>
  <si>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</si>
  <si>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</si>
  <si>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</si>
  <si>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</si>
  <si>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</si>
  <si>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</si>
  <si>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</si>
  <si>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</si>
  <si>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</si>
  <si>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</si>
  <si>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</si>
  <si>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</si>
  <si>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</si>
  <si>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</si>
  <si>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</si>
  <si>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</si>
  <si>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</si>
  <si>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</si>
  <si>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</si>
  <si>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</si>
  <si>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</si>
  <si>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</si>
  <si>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</si>
  <si>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</si>
  <si>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</si>
  <si>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</si>
  <si>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</si>
  <si>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</si>
  <si>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</si>
  <si>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</si>
  <si>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</si>
  <si>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</si>
  <si>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</si>
  <si>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</si>
  <si>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</si>
  <si>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</si>
  <si>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</si>
  <si>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</si>
  <si>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</si>
  <si>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</si>
  <si>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</si>
  <si>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</si>
  <si>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</si>
  <si>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</si>
  <si>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</si>
  <si>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</si>
  <si>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</si>
  <si>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</si>
  <si>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</si>
  <si>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</si>
  <si>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</si>
  <si>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</si>
  <si>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</si>
  <si>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</si>
  <si>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</si>
  <si>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</si>
  <si>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</si>
  <si>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</si>
  <si>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</si>
  <si>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</si>
  <si>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</si>
  <si>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</si>
  <si>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</si>
  <si>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</si>
  <si>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</si>
  <si>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</si>
  <si>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</si>
  <si>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</si>
  <si>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</si>
  <si>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</si>
  <si>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</si>
  <si>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</si>
  <si>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</si>
  <si>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</si>
  <si>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</si>
  <si>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</si>
  <si>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</si>
  <si>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</si>
  <si>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</si>
  <si>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</si>
  <si>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</si>
  <si>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</si>
  <si>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</si>
  <si>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</si>
  <si>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</si>
  <si>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</si>
  <si>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</si>
  <si>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</si>
  <si>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</si>
  <si>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</si>
  <si>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</si>
  <si>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</si>
  <si>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</si>
  <si>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</si>
  <si>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</si>
  <si>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</si>
  <si>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</si>
  <si>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</si>
  <si>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</si>
  <si>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</si>
  <si>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</si>
  <si>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</si>
  <si>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</si>
  <si>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</si>
  <si>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</si>
  <si>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</si>
  <si>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</si>
  <si>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</si>
  <si>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</si>
  <si>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</si>
  <si>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</si>
  <si>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</si>
  <si>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</si>
  <si>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</si>
  <si>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</si>
  <si>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</si>
  <si>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</si>
  <si>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</si>
  <si>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</si>
  <si>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</si>
  <si>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</si>
  <si>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</si>
  <si>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</si>
  <si>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</si>
  <si>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</si>
  <si>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</si>
  <si>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</si>
  <si>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</si>
  <si>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</si>
  <si>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</si>
  <si>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</si>
  <si>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</si>
  <si>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</si>
  <si>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</si>
  <si>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</si>
  <si>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</si>
  <si>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</si>
  <si>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</si>
  <si>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</si>
  <si>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</si>
  <si>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</si>
  <si>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</si>
  <si>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</si>
  <si>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</si>
  <si>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</si>
  <si>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</si>
  <si>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</si>
  <si>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</si>
  <si>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</si>
  <si>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</si>
  <si>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</si>
  <si>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</si>
  <si>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</si>
  <si>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</si>
  <si>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</si>
  <si>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</si>
  <si>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</si>
  <si>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</si>
  <si>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</si>
  <si>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</si>
  <si>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</si>
  <si>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</si>
  <si>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</si>
  <si>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</si>
  <si>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</si>
  <si>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</si>
  <si>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</si>
  <si>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</si>
  <si>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</si>
  <si>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</si>
  <si>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</si>
  <si>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</si>
  <si>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</si>
  <si>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</si>
  <si>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</si>
  <si>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</si>
  <si>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</si>
  <si>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</si>
  <si>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</si>
  <si>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</si>
  <si>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</si>
  <si>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</si>
  <si>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</si>
  <si>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</si>
  <si>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</si>
  <si>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</si>
  <si>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</si>
  <si>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</si>
  <si>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</si>
  <si>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</si>
  <si>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</si>
  <si>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</si>
  <si>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</si>
  <si>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</si>
  <si>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</si>
  <si>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</si>
  <si>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</si>
  <si>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</si>
  <si>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</si>
  <si>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</si>
  <si>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</si>
  <si>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</si>
  <si>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</si>
  <si>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</si>
  <si>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</si>
  <si>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</si>
  <si>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</si>
  <si>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</si>
  <si>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</si>
  <si>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</si>
  <si>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</si>
  <si>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</si>
  <si>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</si>
  <si>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</si>
  <si>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</si>
  <si>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</si>
  <si>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</si>
  <si>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</si>
  <si>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202605</t>
  </si>
  <si>
    <t>2026/05/01</t>
  </si>
  <si>
    <t>2026/05/02</t>
  </si>
  <si>
    <t>2026/05/03</t>
  </si>
  <si>
    <t>2026/05/04</t>
  </si>
  <si>
    <t>2026/05/05</t>
  </si>
  <si>
    <t>2026/05/06</t>
  </si>
  <si>
    <t>2026/05/07</t>
  </si>
  <si>
    <t>2026/05/08</t>
  </si>
  <si>
    <t>2026/05/09</t>
  </si>
  <si>
    <t>2026/05/10</t>
  </si>
  <si>
    <t>2026/05/11</t>
  </si>
  <si>
    <t>2026/05/12</t>
  </si>
  <si>
    <t>2026/05/13</t>
  </si>
  <si>
    <t>2026/05/14</t>
  </si>
  <si>
    <t>2026/05/15</t>
  </si>
  <si>
    <t>2026/05/16</t>
  </si>
  <si>
    <t>2026/05/17</t>
  </si>
  <si>
    <t>2026/05/18</t>
  </si>
  <si>
    <t>2026/05/19</t>
  </si>
  <si>
    <t>2026/05/20</t>
  </si>
  <si>
    <t>2026/05/21</t>
  </si>
  <si>
    <t>2026/05/22</t>
  </si>
  <si>
    <t>2026/05/23</t>
  </si>
  <si>
    <t>2026/05/24</t>
  </si>
  <si>
    <t>2026/05/25</t>
  </si>
  <si>
    <t>2026/05/26</t>
  </si>
  <si>
    <t>2026/05/27</t>
  </si>
  <si>
    <t>2026/05/28</t>
  </si>
  <si>
    <t>2026/05/29</t>
  </si>
  <si>
    <t>2026/05/30</t>
  </si>
  <si>
    <t>2026/05/31</t>
  </si>
  <si>
    <t>2</t>
  </si>
  <si>
    <t>FRCD</t>
  </si>
  <si>
    <t>DIFFAMT</t>
  </si>
  <si>
    <t>AVGAMT</t>
  </si>
  <si>
    <t>01-A</t>
  </si>
  <si>
    <t>307898796.00</t>
  </si>
  <si>
    <t>300011906.00</t>
  </si>
  <si>
    <t>299989449.00</t>
  </si>
  <si>
    <t>299991998.00</t>
  </si>
  <si>
    <t>302247406.00</t>
  </si>
  <si>
    <t>305277652.00</t>
  </si>
  <si>
    <t>307833073.00</t>
  </si>
  <si>
    <t>307897477.00</t>
  </si>
  <si>
    <t>304444817.00</t>
  </si>
  <si>
    <t>304410459.00</t>
  </si>
  <si>
    <t>304507676.00</t>
  </si>
  <si>
    <t>302597172.00</t>
  </si>
  <si>
    <t>304202886.00</t>
  </si>
  <si>
    <t>306292540.00</t>
  </si>
  <si>
    <t>309423541.00</t>
  </si>
  <si>
    <t>303104524.00</t>
  </si>
  <si>
    <t>307125009.00</t>
  </si>
  <si>
    <t>308693497.00</t>
  </si>
  <si>
    <t>305296757.00</t>
  </si>
  <si>
    <t>305587951.00</t>
  </si>
  <si>
    <t>309039557.00</t>
  </si>
  <si>
    <t>307527215.00</t>
  </si>
  <si>
    <t>301618596.00</t>
  </si>
  <si>
    <t>301611148.00</t>
  </si>
  <si>
    <t>301009828.00</t>
  </si>
  <si>
    <t>299797615.00</t>
  </si>
  <si>
    <t>298335447.00</t>
  </si>
  <si>
    <t>299428397.00</t>
  </si>
  <si>
    <t>294812852.00</t>
  </si>
  <si>
    <t>292113660.00</t>
  </si>
  <si>
    <t>293635390.00</t>
  </si>
  <si>
    <t>1521730.00</t>
  </si>
  <si>
    <t>303089170.68</t>
  </si>
  <si>
    <t>02-D</t>
  </si>
  <si>
    <t>210284655.00</t>
  </si>
  <si>
    <t>207778436.00</t>
  </si>
  <si>
    <t>208003509.00</t>
  </si>
  <si>
    <t>205894105.00</t>
  </si>
  <si>
    <t>203354613.00</t>
  </si>
  <si>
    <t>201140250.00</t>
  </si>
  <si>
    <t>200349697.00</t>
  </si>
  <si>
    <t>197986159.00</t>
  </si>
  <si>
    <t>197986101.00</t>
  </si>
  <si>
    <t>195922478.00</t>
  </si>
  <si>
    <t>193337152.00</t>
  </si>
  <si>
    <t>193880804.00</t>
  </si>
  <si>
    <t>194423444.00</t>
  </si>
  <si>
    <t>194623084.00</t>
  </si>
  <si>
    <t>192672424.00</t>
  </si>
  <si>
    <t>193567525.00</t>
  </si>
  <si>
    <t>192625340.00</t>
  </si>
  <si>
    <t>192688299.00</t>
  </si>
  <si>
    <t>192641325.00</t>
  </si>
  <si>
    <t>192752134.00</t>
  </si>
  <si>
    <t>194467795.00</t>
  </si>
  <si>
    <t>192642817.00</t>
  </si>
  <si>
    <t>192640134.00</t>
  </si>
  <si>
    <t>192664076.00</t>
  </si>
  <si>
    <t>193299267.00</t>
  </si>
  <si>
    <t>194164371.00</t>
  </si>
  <si>
    <t>196653214.00</t>
  </si>
  <si>
    <t>195763158.00</t>
  </si>
  <si>
    <t>193760399.00</t>
  </si>
  <si>
    <t>194361294.00</t>
  </si>
  <si>
    <t>600895.00</t>
  </si>
  <si>
    <t>197100209.52</t>
  </si>
  <si>
    <t>03-J</t>
  </si>
  <si>
    <t>10936543.00</t>
  </si>
  <si>
    <t>8246101.00</t>
  </si>
  <si>
    <t>6521678.00</t>
  </si>
  <si>
    <t>7071577.00</t>
  </si>
  <si>
    <t>6135443.00</t>
  </si>
  <si>
    <t>6952792.00</t>
  </si>
  <si>
    <t>5918039.00</t>
  </si>
  <si>
    <t>4151036.00</t>
  </si>
  <si>
    <t>3833116.00</t>
  </si>
  <si>
    <t>3185538.00</t>
  </si>
  <si>
    <t>3927404.00</t>
  </si>
  <si>
    <t>4442074.00</t>
  </si>
  <si>
    <t>6386105.00</t>
  </si>
  <si>
    <t>4649341.00</t>
  </si>
  <si>
    <t>4665881.00</t>
  </si>
  <si>
    <t>4273650.00</t>
  </si>
  <si>
    <t>4744219.00</t>
  </si>
  <si>
    <t>4554801.00</t>
  </si>
  <si>
    <t>5953427.00</t>
  </si>
  <si>
    <t>4222959.00</t>
  </si>
  <si>
    <t>4434742.00</t>
  </si>
  <si>
    <t>5010565.00</t>
  </si>
  <si>
    <t>4931617.00</t>
  </si>
  <si>
    <t>4727797.00</t>
  </si>
  <si>
    <t>6884140.00</t>
  </si>
  <si>
    <t>4908536.00</t>
  </si>
  <si>
    <t>.00</t>
  </si>
  <si>
    <t>5414422.39</t>
  </si>
  <si>
    <t>04-O</t>
  </si>
  <si>
    <t>6915946.00</t>
  </si>
  <si>
    <t>6879674.00</t>
  </si>
  <si>
    <t>7038077.00</t>
  </si>
  <si>
    <t>7024498.00</t>
  </si>
  <si>
    <t>6977918.00</t>
  </si>
  <si>
    <t>7045014.00</t>
  </si>
  <si>
    <t>7351588.00</t>
  </si>
  <si>
    <t>7293519.00</t>
  </si>
  <si>
    <t>6860751.00</t>
  </si>
  <si>
    <t>6829234.00</t>
  </si>
  <si>
    <t>6916411.00</t>
  </si>
  <si>
    <t>6873755.00</t>
  </si>
  <si>
    <t>6768754.00</t>
  </si>
  <si>
    <t>6700218.00</t>
  </si>
  <si>
    <t>6700944.00</t>
  </si>
  <si>
    <t>6725460.00</t>
  </si>
  <si>
    <t>6678859.00</t>
  </si>
  <si>
    <t>7459402.00</t>
  </si>
  <si>
    <t>7356117.00</t>
  </si>
  <si>
    <t>8160561.00</t>
  </si>
  <si>
    <t>7980339.00</t>
  </si>
  <si>
    <t>8153592.00</t>
  </si>
  <si>
    <t>8953582.00</t>
  </si>
  <si>
    <t>11367529.00</t>
  </si>
  <si>
    <t>12091651.00</t>
  </si>
  <si>
    <t>12180858.00</t>
  </si>
  <si>
    <t>12077872.00</t>
  </si>
  <si>
    <t>7986887.97</t>
  </si>
  <si>
    <t>05-N</t>
  </si>
  <si>
    <t>30729986.00</t>
  </si>
  <si>
    <t>26472192.00</t>
  </si>
  <si>
    <t>26470657.00</t>
  </si>
  <si>
    <t>27295727.00</t>
  </si>
  <si>
    <t>26967776.00</t>
  </si>
  <si>
    <t>26485286.00</t>
  </si>
  <si>
    <t>25674245.00</t>
  </si>
  <si>
    <t>27454217.00</t>
  </si>
  <si>
    <t>24496494.00</t>
  </si>
  <si>
    <t>24494918.00</t>
  </si>
  <si>
    <t>24146496.00</t>
  </si>
  <si>
    <t>25152355.00</t>
  </si>
  <si>
    <t>25925244.00</t>
  </si>
  <si>
    <t>26424760.00</t>
  </si>
  <si>
    <t>31078834.00</t>
  </si>
  <si>
    <t>27776196.00</t>
  </si>
  <si>
    <t>28001606.00</t>
  </si>
  <si>
    <t>27257355.00</t>
  </si>
  <si>
    <t>29506341.00</t>
  </si>
  <si>
    <t>29391837.00</t>
  </si>
  <si>
    <t>28849272.00</t>
  </si>
  <si>
    <t>29074912.00</t>
  </si>
  <si>
    <t>25779491.00</t>
  </si>
  <si>
    <t>25779369.00</t>
  </si>
  <si>
    <t>27217739.00</t>
  </si>
  <si>
    <t>28825182.00</t>
  </si>
  <si>
    <t>29976644.00</t>
  </si>
  <si>
    <t>29885317.00</t>
  </si>
  <si>
    <t>33927794.00</t>
  </si>
  <si>
    <t>31184822.00</t>
  </si>
  <si>
    <t>27835093.10</t>
  </si>
  <si>
    <t>06-C</t>
  </si>
  <si>
    <t>07-H</t>
  </si>
  <si>
    <t>16566721.00</t>
  </si>
  <si>
    <t>11926504.00</t>
  </si>
  <si>
    <t>10630005.00</t>
  </si>
  <si>
    <t>12047959.00</t>
  </si>
  <si>
    <t>12548695.00</t>
  </si>
  <si>
    <t>11505271.00</t>
  </si>
  <si>
    <t>12693844.00</t>
  </si>
  <si>
    <t>9175844.00</t>
  </si>
  <si>
    <t>7521757.00</t>
  </si>
  <si>
    <t>9421404.00</t>
  </si>
  <si>
    <t>12129496.00</t>
  </si>
  <si>
    <t>12256803.00</t>
  </si>
  <si>
    <t>13378491.00</t>
  </si>
  <si>
    <t>9528218.00</t>
  </si>
  <si>
    <t>9525364.00</t>
  </si>
  <si>
    <t>9466317.00</t>
  </si>
  <si>
    <t>11132321.00</t>
  </si>
  <si>
    <t>12078148.00</t>
  </si>
  <si>
    <t>11889761.00</t>
  </si>
  <si>
    <t>13197676.00</t>
  </si>
  <si>
    <t>9377225.00</t>
  </si>
  <si>
    <t>9372893.00</t>
  </si>
  <si>
    <t>9512918.00</t>
  </si>
  <si>
    <t>11509064.00</t>
  </si>
  <si>
    <t>13122873.00</t>
  </si>
  <si>
    <t>11455844.00</t>
  </si>
  <si>
    <t>18663222.00</t>
  </si>
  <si>
    <t>15490019.00</t>
  </si>
  <si>
    <t>11732807.23</t>
  </si>
  <si>
    <t>08-E</t>
  </si>
  <si>
    <t>09-F</t>
  </si>
  <si>
    <t>2724770.00</t>
  </si>
  <si>
    <t>2613665.00</t>
  </si>
  <si>
    <t>2479335.00</t>
  </si>
  <si>
    <t>2402380.00</t>
  </si>
  <si>
    <t>2303855.00</t>
  </si>
  <si>
    <t>3004820.00</t>
  </si>
  <si>
    <t>2895505.00</t>
  </si>
  <si>
    <t>2761000.00</t>
  </si>
  <si>
    <t>2790040.00</t>
  </si>
  <si>
    <t>2703101.00</t>
  </si>
  <si>
    <t>2652531.00</t>
  </si>
  <si>
    <t>2934671.00</t>
  </si>
  <si>
    <t>2834346.00</t>
  </si>
  <si>
    <t>2699526.00</t>
  </si>
  <si>
    <t>2778346.00</t>
  </si>
  <si>
    <t>2653961.00</t>
  </si>
  <si>
    <t>2467408.00</t>
  </si>
  <si>
    <t>2911678.00</t>
  </si>
  <si>
    <t>2907113.00</t>
  </si>
  <si>
    <t>2743408.00</t>
  </si>
  <si>
    <t>2596023.00</t>
  </si>
  <si>
    <t>2354314.00</t>
  </si>
  <si>
    <t>2144939.00</t>
  </si>
  <si>
    <t>1960034.00</t>
  </si>
  <si>
    <t>2386159.00</t>
  </si>
  <si>
    <t>2323309.00</t>
  </si>
  <si>
    <t>2219395.00</t>
  </si>
  <si>
    <t>2594700.48</t>
  </si>
  <si>
    <t>10-P</t>
  </si>
  <si>
    <t>106839.00</t>
  </si>
  <si>
    <t>11-G</t>
  </si>
  <si>
    <t>12-M</t>
  </si>
  <si>
    <t>1804630.00</t>
  </si>
  <si>
    <t>1260531.00</t>
  </si>
  <si>
    <t>924138.00</t>
  </si>
  <si>
    <t>1314024.00</t>
  </si>
  <si>
    <t>1448735.00</t>
  </si>
  <si>
    <t>1932756.00</t>
  </si>
  <si>
    <t>2172787.00</t>
  </si>
  <si>
    <t>1647271.00</t>
  </si>
  <si>
    <t>1641946.00</t>
  </si>
  <si>
    <t>1944787.00</t>
  </si>
  <si>
    <t>1836348.00</t>
  </si>
  <si>
    <t>1995647.00</t>
  </si>
  <si>
    <t>1791304.00</t>
  </si>
  <si>
    <t>1206628.00</t>
  </si>
  <si>
    <t>947494.00</t>
  </si>
  <si>
    <t>1010130.00</t>
  </si>
  <si>
    <t>757692.00</t>
  </si>
  <si>
    <t>1337769.00</t>
  </si>
  <si>
    <t>1652259.00</t>
  </si>
  <si>
    <t>1132187.00</t>
  </si>
  <si>
    <t>1353191.00</t>
  </si>
  <si>
    <t>832556.00</t>
  </si>
  <si>
    <t>929424.00</t>
  </si>
  <si>
    <t>1565115.00</t>
  </si>
  <si>
    <t>2430060.00</t>
  </si>
  <si>
    <t>2070317.00</t>
  </si>
  <si>
    <t>1492150.32</t>
  </si>
  <si>
    <t>13-U</t>
  </si>
  <si>
    <t>391188.00</t>
  </si>
  <si>
    <t>389798.00</t>
  </si>
  <si>
    <t>387098.00</t>
  </si>
  <si>
    <t>386018.00</t>
  </si>
  <si>
    <t>384398.00</t>
  </si>
  <si>
    <t>382778.00</t>
  </si>
  <si>
    <t>375978.00</t>
  </si>
  <si>
    <t>373818.00</t>
  </si>
  <si>
    <t>371658.00</t>
  </si>
  <si>
    <t>368998.00</t>
  </si>
  <si>
    <t>368458.00</t>
  </si>
  <si>
    <t>366838.00</t>
  </si>
  <si>
    <t>356718.00</t>
  </si>
  <si>
    <t>355638.00</t>
  </si>
  <si>
    <t>345438.00</t>
  </si>
  <si>
    <t>344898.00</t>
  </si>
  <si>
    <t>344358.00</t>
  </si>
  <si>
    <t>342198.00</t>
  </si>
  <si>
    <t>341138.00</t>
  </si>
  <si>
    <t>338438.00</t>
  </si>
  <si>
    <t>336298.00</t>
  </si>
  <si>
    <t>334678.00</t>
  </si>
  <si>
    <t>324478.00</t>
  </si>
  <si>
    <t>322858.00</t>
  </si>
  <si>
    <t>359351.23</t>
  </si>
  <si>
    <t>14-L</t>
  </si>
  <si>
    <t>119184.00</t>
  </si>
  <si>
    <t>115115.00</t>
  </si>
  <si>
    <t>110876.00</t>
  </si>
  <si>
    <t>106807.00</t>
  </si>
  <si>
    <t>102739.00</t>
  </si>
  <si>
    <t>98501.00</t>
  </si>
  <si>
    <t>94432.00</t>
  </si>
  <si>
    <t>90357.00</t>
  </si>
  <si>
    <t>86289.00</t>
  </si>
  <si>
    <t>82220.00</t>
  </si>
  <si>
    <t>80919.00</t>
  </si>
  <si>
    <t>76851.00</t>
  </si>
  <si>
    <t>72613.00</t>
  </si>
  <si>
    <t>64475.00</t>
  </si>
  <si>
    <t>56169.00</t>
  </si>
  <si>
    <t>86659.26</t>
  </si>
  <si>
    <t>18-T</t>
  </si>
  <si>
    <t>7515941.00</t>
  </si>
  <si>
    <t>6733189.00</t>
  </si>
  <si>
    <t>5603679.00</t>
  </si>
  <si>
    <t>5826574.00</t>
  </si>
  <si>
    <t>5534887.00</t>
  </si>
  <si>
    <t>4995682.00</t>
  </si>
  <si>
    <t>5824430.00</t>
  </si>
  <si>
    <t>5097129.00</t>
  </si>
  <si>
    <t>5161300.00</t>
  </si>
  <si>
    <t>5411553.00</t>
  </si>
  <si>
    <t>5979637.00</t>
  </si>
  <si>
    <t>5690359.00</t>
  </si>
  <si>
    <t>5908110.00</t>
  </si>
  <si>
    <t>5256322.00</t>
  </si>
  <si>
    <t>4962188.00</t>
  </si>
  <si>
    <t>5201031.00</t>
  </si>
  <si>
    <t>5245084.00</t>
  </si>
  <si>
    <t>5355105.00</t>
  </si>
  <si>
    <t>5135580.00</t>
  </si>
  <si>
    <t>4565381.00</t>
  </si>
  <si>
    <t>5398088.00</t>
  </si>
  <si>
    <t>5978902.00</t>
  </si>
  <si>
    <t>7285484.00</t>
  </si>
  <si>
    <t>8695498.00</t>
  </si>
  <si>
    <t>7928598.00</t>
  </si>
  <si>
    <t>7306682.00</t>
  </si>
  <si>
    <t>5888874.71</t>
  </si>
  <si>
    <t>19-V</t>
  </si>
  <si>
    <t>11814297.00</t>
  </si>
  <si>
    <t>10708963.00</t>
  </si>
  <si>
    <t>10803286.00</t>
  </si>
  <si>
    <t>10638959.00</t>
  </si>
  <si>
    <t>10654217.00</t>
  </si>
  <si>
    <t>10794941.00</t>
  </si>
  <si>
    <t>10961993.00</t>
  </si>
  <si>
    <t>10217661.00</t>
  </si>
  <si>
    <t>10135519.00</t>
  </si>
  <si>
    <t>9568505.00</t>
  </si>
  <si>
    <t>9809004.00</t>
  </si>
  <si>
    <t>10010193.00</t>
  </si>
  <si>
    <t>11189557.00</t>
  </si>
  <si>
    <t>10243905.00</t>
  </si>
  <si>
    <t>10336155.00</t>
  </si>
  <si>
    <t>10496172.00</t>
  </si>
  <si>
    <t>10489274.00</t>
  </si>
  <si>
    <t>10622939.00</t>
  </si>
  <si>
    <t>10739069.00</t>
  </si>
  <si>
    <t>11631175.00</t>
  </si>
  <si>
    <t>10716105.00</t>
  </si>
  <si>
    <t>11585783.00</t>
  </si>
  <si>
    <t>11105086.00</t>
  </si>
  <si>
    <t>11161448.00</t>
  </si>
  <si>
    <t>11953565.00</t>
  </si>
  <si>
    <t>12824866.00</t>
  </si>
  <si>
    <t>12096175.00</t>
  </si>
  <si>
    <t>10872506.97</t>
  </si>
  <si>
    <t>20-S</t>
  </si>
  <si>
    <t>7162266.00</t>
  </si>
  <si>
    <t>7138089.00</t>
  </si>
  <si>
    <t>7126095.00</t>
  </si>
  <si>
    <t>7123829.00</t>
  </si>
  <si>
    <t>7114995.00</t>
  </si>
  <si>
    <t>7114195.00</t>
  </si>
  <si>
    <t>7091636.00</t>
  </si>
  <si>
    <t>7085963.00</t>
  </si>
  <si>
    <t>7102887.00</t>
  </si>
  <si>
    <t>7079111.00</t>
  </si>
  <si>
    <t>7029744.00</t>
  </si>
  <si>
    <t>7010288.00</t>
  </si>
  <si>
    <t>6992440.00</t>
  </si>
  <si>
    <t>6985142.00</t>
  </si>
  <si>
    <t>6987284.00</t>
  </si>
  <si>
    <t>6976550.00</t>
  </si>
  <si>
    <t>6953385.00</t>
  </si>
  <si>
    <t>6965216.00</t>
  </si>
  <si>
    <t>6928131.00</t>
  </si>
  <si>
    <t>6897838.00</t>
  </si>
  <si>
    <t>6893890.00</t>
  </si>
  <si>
    <t>6864332.00</t>
  </si>
  <si>
    <t>6837875.00</t>
  </si>
  <si>
    <t>6800713.00</t>
  </si>
  <si>
    <t>6798602.00</t>
  </si>
  <si>
    <t>6799765.00</t>
  </si>
  <si>
    <t>6786336.00</t>
  </si>
  <si>
    <t>6985512.10</t>
  </si>
  <si>
    <t>21-Q</t>
  </si>
  <si>
    <t>162800.00</t>
  </si>
  <si>
    <t>22-2</t>
  </si>
  <si>
    <t>14160.00</t>
  </si>
  <si>
    <t>23-3</t>
  </si>
  <si>
    <t>130752.00</t>
  </si>
  <si>
    <t>121752.00</t>
  </si>
  <si>
    <t>102492.00</t>
  </si>
  <si>
    <t>105491.00</t>
  </si>
  <si>
    <t>76104.00</t>
  </si>
  <si>
    <t>109922.55</t>
  </si>
  <si>
    <t>24-4</t>
  </si>
  <si>
    <t>25-5</t>
  </si>
  <si>
    <t>26-6</t>
  </si>
  <si>
    <t>5664986.00</t>
  </si>
  <si>
    <t>4465004.00</t>
  </si>
  <si>
    <t>4221863.00</t>
  </si>
  <si>
    <t>5121959.00</t>
  </si>
  <si>
    <t>5383984.00</t>
  </si>
  <si>
    <t>4913402.00</t>
  </si>
  <si>
    <t>5294844.00</t>
  </si>
  <si>
    <t>4625498.00</t>
  </si>
  <si>
    <t>4088926.00</t>
  </si>
  <si>
    <t>3758109.00</t>
  </si>
  <si>
    <t>5617187.00</t>
  </si>
  <si>
    <t>6365659.00</t>
  </si>
  <si>
    <t>6386663.00</t>
  </si>
  <si>
    <t>5580195.00</t>
  </si>
  <si>
    <t>6058872.00</t>
  </si>
  <si>
    <t>5361072.00</t>
  </si>
  <si>
    <t>6284088.00</t>
  </si>
  <si>
    <t>5940245.00</t>
  </si>
  <si>
    <t>6543511.00</t>
  </si>
  <si>
    <t>6219497.00</t>
  </si>
  <si>
    <t>5314163.00</t>
  </si>
  <si>
    <t>5323139.00</t>
  </si>
  <si>
    <t>5202142.00</t>
  </si>
  <si>
    <t>6928022.00</t>
  </si>
  <si>
    <t>6997593.00</t>
  </si>
  <si>
    <t>6957024.00</t>
  </si>
  <si>
    <t>6199447.00</t>
  </si>
  <si>
    <t>5529716.32</t>
  </si>
  <si>
    <t>27-7</t>
  </si>
  <si>
    <t>7512907.00</t>
  </si>
  <si>
    <t>7368227.00</t>
  </si>
  <si>
    <t>7287907.00</t>
  </si>
  <si>
    <t>7060147.00</t>
  </si>
  <si>
    <t>7269415.00</t>
  </si>
  <si>
    <t>7204175.00</t>
  </si>
  <si>
    <t>7124735.00</t>
  </si>
  <si>
    <t>7040995.00</t>
  </si>
  <si>
    <t>6943055.00</t>
  </si>
  <si>
    <t>6561407.00</t>
  </si>
  <si>
    <t>7483097.00</t>
  </si>
  <si>
    <t>7406837.00</t>
  </si>
  <si>
    <t>7956265.00</t>
  </si>
  <si>
    <t>7869985.00</t>
  </si>
  <si>
    <t>8280245.00</t>
  </si>
  <si>
    <t>6900047.00</t>
  </si>
  <si>
    <t>6845507.00</t>
  </si>
  <si>
    <t>6772027.00</t>
  </si>
  <si>
    <t>6723447.00</t>
  </si>
  <si>
    <t>6657507.00</t>
  </si>
  <si>
    <t>6574467.00</t>
  </si>
  <si>
    <t>6501687.00</t>
  </si>
  <si>
    <t>6601077.00</t>
  </si>
  <si>
    <t>6615677.00</t>
  </si>
  <si>
    <t>7837277.00</t>
  </si>
  <si>
    <t>7773177.00</t>
  </si>
  <si>
    <t>7189715.71</t>
  </si>
  <si>
    <t>AVGSR</t>
  </si>
  <si>
    <t>75</t>
  </si>
  <si>
    <t>33.3</t>
  </si>
  <si>
    <t>57.1</t>
  </si>
  <si>
    <t>66.6</t>
  </si>
  <si>
    <t>85.7</t>
  </si>
  <si>
    <t>60</t>
  </si>
  <si>
    <t>77.7</t>
  </si>
  <si>
    <t>90.9</t>
  </si>
  <si>
    <t>89.8</t>
  </si>
  <si>
    <t>08-Z</t>
  </si>
  <si>
    <t>92.3</t>
  </si>
  <si>
    <t>09-@</t>
  </si>
  <si>
    <t>10-M</t>
  </si>
  <si>
    <t>11-S</t>
  </si>
  <si>
    <t>88.8</t>
  </si>
  <si>
    <t>93.3</t>
  </si>
  <si>
    <t>76.9</t>
  </si>
  <si>
    <t>61.5</t>
  </si>
  <si>
    <t>64.2</t>
  </si>
  <si>
    <t>44.4</t>
  </si>
  <si>
    <t>71.4</t>
  </si>
  <si>
    <t>63.6</t>
  </si>
  <si>
    <t>70.5</t>
  </si>
  <si>
    <t>70</t>
  </si>
  <si>
    <t>81.8</t>
  </si>
  <si>
    <t>83.3</t>
  </si>
  <si>
    <t>12-V</t>
  </si>
  <si>
    <t>13-T</t>
  </si>
  <si>
    <t>92.9</t>
  </si>
  <si>
    <t>82</t>
  </si>
  <si>
    <t>93</t>
  </si>
  <si>
    <t>90.3</t>
  </si>
  <si>
    <t>90.1</t>
  </si>
  <si>
    <t>92.1</t>
  </si>
  <si>
    <t>91.6</t>
  </si>
  <si>
    <t>94.6</t>
  </si>
  <si>
    <t>87.5</t>
  </si>
  <si>
    <t>94.3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</si>
  <si>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</si>
  <si>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</si>
  <si>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</si>
  <si>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</si>
  <si>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</si>
  <si>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</si>
  <si>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</si>
  <si>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</si>
  <si>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</si>
  <si>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85.8</t>
  </si>
  <si>
    <t>89.9</t>
  </si>
  <si>
    <t>87.7</t>
  </si>
  <si>
    <t>88.5</t>
  </si>
  <si>
    <t>89.3</t>
  </si>
  <si>
    <t>IMPCD</t>
  </si>
  <si>
    <t>96.3</t>
  </si>
  <si>
    <t>4</t>
  </si>
  <si>
    <t>ALL</t>
  </si>
  <si>
    <t>80</t>
  </si>
  <si>
    <t>40</t>
  </si>
  <si>
    <t>25</t>
  </si>
  <si>
    <t>70.7</t>
  </si>
  <si>
    <t>83.5</t>
  </si>
  <si>
    <t>16-2</t>
  </si>
  <si>
    <t>17-3</t>
  </si>
  <si>
    <t>18-4</t>
  </si>
  <si>
    <t>19-5</t>
  </si>
  <si>
    <t>20-7</t>
  </si>
  <si>
    <t>21-6</t>
  </si>
  <si>
    <t>87.3</t>
  </si>
  <si>
    <t>91</t>
  </si>
  <si>
    <t>94.8</t>
  </si>
  <si>
    <t>90.2</t>
  </si>
  <si>
    <t>89.6</t>
  </si>
  <si>
    <t>93.6</t>
  </si>
  <si>
    <t>88.1</t>
  </si>
  <si>
    <t>93.1</t>
  </si>
  <si>
    <t>SUMITEMS</t>
  </si>
  <si>
    <t>186.00</t>
  </si>
  <si>
    <t>320.00</t>
  </si>
  <si>
    <t>252.00</t>
  </si>
  <si>
    <t>314.00</t>
  </si>
  <si>
    <t>254.00</t>
  </si>
  <si>
    <t>219.00</t>
  </si>
  <si>
    <t>271.00</t>
  </si>
  <si>
    <t>308.00</t>
  </si>
  <si>
    <t>279.00</t>
  </si>
  <si>
    <t>248.00</t>
  </si>
  <si>
    <t>147.00</t>
  </si>
  <si>
    <t>290.00</t>
  </si>
  <si>
    <t>269.00</t>
  </si>
  <si>
    <t>262.00</t>
  </si>
  <si>
    <t>167.00</t>
  </si>
  <si>
    <t>137.00</t>
  </si>
  <si>
    <t>282.00</t>
  </si>
  <si>
    <t>327.00</t>
  </si>
  <si>
    <t>220.00</t>
  </si>
  <si>
    <t>266.00</t>
  </si>
  <si>
    <t>128.00</t>
  </si>
  <si>
    <t>6213</t>
  </si>
  <si>
    <t>18.00</t>
  </si>
  <si>
    <t>43.00</t>
  </si>
  <si>
    <t>47.00</t>
  </si>
  <si>
    <t>36.00</t>
  </si>
  <si>
    <t>39.00</t>
  </si>
  <si>
    <t>32.00</t>
  </si>
  <si>
    <t>40.00</t>
  </si>
  <si>
    <t>38.00</t>
  </si>
  <si>
    <t>44.00</t>
  </si>
  <si>
    <t>37.00</t>
  </si>
  <si>
    <t>22.00</t>
  </si>
  <si>
    <t>31.00</t>
  </si>
  <si>
    <t>29.00</t>
  </si>
  <si>
    <t>25.00</t>
  </si>
  <si>
    <t>33.00</t>
  </si>
  <si>
    <t>16.00</t>
  </si>
  <si>
    <t>46.00</t>
  </si>
  <si>
    <t>35.00</t>
  </si>
  <si>
    <t>17.00</t>
  </si>
  <si>
    <t>839</t>
  </si>
  <si>
    <t>3.00</t>
  </si>
  <si>
    <t>1.00</t>
  </si>
  <si>
    <t>9.00</t>
  </si>
  <si>
    <t>15</t>
  </si>
  <si>
    <t>2.00</t>
  </si>
  <si>
    <t>4.00</t>
  </si>
  <si>
    <t>31</t>
  </si>
  <si>
    <t>14.00</t>
  </si>
  <si>
    <t>19.00</t>
  </si>
  <si>
    <t>8.00</t>
  </si>
  <si>
    <t>10.00</t>
  </si>
  <si>
    <t>6.00</t>
  </si>
  <si>
    <t>11.00</t>
  </si>
  <si>
    <t>7.00</t>
  </si>
  <si>
    <t>5.00</t>
  </si>
  <si>
    <t>189</t>
  </si>
  <si>
    <t>81</t>
  </si>
  <si>
    <t>12.00</t>
  </si>
  <si>
    <t>15.00</t>
  </si>
  <si>
    <t>260</t>
  </si>
  <si>
    <t>20.00</t>
  </si>
  <si>
    <t>49.00</t>
  </si>
  <si>
    <t>30.00</t>
  </si>
  <si>
    <t>57.00</t>
  </si>
  <si>
    <t>21.00</t>
  </si>
  <si>
    <t>28.00</t>
  </si>
  <si>
    <t>50.00</t>
  </si>
  <si>
    <t>41.00</t>
  </si>
  <si>
    <t>27.00</t>
  </si>
  <si>
    <t>762</t>
  </si>
  <si>
    <t>154025789.00</t>
  </si>
  <si>
    <t>150488037.00</t>
  </si>
  <si>
    <t>150476106.00</t>
  </si>
  <si>
    <t>149733175.00</t>
  </si>
  <si>
    <t>149134901.00</t>
  </si>
  <si>
    <t>148273695.00</t>
  </si>
  <si>
    <t>148515267.00</t>
  </si>
  <si>
    <t>147686059.00</t>
  </si>
  <si>
    <t>145482860.00</t>
  </si>
  <si>
    <t>145482451.00</t>
  </si>
  <si>
    <t>144887732.00</t>
  </si>
  <si>
    <t>143491725.00</t>
  </si>
  <si>
    <t>143649688.00</t>
  </si>
  <si>
    <t>144770585.00</t>
  </si>
  <si>
    <t>147320560.00</t>
  </si>
  <si>
    <t>144248908.00</t>
  </si>
  <si>
    <t>146987936.00</t>
  </si>
  <si>
    <t>148817428.00</t>
  </si>
  <si>
    <t>148448830.00</t>
  </si>
  <si>
    <t>148112334.00</t>
  </si>
  <si>
    <t>149521535.00</t>
  </si>
  <si>
    <t>150994843.00</t>
  </si>
  <si>
    <t>148064037.00</t>
  </si>
  <si>
    <t>148056589.00</t>
  </si>
  <si>
    <t>148691037.00</t>
  </si>
  <si>
    <t>148772541.00</t>
  </si>
  <si>
    <t>148754481.00</t>
  </si>
  <si>
    <t>149576186.00</t>
  </si>
  <si>
    <t>146507396.00</t>
  </si>
  <si>
    <t>143889393.00</t>
  </si>
  <si>
    <t>144496562.00</t>
  </si>
  <si>
    <t>147656731.16</t>
  </si>
  <si>
    <t>114384004.00</t>
  </si>
  <si>
    <t>111435102.00</t>
  </si>
  <si>
    <t>111424576.00</t>
  </si>
  <si>
    <t>111548628.00</t>
  </si>
  <si>
    <t>111358778.00</t>
  </si>
  <si>
    <t>112435256.00</t>
  </si>
  <si>
    <t>112998295.00</t>
  </si>
  <si>
    <t>112970492.00</t>
  </si>
  <si>
    <t>112571260.00</t>
  </si>
  <si>
    <t>112557182.00</t>
  </si>
  <si>
    <t>113232099.00</t>
  </si>
  <si>
    <t>113378858.00</t>
  </si>
  <si>
    <t>115311666.00</t>
  </si>
  <si>
    <t>116604721.00</t>
  </si>
  <si>
    <t>117529666.00</t>
  </si>
  <si>
    <t>115136821.00</t>
  </si>
  <si>
    <t>116400967.00</t>
  </si>
  <si>
    <t>116897433.00</t>
  </si>
  <si>
    <t>115073690.00</t>
  </si>
  <si>
    <t>115761047.00</t>
  </si>
  <si>
    <t>117235195.00</t>
  </si>
  <si>
    <t>114893845.00</t>
  </si>
  <si>
    <t>112957374.00</t>
  </si>
  <si>
    <t>112985085.00</t>
  </si>
  <si>
    <t>112699255.00</t>
  </si>
  <si>
    <t>112330614.00</t>
  </si>
  <si>
    <t>113524099.00</t>
  </si>
  <si>
    <t>112408741.00</t>
  </si>
  <si>
    <t>113354933.00</t>
  </si>
  <si>
    <t>114227045.00</t>
  </si>
  <si>
    <t>113825293.58</t>
  </si>
  <si>
    <t>39489003.00</t>
  </si>
  <si>
    <t>38088767.00</t>
  </si>
  <si>
    <t>38710195.00</t>
  </si>
  <si>
    <t>41753727.00</t>
  </si>
  <si>
    <t>44568701.00</t>
  </si>
  <si>
    <t>46319511.00</t>
  </si>
  <si>
    <t>47240926.00</t>
  </si>
  <si>
    <t>46390697.00</t>
  </si>
  <si>
    <t>46370826.00</t>
  </si>
  <si>
    <t>46387845.00</t>
  </si>
  <si>
    <t>45726589.00</t>
  </si>
  <si>
    <t>45241532.00</t>
  </si>
  <si>
    <t>44917234.00</t>
  </si>
  <si>
    <t>44573315.00</t>
  </si>
  <si>
    <t>43718795.00</t>
  </si>
  <si>
    <t>43736106.00</t>
  </si>
  <si>
    <t>42978636.00</t>
  </si>
  <si>
    <t>41774237.00</t>
  </si>
  <si>
    <t>41714570.00</t>
  </si>
  <si>
    <t>42282827.00</t>
  </si>
  <si>
    <t>41638527.00</t>
  </si>
  <si>
    <t>40597185.00</t>
  </si>
  <si>
    <t>39333706.00</t>
  </si>
  <si>
    <t>38325819.00</t>
  </si>
  <si>
    <t>37250352.00</t>
  </si>
  <si>
    <t>36328112.00</t>
  </si>
  <si>
    <t>35896715.00</t>
  </si>
  <si>
    <t>34869334.00</t>
  </si>
  <si>
    <t>34911783.00</t>
  </si>
  <si>
    <t>41607145.94</t>
  </si>
  <si>
    <t>24267294.00</t>
  </si>
  <si>
    <t>24274831.00</t>
  </si>
  <si>
    <t>24170201.00</t>
  </si>
  <si>
    <t>22704657.00</t>
  </si>
  <si>
    <t>22172827.00</t>
  </si>
  <si>
    <t>22049223.00</t>
  </si>
  <si>
    <t>22124479.00</t>
  </si>
  <si>
    <t>22135287.00</t>
  </si>
  <si>
    <t>21343801.00</t>
  </si>
  <si>
    <t>22202868.00</t>
  </si>
  <si>
    <t>22804554.00</t>
  </si>
  <si>
    <t>23205880.00</t>
  </si>
  <si>
    <t>23531246.00</t>
  </si>
  <si>
    <t>23532809.00</t>
  </si>
  <si>
    <t>23746185.00</t>
  </si>
  <si>
    <t>23919230.00</t>
  </si>
  <si>
    <t>23946289.00</t>
  </si>
  <si>
    <t>25208766.00</t>
  </si>
  <si>
    <t>24934837.00</t>
  </si>
  <si>
    <t>24721943.00</t>
  </si>
  <si>
    <t>24726390.00</t>
  </si>
  <si>
    <t>24823106.00</t>
  </si>
  <si>
    <t>25126458.00</t>
  </si>
  <si>
    <t>25304799.00</t>
  </si>
  <si>
    <t>23411538.00</t>
  </si>
  <si>
    <t>22705011.00</t>
  </si>
  <si>
    <t>22704823.00</t>
  </si>
  <si>
    <t>22767803.00</t>
  </si>
  <si>
    <t>23538827.19</t>
  </si>
  <si>
    <t>10490320.00</t>
  </si>
  <si>
    <t>10458522.00</t>
  </si>
  <si>
    <t>10466705.00</t>
  </si>
  <si>
    <t>10022182.00</t>
  </si>
  <si>
    <t>10030866.00</t>
  </si>
  <si>
    <t>9884132.00</t>
  </si>
  <si>
    <t>9904243.00</t>
  </si>
  <si>
    <t>9856902.00</t>
  </si>
  <si>
    <t>9721402.00</t>
  </si>
  <si>
    <t>9738810.00</t>
  </si>
  <si>
    <t>9741194.00</t>
  </si>
  <si>
    <t>9742468.00</t>
  </si>
  <si>
    <t>9742466.00</t>
  </si>
  <si>
    <t>9747168.00</t>
  </si>
  <si>
    <t>9542349.00</t>
  </si>
  <si>
    <t>9547617.00</t>
  </si>
  <si>
    <t>9553646.00</t>
  </si>
  <si>
    <t>9598307.00</t>
  </si>
  <si>
    <t>11342345.00</t>
  </si>
  <si>
    <t>11341165.00</t>
  </si>
  <si>
    <t>11368002.00</t>
  </si>
  <si>
    <t>11389642.00</t>
  </si>
  <si>
    <t>11413023.00</t>
  </si>
  <si>
    <t>11357341.00</t>
  </si>
  <si>
    <t>11227265.00</t>
  </si>
  <si>
    <t>11240616.00</t>
  </si>
  <si>
    <t>11271854.00</t>
  </si>
  <si>
    <t>10386019.35</t>
  </si>
  <si>
    <t>669316.00</t>
  </si>
  <si>
    <t>118176.00</t>
  </si>
  <si>
    <t>115368.00</t>
  </si>
  <si>
    <t>116408.00</t>
  </si>
  <si>
    <t>196380.00</t>
  </si>
  <si>
    <t>200590.00</t>
  </si>
  <si>
    <t>210583.00</t>
  </si>
  <si>
    <t>210926.00</t>
  </si>
  <si>
    <t>210973.00</t>
  </si>
  <si>
    <t>211646.00</t>
  </si>
  <si>
    <t>218529.00</t>
  </si>
  <si>
    <t>217538.00</t>
  </si>
  <si>
    <t>218371.00</t>
  </si>
  <si>
    <t>197595.00</t>
  </si>
  <si>
    <t>197216.00</t>
  </si>
  <si>
    <t>196933.00</t>
  </si>
  <si>
    <t>196940.00</t>
  </si>
  <si>
    <t>199523.00</t>
  </si>
  <si>
    <t>197427.00</t>
  </si>
  <si>
    <t>197484.00</t>
  </si>
  <si>
    <t>242177.45</t>
  </si>
  <si>
    <t>3673640.00</t>
  </si>
  <si>
    <t>3673694.00</t>
  </si>
  <si>
    <t>4181276.00</t>
  </si>
  <si>
    <t>4611382.00</t>
  </si>
  <si>
    <t>4781321.00</t>
  </si>
  <si>
    <t>5636521.00</t>
  </si>
  <si>
    <t>6467415.00</t>
  </si>
  <si>
    <t>6503997.00</t>
  </si>
  <si>
    <t>6879403.00</t>
  </si>
  <si>
    <t>7185231.00</t>
  </si>
  <si>
    <t>7870915.00</t>
  </si>
  <si>
    <t>8349961.00</t>
  </si>
  <si>
    <t>8727901.00</t>
  </si>
  <si>
    <t>8728291.00</t>
  </si>
  <si>
    <t>8791372.00</t>
  </si>
  <si>
    <t>9037165.00</t>
  </si>
  <si>
    <t>9222754.00</t>
  </si>
  <si>
    <t>9413240.00</t>
  </si>
  <si>
    <t>9991860.00</t>
  </si>
  <si>
    <t>10189032.00</t>
  </si>
  <si>
    <t>10189069.00</t>
  </si>
  <si>
    <t>10705266.00</t>
  </si>
  <si>
    <t>10726353.00</t>
  </si>
  <si>
    <t>10754955.00</t>
  </si>
  <si>
    <t>10782278.00</t>
  </si>
  <si>
    <t>10581673.00</t>
  </si>
  <si>
    <t>10583672.00</t>
  </si>
  <si>
    <t>10586339.00</t>
  </si>
  <si>
    <t>8038475.35</t>
  </si>
  <si>
    <t>M</t>
  </si>
  <si>
    <t>1560.00</t>
  </si>
  <si>
    <t>3996.00</t>
  </si>
  <si>
    <t>3995.00</t>
  </si>
  <si>
    <t>3602.71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</si>
  <si>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</si>
  <si>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</si>
  <si>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</si>
  <si>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</si>
  <si>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</si>
  <si>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</si>
  <si>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</si>
  <si>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</si>
  <si>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</si>
  <si>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</si>
  <si>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</si>
  <si>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</si>
  <si>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</si>
  <si>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</si>
  <si>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</si>
  <si>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</si>
  <si>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</si>
  <si>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</si>
  <si>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</si>
  <si>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</si>
  <si>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</si>
  <si>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</si>
  <si>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</si>
  <si>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</si>
  <si>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</si>
  <si>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</si>
  <si>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</si>
  <si>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</si>
  <si>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</si>
  <si>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</si>
  <si>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</si>
  <si>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301207246.00</t>
  </si>
  <si>
    <t>302224799.00</t>
  </si>
  <si>
    <t>305116846.00</t>
  </si>
  <si>
    <t>306852591.00</t>
  </si>
  <si>
    <t>307882720.00</t>
  </si>
  <si>
    <t>305519239.00</t>
  </si>
  <si>
    <t>165227363.52</t>
  </si>
  <si>
    <t>171806418.89</t>
  </si>
  <si>
    <t>185142109.58</t>
  </si>
  <si>
    <t>201494393.80</t>
  </si>
  <si>
    <t>180917572.00</t>
  </si>
  <si>
    <t>158651008.00</t>
  </si>
  <si>
    <t>175318749.00</t>
  </si>
  <si>
    <t>199041123.00</t>
  </si>
  <si>
    <t>185823884.00</t>
  </si>
  <si>
    <t>5684437.16</t>
  </si>
  <si>
    <t>7322154.32</t>
  </si>
  <si>
    <t>5630647.58</t>
  </si>
  <si>
    <t>7013262.93</t>
  </si>
  <si>
    <t>6412626.00</t>
  </si>
  <si>
    <t>5317956.00</t>
  </si>
  <si>
    <t>8522669.00</t>
  </si>
  <si>
    <t>7237880.00</t>
  </si>
  <si>
    <t>8003762.00</t>
  </si>
  <si>
    <t>4773461.94</t>
  </si>
  <si>
    <t>4462656.46</t>
  </si>
  <si>
    <t>4174818.16</t>
  </si>
  <si>
    <t>5699307.20</t>
  </si>
  <si>
    <t>4777561.00</t>
  </si>
  <si>
    <t>4695532.00</t>
  </si>
  <si>
    <t>4160961.00</t>
  </si>
  <si>
    <t>4257263.00</t>
  </si>
  <si>
    <t>5007426.00</t>
  </si>
  <si>
    <t>28706641.23</t>
  </si>
  <si>
    <t>26607421.00</t>
  </si>
  <si>
    <t>27847352.65</t>
  </si>
  <si>
    <t>28707950.10</t>
  </si>
  <si>
    <t>27967341.00</t>
  </si>
  <si>
    <t>26144769.00</t>
  </si>
  <si>
    <t>30327158.00</t>
  </si>
  <si>
    <t>27847957.00</t>
  </si>
  <si>
    <t>30729681.00</t>
  </si>
  <si>
    <t>28762391.00</t>
  </si>
  <si>
    <t>11976640.10</t>
  </si>
  <si>
    <t>12337838.93</t>
  </si>
  <si>
    <t>11441743.00</t>
  </si>
  <si>
    <t>11521378.63</t>
  </si>
  <si>
    <t>11819400.00</t>
  </si>
  <si>
    <t>8358564.00</t>
  </si>
  <si>
    <t>14672261.00</t>
  </si>
  <si>
    <t>11567400.00</t>
  </si>
  <si>
    <t>12791237.00</t>
  </si>
  <si>
    <t>1497237.48</t>
  </si>
  <si>
    <t>1489814.86</t>
  </si>
  <si>
    <t>1555533.19</t>
  </si>
  <si>
    <t>2110874.17</t>
  </si>
  <si>
    <t>1663365.00</t>
  </si>
  <si>
    <t>1289077.00</t>
  </si>
  <si>
    <t>1374367.00</t>
  </si>
  <si>
    <t>1808940.00</t>
  </si>
  <si>
    <t>1799289.00</t>
  </si>
  <si>
    <t>114968.03</t>
  </si>
  <si>
    <t>108871.00</t>
  </si>
  <si>
    <t>806.45</t>
  </si>
  <si>
    <t>202.00</t>
  </si>
  <si>
    <t>1654288.48</t>
  </si>
  <si>
    <t>2191549.54</t>
  </si>
  <si>
    <t>1575862.94</t>
  </si>
  <si>
    <t>1918721.60</t>
  </si>
  <si>
    <t>1835106.00</t>
  </si>
  <si>
    <t>1395237.00</t>
  </si>
  <si>
    <t>2518152.00</t>
  </si>
  <si>
    <t>1225378.00</t>
  </si>
  <si>
    <t>1735849.00</t>
  </si>
  <si>
    <t>153232.84</t>
  </si>
  <si>
    <t>421797.29</t>
  </si>
  <si>
    <t>457168.97</t>
  </si>
  <si>
    <t>390693.00</t>
  </si>
  <si>
    <t>355723.00</t>
  </si>
  <si>
    <t>116058.00</t>
  </si>
  <si>
    <t>514198.00</t>
  </si>
  <si>
    <t>404308.00</t>
  </si>
  <si>
    <t>356438.00</t>
  </si>
  <si>
    <t>92028.65</t>
  </si>
  <si>
    <t>115688.50</t>
  </si>
  <si>
    <t>86948.10</t>
  </si>
  <si>
    <t>110244.03</t>
  </si>
  <si>
    <t>101228.00</t>
  </si>
  <si>
    <t>102712.00</t>
  </si>
  <si>
    <t>102612.00</t>
  </si>
  <si>
    <t>83222.00</t>
  </si>
  <si>
    <t>101933.00</t>
  </si>
  <si>
    <t>17-8</t>
  </si>
  <si>
    <t>6144143.10</t>
  </si>
  <si>
    <t>6624502.46</t>
  </si>
  <si>
    <t>5900638.84</t>
  </si>
  <si>
    <t>5102363.83</t>
  </si>
  <si>
    <t>5942912.00</t>
  </si>
  <si>
    <t>6589897.00</t>
  </si>
  <si>
    <t>7851229.00</t>
  </si>
  <si>
    <t>6149577.00</t>
  </si>
  <si>
    <t>7026661.00</t>
  </si>
  <si>
    <t>10283834.97</t>
  </si>
  <si>
    <t>10074047.82</t>
  </si>
  <si>
    <t>11570067.81</t>
  </si>
  <si>
    <t>11090298.63</t>
  </si>
  <si>
    <t>10754563.00</t>
  </si>
  <si>
    <t>10038829.00</t>
  </si>
  <si>
    <t>11733146.00</t>
  </si>
  <si>
    <t>10843853.00</t>
  </si>
  <si>
    <t>11107531.00</t>
  </si>
  <si>
    <t>7942536.90</t>
  </si>
  <si>
    <t>7788290.93</t>
  </si>
  <si>
    <t>7577748.45</t>
  </si>
  <si>
    <t>7170796.07</t>
  </si>
  <si>
    <t>7619843.00</t>
  </si>
  <si>
    <t>7730794.00</t>
  </si>
  <si>
    <t>7745653.00</t>
  </si>
  <si>
    <t>7350084.00</t>
  </si>
  <si>
    <t>7497199.00</t>
  </si>
  <si>
    <t>133791.10</t>
  </si>
  <si>
    <t>178802.57</t>
  </si>
  <si>
    <t>137735.42</t>
  </si>
  <si>
    <t>138738.60</t>
  </si>
  <si>
    <t>147267.00</t>
  </si>
  <si>
    <t>158004.00</t>
  </si>
  <si>
    <t>166314.00</t>
  </si>
  <si>
    <t>222078.00</t>
  </si>
  <si>
    <t>169287.00</t>
  </si>
  <si>
    <t>5295736.90</t>
  </si>
  <si>
    <t>5008243.64</t>
  </si>
  <si>
    <t>5099825.03</t>
  </si>
  <si>
    <t>5251707.63</t>
  </si>
  <si>
    <t>5163879.00</t>
  </si>
  <si>
    <t>5577439.00</t>
  </si>
  <si>
    <t>5423970.00</t>
  </si>
  <si>
    <t>5718016.00</t>
  </si>
  <si>
    <t>5596103.00</t>
  </si>
  <si>
    <t>4342640.74</t>
  </si>
  <si>
    <t>5185411.22</t>
  </si>
  <si>
    <t>5478941.26</t>
  </si>
  <si>
    <t>6608525.86</t>
  </si>
  <si>
    <t>5403880.00</t>
  </si>
  <si>
    <t>4840921.00</t>
  </si>
  <si>
    <t>6036373.00</t>
  </si>
  <si>
    <t>8910550.00</t>
  </si>
  <si>
    <t>6825188.00</t>
  </si>
  <si>
    <t>89.1</t>
  </si>
  <si>
    <t>80.9</t>
  </si>
  <si>
    <t>77.4</t>
  </si>
  <si>
    <t>92.7</t>
  </si>
  <si>
    <t>86</t>
  </si>
  <si>
    <t>84.2</t>
  </si>
  <si>
    <t>94.9</t>
  </si>
  <si>
    <t>AVGITEMS</t>
  </si>
  <si>
    <t>6169</t>
  </si>
  <si>
    <t>3267</t>
  </si>
  <si>
    <t>6159</t>
  </si>
  <si>
    <t>5502</t>
  </si>
  <si>
    <t>5274</t>
  </si>
  <si>
    <t>1595</t>
  </si>
  <si>
    <t>819</t>
  </si>
  <si>
    <t>1284</t>
  </si>
  <si>
    <t>823</t>
  </si>
  <si>
    <t>1130</t>
  </si>
  <si>
    <t>6</t>
  </si>
  <si>
    <t>5</t>
  </si>
  <si>
    <t>7</t>
  </si>
  <si>
    <t>22</t>
  </si>
  <si>
    <t>9</t>
  </si>
  <si>
    <t>34</t>
  </si>
  <si>
    <t>462</t>
  </si>
  <si>
    <t>258</t>
  </si>
  <si>
    <t>309</t>
  </si>
  <si>
    <t>285</t>
  </si>
  <si>
    <t>329</t>
  </si>
  <si>
    <t>253</t>
  </si>
  <si>
    <t>110</t>
  </si>
  <si>
    <t>119</t>
  </si>
  <si>
    <t>66</t>
  </si>
  <si>
    <t>137</t>
  </si>
  <si>
    <t>19</t>
  </si>
  <si>
    <t>12</t>
  </si>
  <si>
    <t>11</t>
  </si>
  <si>
    <t>37</t>
  </si>
  <si>
    <t>13</t>
  </si>
  <si>
    <t>26</t>
  </si>
  <si>
    <t>290</t>
  </si>
  <si>
    <t>226</t>
  </si>
  <si>
    <t>394</t>
  </si>
  <si>
    <t>196</t>
  </si>
  <si>
    <t>277</t>
  </si>
  <si>
    <t>74</t>
  </si>
  <si>
    <t>88</t>
  </si>
  <si>
    <t>85</t>
  </si>
  <si>
    <t>707</t>
  </si>
  <si>
    <t>411</t>
  </si>
  <si>
    <t>806</t>
  </si>
  <si>
    <t>658</t>
  </si>
  <si>
    <t>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</si>
</sst>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AD5" activePane="bottomRight" state="frozen"/>
      <selection pane="bottomRight" activeCell="AG44" sqref="AG44:AL44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1</v>
      </c>
      <c r="B3" s="610"/>
      <c r="C3" s="611"/>
      <c r="D3" s="472" t="str">
        <f>YEAR(日期!C2)-1&amp;"/"&amp;MONTH(日期!C2)</f>
        <v>2025/5</v>
      </c>
      <c r="E3" s="472" t="str">
        <f>YEAR(日期!C2)&amp;"/"&amp;MONTH(日期!C2)</f>
        <v>2026/5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2026/05/01</v>
      </c>
      <c r="J3" s="490" t="str">
        <f>日期!D2</f>
        <v>2026/05/02</v>
      </c>
      <c r="K3" s="490" t="str">
        <f>日期!E2</f>
        <v>2026/05/03</v>
      </c>
      <c r="L3" s="490" t="str">
        <f>日期!F2</f>
        <v>2026/05/04</v>
      </c>
      <c r="M3" s="490" t="str">
        <f>日期!G2</f>
        <v>2026/05/05</v>
      </c>
      <c r="N3" s="490" t="str">
        <f>日期!H2</f>
        <v>2026/05/06</v>
      </c>
      <c r="O3" s="490" t="str">
        <f>日期!I2</f>
        <v>2026/05/07</v>
      </c>
      <c r="P3" s="490" t="str">
        <f>日期!J2</f>
        <v>2026/05/08</v>
      </c>
      <c r="Q3" s="490" t="str">
        <f>日期!K2</f>
        <v>2026/05/09</v>
      </c>
      <c r="R3" s="490" t="str">
        <f>日期!L2</f>
        <v>2026/05/10</v>
      </c>
      <c r="S3" s="490" t="str">
        <f>日期!M2</f>
        <v>2026/05/11</v>
      </c>
      <c r="T3" s="490" t="str">
        <f>日期!N2</f>
        <v>2026/05/12</v>
      </c>
      <c r="U3" s="490" t="str">
        <f>日期!O2</f>
        <v>2026/05/13</v>
      </c>
      <c r="V3" s="490" t="str">
        <f>日期!P2</f>
        <v>2026/05/14</v>
      </c>
      <c r="W3" s="490" t="str">
        <f>日期!Q2</f>
        <v>2026/05/15</v>
      </c>
      <c r="X3" s="490" t="str">
        <f>日期!R2</f>
        <v>2026/05/16</v>
      </c>
      <c r="Y3" s="490" t="str">
        <f>日期!S2</f>
        <v>2026/05/17</v>
      </c>
      <c r="Z3" s="490" t="str">
        <f>日期!T2</f>
        <v>2026/05/18</v>
      </c>
      <c r="AA3" s="490" t="str">
        <f>日期!U2</f>
        <v>2026/05/19</v>
      </c>
      <c r="AB3" s="490" t="str">
        <f>日期!V2</f>
        <v>2026/05/20</v>
      </c>
      <c r="AC3" s="490" t="str">
        <f>日期!W2</f>
        <v>2026/05/21</v>
      </c>
      <c r="AD3" s="490" t="str">
        <f>日期!X2</f>
        <v>2026/05/22</v>
      </c>
      <c r="AE3" s="490" t="str">
        <f>日期!Y2</f>
        <v>2026/05/23</v>
      </c>
      <c r="AF3" s="490" t="str">
        <f>日期!Z2</f>
        <v>2026/05/24</v>
      </c>
      <c r="AG3" s="490" t="str">
        <f>日期!AA2</f>
        <v>2026/05/25</v>
      </c>
      <c r="AH3" s="490" t="str">
        <f>日期!AB2</f>
        <v>2026/05/26</v>
      </c>
      <c r="AI3" s="490" t="str">
        <f>日期!AC2</f>
        <v>2026/05/27</v>
      </c>
      <c r="AJ3" s="490" t="str">
        <f>日期!AD2</f>
        <v>2026/05/28</v>
      </c>
      <c r="AK3" s="490" t="str">
        <f>日期!AE2</f>
        <v>2026/05/29</v>
      </c>
      <c r="AL3" s="490" t="str">
        <f>日期!AF2</f>
        <v>2026/05/30</v>
      </c>
      <c r="AM3" s="490" t="str">
        <f>日期!AG2</f>
        <v>2026/05/31</v>
      </c>
      <c r="AN3" s="565" t="s">
        <v>2</v>
      </c>
      <c r="AO3" s="607" t="s">
        <v>3</v>
      </c>
    </row>
    <row r="4" spans="1:44" s="14" customFormat="1" ht="21.4" customHeight="1" thickBot="1">
      <c r="A4" s="612"/>
      <c r="B4" s="613"/>
      <c r="C4" s="61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Fri</v>
      </c>
      <c r="J4" s="12" t="str">
        <f>日期!D3</f>
        <v>Sat</v>
      </c>
      <c r="K4" s="12" t="str">
        <f>日期!E3</f>
        <v>Sun</v>
      </c>
      <c r="L4" s="12" t="str">
        <f>日期!F3</f>
        <v>Mon</v>
      </c>
      <c r="M4" s="12" t="str">
        <f>日期!G3</f>
        <v>Tue</v>
      </c>
      <c r="N4" s="12" t="str">
        <f>日期!H3</f>
        <v>Wed</v>
      </c>
      <c r="O4" s="12" t="str">
        <f>日期!I3</f>
        <v>Thu</v>
      </c>
      <c r="P4" s="12" t="str">
        <f>日期!J3</f>
        <v>Fri</v>
      </c>
      <c r="Q4" s="12" t="str">
        <f>日期!K3</f>
        <v>Sat</v>
      </c>
      <c r="R4" s="12" t="str">
        <f>日期!L3</f>
        <v>Sun</v>
      </c>
      <c r="S4" s="12" t="str">
        <f>日期!M3</f>
        <v>Mon</v>
      </c>
      <c r="T4" s="12" t="str">
        <f>日期!N3</f>
        <v>Tue</v>
      </c>
      <c r="U4" s="12" t="str">
        <f>日期!O3</f>
        <v>Wed</v>
      </c>
      <c r="V4" s="12" t="str">
        <f>日期!P3</f>
        <v>Thu</v>
      </c>
      <c r="W4" s="12" t="str">
        <f>日期!Q3</f>
        <v>Fri</v>
      </c>
      <c r="X4" s="12" t="str">
        <f>日期!R3</f>
        <v>Sat</v>
      </c>
      <c r="Y4" s="12" t="str">
        <f>日期!S3</f>
        <v>Sun</v>
      </c>
      <c r="Z4" s="12" t="str">
        <f>日期!T3</f>
        <v>Mon</v>
      </c>
      <c r="AA4" s="12" t="str">
        <f>日期!U3</f>
        <v>Tue</v>
      </c>
      <c r="AB4" s="12" t="str">
        <f>日期!V3</f>
        <v>Wed</v>
      </c>
      <c r="AC4" s="12" t="str">
        <f>日期!W3</f>
        <v>Thu</v>
      </c>
      <c r="AD4" s="12" t="str">
        <f>日期!X3</f>
        <v>Fri</v>
      </c>
      <c r="AE4" s="12" t="str">
        <f>日期!Y3</f>
        <v>Sat</v>
      </c>
      <c r="AF4" s="12" t="str">
        <f>日期!Z3</f>
        <v>Sun</v>
      </c>
      <c r="AG4" s="12" t="str">
        <f>日期!AA3</f>
        <v>Mon</v>
      </c>
      <c r="AH4" s="12" t="str">
        <f>日期!AB3</f>
        <v>Tue</v>
      </c>
      <c r="AI4" s="12" t="str">
        <f>日期!AC3</f>
        <v>Wed</v>
      </c>
      <c r="AJ4" s="12" t="str">
        <f>日期!AD3</f>
        <v>Thu</v>
      </c>
      <c r="AK4" s="12" t="str">
        <f>日期!AE3</f>
        <v>Fri</v>
      </c>
      <c r="AL4" s="12" t="str">
        <f>日期!AF3</f>
        <v>Sat</v>
      </c>
      <c r="AM4" s="12" t="str">
        <f>日期!AG3</f>
        <v>Sun</v>
      </c>
      <c r="AN4" s="600"/>
      <c r="AO4" s="608"/>
      <c r="AP4" s="13"/>
      <c r="AQ4" s="13"/>
    </row>
    <row r="5" spans="1:44" s="18" customFormat="1" ht="21.95" customHeight="1">
      <c r="A5" s="615" t="s">
        <v>9</v>
      </c>
      <c r="B5" s="616"/>
      <c r="C5" s="617"/>
      <c r="D5" s="301">
        <f>D6+D13+D18+D26</f>
        <v>637301517.99999905</v>
      </c>
      <c r="E5" s="301">
        <f>E6+E13+E18+E26</f>
        <v>642517704.24859071</v>
      </c>
      <c r="F5" s="301">
        <f>F6+F13+F18+F26</f>
        <v>626328949.98298764</v>
      </c>
      <c r="G5" s="15">
        <f>G6+G13+G18+G26</f>
        <v>555576640</v>
      </c>
      <c r="H5" s="15">
        <f>H6+H13+H18+H26</f>
        <v>570171091</v>
      </c>
      <c r="I5" s="15">
        <f t="shared" ref="I5:AM5" si="0">I6+I13+I18+I26</f>
        <v>628338183</v>
      </c>
      <c r="J5" s="15">
        <f t="shared" si="0"/>
        <v>602406830</v>
      </c>
      <c r="K5" s="15">
        <f t="shared" si="0"/>
        <v>602382838</v>
      </c>
      <c r="L5" s="15">
        <f t="shared" si="0"/>
        <v>598719946</v>
      </c>
      <c r="M5" s="15">
        <f t="shared" si="0"/>
        <v>601532762</v>
      </c>
      <c r="N5" s="15">
        <f t="shared" si="0"/>
        <v>601279644</v>
      </c>
      <c r="O5" s="15">
        <f t="shared" si="0"/>
        <v>600898945</v>
      </c>
      <c r="P5" s="15">
        <f t="shared" si="0"/>
        <v>603812321</v>
      </c>
      <c r="Q5" s="15">
        <f t="shared" si="0"/>
        <v>586804915</v>
      </c>
      <c r="R5" s="15">
        <f t="shared" si="0"/>
        <v>586768923</v>
      </c>
      <c r="S5" s="15">
        <f t="shared" si="0"/>
        <v>581435316</v>
      </c>
      <c r="T5" s="15">
        <f t="shared" si="0"/>
        <v>578326637</v>
      </c>
      <c r="U5" s="15">
        <f t="shared" si="0"/>
        <v>588164342</v>
      </c>
      <c r="V5" s="15">
        <f t="shared" si="0"/>
        <v>592901039</v>
      </c>
      <c r="W5" s="15">
        <f t="shared" si="0"/>
        <v>605489883</v>
      </c>
      <c r="X5" s="15">
        <f t="shared" si="0"/>
        <v>585034893</v>
      </c>
      <c r="Y5" s="15">
        <f t="shared" si="0"/>
        <v>590825650</v>
      </c>
      <c r="Z5" s="15">
        <f t="shared" si="0"/>
        <v>589872721</v>
      </c>
      <c r="AA5" s="15">
        <f t="shared" si="0"/>
        <v>589613319</v>
      </c>
      <c r="AB5" s="15">
        <f t="shared" si="0"/>
        <v>591922432</v>
      </c>
      <c r="AC5" s="15">
        <f t="shared" si="0"/>
        <v>595758015</v>
      </c>
      <c r="AD5" s="15">
        <f t="shared" si="0"/>
        <v>600116278</v>
      </c>
      <c r="AE5" s="15">
        <f t="shared" si="0"/>
        <v>580228171</v>
      </c>
      <c r="AF5" s="15">
        <f t="shared" si="0"/>
        <v>580213586</v>
      </c>
      <c r="AG5" s="15">
        <f t="shared" si="0"/>
        <v>583176637</v>
      </c>
      <c r="AH5" s="15">
        <f t="shared" si="0"/>
        <v>586696803</v>
      </c>
      <c r="AI5" s="15">
        <f t="shared" si="0"/>
        <v>594260884</v>
      </c>
      <c r="AJ5" s="15">
        <f t="shared" si="0"/>
        <v>599949010</v>
      </c>
      <c r="AK5" s="15">
        <f t="shared" si="0"/>
        <v>610017304</v>
      </c>
      <c r="AL5" s="15">
        <f t="shared" si="0"/>
        <v>594669598</v>
      </c>
      <c r="AM5" s="15">
        <f t="shared" si="0"/>
        <v>596792223</v>
      </c>
      <c r="AN5" s="487">
        <f>AN6+AN13+AN18+AN26</f>
        <v>2122625</v>
      </c>
      <c r="AO5" s="238">
        <f>AO6+AO13+AO18+AO26</f>
        <v>594464840.28000009</v>
      </c>
      <c r="AP5" s="16">
        <f t="shared" ref="AP5:AP13" si="1">AJ5/10000</f>
        <v>59994.900999999998</v>
      </c>
      <c r="AQ5" s="17">
        <f t="shared" ref="AQ5:AQ13" si="2">AO5/10000</f>
        <v>59446.484028000006</v>
      </c>
    </row>
    <row r="6" spans="1:44" s="14" customFormat="1" ht="21.95" customHeight="1">
      <c r="A6" s="19"/>
      <c r="B6" s="618" t="s">
        <v>10</v>
      </c>
      <c r="C6" s="619"/>
      <c r="D6" s="287">
        <f t="shared" ref="D6:I6" si="3">SUM(D7:D12)</f>
        <v>341295163.45000005</v>
      </c>
      <c r="E6" s="287">
        <f t="shared" si="3"/>
        <v>348409810.18562704</v>
      </c>
      <c r="F6" s="287">
        <f t="shared" si="3"/>
        <v>339321464.43368143</v>
      </c>
      <c r="G6" s="20">
        <f>SUM(G7:G12)</f>
        <v>352184174</v>
      </c>
      <c r="H6" s="20">
        <f t="shared" si="3"/>
        <v>360084055</v>
      </c>
      <c r="I6" s="20">
        <f t="shared" si="3"/>
        <v>373047992</v>
      </c>
      <c r="J6" s="20">
        <f>SUM(J7:J12)</f>
        <v>353536377</v>
      </c>
      <c r="K6" s="20">
        <f>SUM(K7:K12)</f>
        <v>353512385</v>
      </c>
      <c r="L6" s="20">
        <f t="shared" ref="L6:AO6" si="4">SUM(L7:L12)</f>
        <v>351477485</v>
      </c>
      <c r="M6" s="20">
        <f t="shared" si="4"/>
        <v>355359216</v>
      </c>
      <c r="N6" s="20">
        <f t="shared" si="4"/>
        <v>357424994</v>
      </c>
      <c r="O6" s="20">
        <f t="shared" si="4"/>
        <v>359010395</v>
      </c>
      <c r="P6" s="20">
        <f t="shared" si="4"/>
        <v>361315165</v>
      </c>
      <c r="Q6" s="20">
        <f t="shared" si="4"/>
        <v>349561710</v>
      </c>
      <c r="R6" s="20">
        <f t="shared" si="4"/>
        <v>349525776</v>
      </c>
      <c r="S6" s="20">
        <f t="shared" si="4"/>
        <v>346869796</v>
      </c>
      <c r="T6" s="20">
        <f t="shared" si="4"/>
        <v>347185703</v>
      </c>
      <c r="U6" s="20">
        <f t="shared" si="4"/>
        <v>353101441</v>
      </c>
      <c r="V6" s="20">
        <f t="shared" si="4"/>
        <v>356289932</v>
      </c>
      <c r="W6" s="20">
        <f t="shared" si="4"/>
        <v>367035725</v>
      </c>
      <c r="X6" s="20">
        <f t="shared" si="4"/>
        <v>351758497</v>
      </c>
      <c r="Y6" s="20">
        <f t="shared" si="4"/>
        <v>356002264</v>
      </c>
      <c r="Z6" s="20">
        <f t="shared" si="4"/>
        <v>356808510</v>
      </c>
      <c r="AA6" s="20">
        <f t="shared" si="4"/>
        <v>356887928</v>
      </c>
      <c r="AB6" s="20">
        <f t="shared" si="4"/>
        <v>359261557</v>
      </c>
      <c r="AC6" s="20">
        <f t="shared" si="4"/>
        <v>361689508</v>
      </c>
      <c r="AD6" s="20">
        <f t="shared" si="4"/>
        <v>363913791</v>
      </c>
      <c r="AE6" s="20">
        <f t="shared" si="4"/>
        <v>348978610</v>
      </c>
      <c r="AF6" s="20">
        <f t="shared" si="4"/>
        <v>348966708</v>
      </c>
      <c r="AG6" s="20">
        <f t="shared" si="4"/>
        <v>350328819</v>
      </c>
      <c r="AH6" s="20">
        <f t="shared" si="4"/>
        <v>354096008</v>
      </c>
      <c r="AI6" s="20">
        <f t="shared" si="4"/>
        <v>357734110</v>
      </c>
      <c r="AJ6" s="20">
        <f t="shared" si="4"/>
        <v>357589006</v>
      </c>
      <c r="AK6" s="20">
        <f t="shared" si="4"/>
        <v>366468866</v>
      </c>
      <c r="AL6" s="20">
        <f t="shared" si="4"/>
        <v>355774909</v>
      </c>
      <c r="AM6" s="20">
        <f t="shared" si="4"/>
        <v>357296639</v>
      </c>
      <c r="AN6" s="488">
        <f t="shared" si="4"/>
        <v>1521730</v>
      </c>
      <c r="AO6" s="21">
        <f t="shared" si="4"/>
        <v>356058381.37000006</v>
      </c>
      <c r="AP6" s="16">
        <f t="shared" si="1"/>
        <v>35758.900600000001</v>
      </c>
      <c r="AQ6" s="17">
        <f t="shared" si="2"/>
        <v>35605.838137000006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298211250.68000001</v>
      </c>
      <c r="E7" s="309">
        <f>HLOOKUP(MONTH(日期!$C$2),當年目標設定!$D$1:$O$33,5,TRUE)</f>
        <v>301200240.25110579</v>
      </c>
      <c r="F7" s="308">
        <f>HLOOKUP(MONTH(日期!$C$2),當年目標設定!$R$1:$AC$33,5,TRUE)</f>
        <v>287995676.43977851</v>
      </c>
      <c r="G7" s="308">
        <f>當年月推移!P5</f>
        <v>301207246</v>
      </c>
      <c r="H7" s="308">
        <f>當年月推移!P39</f>
        <v>305519239</v>
      </c>
      <c r="I7" s="27">
        <f>VALUE(庫存金額!C2)</f>
        <v>307898796</v>
      </c>
      <c r="J7" s="27">
        <f>VALUE(庫存金額!D2)</f>
        <v>300011906</v>
      </c>
      <c r="K7" s="27">
        <f>VALUE(庫存金額!E2)</f>
        <v>299989449</v>
      </c>
      <c r="L7" s="27">
        <f>VALUE(庫存金額!F2)</f>
        <v>299991998</v>
      </c>
      <c r="M7" s="27">
        <f>VALUE(庫存金額!G2)</f>
        <v>302247406</v>
      </c>
      <c r="N7" s="27">
        <f>VALUE(庫存金額!H2)</f>
        <v>305277652</v>
      </c>
      <c r="O7" s="27">
        <f>VALUE(庫存金額!I2)</f>
        <v>307833073</v>
      </c>
      <c r="P7" s="27">
        <f>VALUE(庫存金額!J2)</f>
        <v>307897477</v>
      </c>
      <c r="Q7" s="27">
        <f>VALUE(庫存金額!K2)</f>
        <v>304444817</v>
      </c>
      <c r="R7" s="27">
        <f>VALUE(庫存金額!L2)</f>
        <v>304410459</v>
      </c>
      <c r="S7" s="27">
        <f>VALUE(庫存金額!M2)</f>
        <v>304507676</v>
      </c>
      <c r="T7" s="27">
        <f>VALUE(庫存金額!N2)</f>
        <v>302597172</v>
      </c>
      <c r="U7" s="27">
        <f>VALUE(庫存金額!O2)</f>
        <v>304202886</v>
      </c>
      <c r="V7" s="27">
        <f>VALUE(庫存金額!P2)</f>
        <v>306292540</v>
      </c>
      <c r="W7" s="27">
        <f>VALUE(庫存金額!Q2)</f>
        <v>309423541</v>
      </c>
      <c r="X7" s="27">
        <f>VALUE(庫存金額!R2)</f>
        <v>303104524</v>
      </c>
      <c r="Y7" s="27">
        <f>VALUE(庫存金額!S2)</f>
        <v>307125009</v>
      </c>
      <c r="Z7" s="27">
        <f>VALUE(庫存金額!T2)</f>
        <v>308693497</v>
      </c>
      <c r="AA7" s="27">
        <f>VALUE(庫存金額!U2)</f>
        <v>305296757</v>
      </c>
      <c r="AB7" s="27">
        <f>VALUE(庫存金額!V2)</f>
        <v>305587951</v>
      </c>
      <c r="AC7" s="27">
        <f>VALUE(庫存金額!W2)</f>
        <v>309039557</v>
      </c>
      <c r="AD7" s="27">
        <f>VALUE(庫存金額!X2)</f>
        <v>307527215</v>
      </c>
      <c r="AE7" s="27">
        <f>VALUE(庫存金額!Y2)</f>
        <v>301618596</v>
      </c>
      <c r="AF7" s="27">
        <f>VALUE(庫存金額!Z2)</f>
        <v>301611148</v>
      </c>
      <c r="AG7" s="27">
        <f>VALUE(庫存金額!AA2)</f>
        <v>301009828</v>
      </c>
      <c r="AH7" s="27">
        <f>VALUE(庫存金額!AB2)</f>
        <v>299797615</v>
      </c>
      <c r="AI7" s="27">
        <f>VALUE(庫存金額!AC2)</f>
        <v>298335447</v>
      </c>
      <c r="AJ7" s="27">
        <f>VALUE(庫存金額!AD2)</f>
        <v>299428397</v>
      </c>
      <c r="AK7" s="27">
        <f>VALUE(庫存金額!AE2)</f>
        <v>294812852</v>
      </c>
      <c r="AL7" s="27">
        <f>VALUE(庫存金額!AF2)</f>
        <v>292113660</v>
      </c>
      <c r="AM7" s="27">
        <f>VALUE(庫存金額!AG2)</f>
        <v>293635390</v>
      </c>
      <c r="AN7" s="27">
        <f>VALUE(庫存金額!AH2)</f>
        <v>1521730</v>
      </c>
      <c r="AO7" s="27">
        <f>VALUE(庫存金額!AI2)</f>
        <v>303089170.68000001</v>
      </c>
      <c r="AP7" s="16">
        <f t="shared" si="1"/>
        <v>29942.8397</v>
      </c>
      <c r="AQ7" s="17">
        <f t="shared" si="2"/>
        <v>30308.917068000002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5731137.9699999997</v>
      </c>
      <c r="E8" s="309">
        <f>HLOOKUP(MONTH(日期!$C$2),當年目標設定!$D$1:$O$33,6,TRUE)</f>
        <v>5800987.0525000002</v>
      </c>
      <c r="F8" s="308">
        <f>HLOOKUP(MONTH(日期!$C$2),當年目標設定!$R$1:$AC$33,6,TRUE)</f>
        <v>6474594.0800000001</v>
      </c>
      <c r="G8" s="308">
        <f>當年月推移!$P6</f>
        <v>6412626</v>
      </c>
      <c r="H8" s="308">
        <f>當年月推移!P40</f>
        <v>8003762</v>
      </c>
      <c r="I8" s="27">
        <f>VALUE(庫存金額!C4)</f>
        <v>10936543</v>
      </c>
      <c r="J8" s="27">
        <f>VALUE(庫存金額!D4)</f>
        <v>8246101</v>
      </c>
      <c r="K8" s="27">
        <f>VALUE(庫存金額!E4)</f>
        <v>8246101</v>
      </c>
      <c r="L8" s="27">
        <f>VALUE(庫存金額!F4)</f>
        <v>6521678</v>
      </c>
      <c r="M8" s="27">
        <f>VALUE(庫存金額!G4)</f>
        <v>7071577</v>
      </c>
      <c r="N8" s="27">
        <f>VALUE(庫存金額!H4)</f>
        <v>6135443</v>
      </c>
      <c r="O8" s="27">
        <f>VALUE(庫存金額!I4)</f>
        <v>6952792</v>
      </c>
      <c r="P8" s="27">
        <f>VALUE(庫存金額!J4)</f>
        <v>5918039</v>
      </c>
      <c r="Q8" s="27">
        <f>VALUE(庫存金額!K4)</f>
        <v>4151036</v>
      </c>
      <c r="R8" s="27">
        <f>VALUE(庫存金額!L4)</f>
        <v>4151036</v>
      </c>
      <c r="S8" s="27">
        <f>VALUE(庫存金額!M4)</f>
        <v>3833116</v>
      </c>
      <c r="T8" s="27">
        <f>VALUE(庫存金額!N4)</f>
        <v>3185538</v>
      </c>
      <c r="U8" s="27">
        <f>VALUE(庫存金額!O4)</f>
        <v>3927404</v>
      </c>
      <c r="V8" s="27">
        <f>VALUE(庫存金額!P4)</f>
        <v>4442074</v>
      </c>
      <c r="W8" s="27">
        <f>VALUE(庫存金額!Q4)</f>
        <v>6386105</v>
      </c>
      <c r="X8" s="27">
        <f>VALUE(庫存金額!R4)</f>
        <v>4649341</v>
      </c>
      <c r="Y8" s="27">
        <f>VALUE(庫存金額!S4)</f>
        <v>4649341</v>
      </c>
      <c r="Z8" s="27">
        <f>VALUE(庫存金額!T4)</f>
        <v>4665881</v>
      </c>
      <c r="AA8" s="27">
        <f>VALUE(庫存金額!U4)</f>
        <v>4273650</v>
      </c>
      <c r="AB8" s="27">
        <f>VALUE(庫存金額!V4)</f>
        <v>4744219</v>
      </c>
      <c r="AC8" s="27">
        <f>VALUE(庫存金額!W4)</f>
        <v>4554801</v>
      </c>
      <c r="AD8" s="27">
        <f>VALUE(庫存金額!X4)</f>
        <v>5953427</v>
      </c>
      <c r="AE8" s="27">
        <f>VALUE(庫存金額!Y4)</f>
        <v>4222959</v>
      </c>
      <c r="AF8" s="27">
        <f>VALUE(庫存金額!Z4)</f>
        <v>4222959</v>
      </c>
      <c r="AG8" s="27">
        <f>VALUE(庫存金額!AA4)</f>
        <v>4434742</v>
      </c>
      <c r="AH8" s="27">
        <f>VALUE(庫存金額!AB4)</f>
        <v>5010565</v>
      </c>
      <c r="AI8" s="27">
        <f>VALUE(庫存金額!AC4)</f>
        <v>4931617</v>
      </c>
      <c r="AJ8" s="27">
        <f>VALUE(庫存金額!AD4)</f>
        <v>4727797</v>
      </c>
      <c r="AK8" s="27">
        <f>VALUE(庫存金額!AE4)</f>
        <v>6884140</v>
      </c>
      <c r="AL8" s="27">
        <f>VALUE(庫存金額!AF4)</f>
        <v>4908536</v>
      </c>
      <c r="AM8" s="27">
        <f>VALUE(庫存金額!AG4)</f>
        <v>4908536</v>
      </c>
      <c r="AN8" s="27">
        <f>VALUE(庫存金額!AH4)</f>
        <v>0</v>
      </c>
      <c r="AO8" s="27">
        <f>VALUE(庫存金額!AI4)</f>
        <v>5414422.3899999997</v>
      </c>
      <c r="AP8" s="16">
        <f t="shared" si="1"/>
        <v>472.77969999999999</v>
      </c>
      <c r="AQ8" s="17">
        <f t="shared" si="2"/>
        <v>541.44223899999997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5885981.3200000003</v>
      </c>
      <c r="E9" s="309">
        <f>HLOOKUP(MONTH(日期!$C$2),當年目標設定!$D$1:$O$33,7,TRUE)</f>
        <v>5945057.3925000001</v>
      </c>
      <c r="F9" s="308">
        <f>HLOOKUP(MONTH(日期!$C$2),當年目標設定!$R$1:$AC$33,7,TRUE)</f>
        <v>8784346.8156250007</v>
      </c>
      <c r="G9" s="308">
        <f>當年月推移!$P7</f>
        <v>4777561</v>
      </c>
      <c r="H9" s="308">
        <f>當年月推移!P41</f>
        <v>5007426</v>
      </c>
      <c r="I9" s="27">
        <f>VALUE(庫存金額!C5)</f>
        <v>6915946</v>
      </c>
      <c r="J9" s="27">
        <f>VALUE(庫存金額!D5)</f>
        <v>6879674</v>
      </c>
      <c r="K9" s="27">
        <f>VALUE(庫存金額!E5)</f>
        <v>6879674</v>
      </c>
      <c r="L9" s="27">
        <f>VALUE(庫存金額!F5)</f>
        <v>7038077</v>
      </c>
      <c r="M9" s="27">
        <f>VALUE(庫存金額!G5)</f>
        <v>7024498</v>
      </c>
      <c r="N9" s="27">
        <f>VALUE(庫存金額!H5)</f>
        <v>6977918</v>
      </c>
      <c r="O9" s="27">
        <f>VALUE(庫存金額!I5)</f>
        <v>7045014</v>
      </c>
      <c r="P9" s="27">
        <f>VALUE(庫存金額!J5)</f>
        <v>7351588</v>
      </c>
      <c r="Q9" s="27">
        <f>VALUE(庫存金額!K5)</f>
        <v>7293519</v>
      </c>
      <c r="R9" s="27">
        <f>VALUE(庫存金額!L5)</f>
        <v>7293519</v>
      </c>
      <c r="S9" s="27">
        <f>VALUE(庫存金額!M5)</f>
        <v>6860751</v>
      </c>
      <c r="T9" s="27">
        <f>VALUE(庫存金額!N5)</f>
        <v>6829234</v>
      </c>
      <c r="U9" s="27">
        <f>VALUE(庫存金額!O5)</f>
        <v>6916411</v>
      </c>
      <c r="V9" s="27">
        <f>VALUE(庫存金額!P5)</f>
        <v>6873755</v>
      </c>
      <c r="W9" s="27">
        <f>VALUE(庫存金額!Q5)</f>
        <v>6768754</v>
      </c>
      <c r="X9" s="27">
        <f>VALUE(庫存金額!R5)</f>
        <v>6700218</v>
      </c>
      <c r="Y9" s="27">
        <f>VALUE(庫存金額!S5)</f>
        <v>6700944</v>
      </c>
      <c r="Z9" s="27">
        <f>VALUE(庫存金額!T5)</f>
        <v>6725460</v>
      </c>
      <c r="AA9" s="27">
        <f>VALUE(庫存金額!U5)</f>
        <v>6678859</v>
      </c>
      <c r="AB9" s="27">
        <f>VALUE(庫存金額!V5)</f>
        <v>7459402</v>
      </c>
      <c r="AC9" s="27">
        <f>VALUE(庫存金額!W5)</f>
        <v>7356117</v>
      </c>
      <c r="AD9" s="27">
        <f>VALUE(庫存金額!X5)</f>
        <v>8160561</v>
      </c>
      <c r="AE9" s="27">
        <f>VALUE(庫存金額!Y5)</f>
        <v>7980339</v>
      </c>
      <c r="AF9" s="27">
        <f>VALUE(庫存金額!Z5)</f>
        <v>7980339</v>
      </c>
      <c r="AG9" s="27">
        <f>VALUE(庫存金額!AA5)</f>
        <v>8153592</v>
      </c>
      <c r="AH9" s="27">
        <f>VALUE(庫存金額!AB5)</f>
        <v>8953582</v>
      </c>
      <c r="AI9" s="27">
        <f>VALUE(庫存金額!AC5)</f>
        <v>11367529</v>
      </c>
      <c r="AJ9" s="27">
        <f>VALUE(庫存金額!AD5)</f>
        <v>12091651</v>
      </c>
      <c r="AK9" s="27">
        <f>VALUE(庫存金額!AE5)</f>
        <v>12180858</v>
      </c>
      <c r="AL9" s="27">
        <f>VALUE(庫存金額!AF5)</f>
        <v>12077872</v>
      </c>
      <c r="AM9" s="27">
        <f>VALUE(庫存金額!AG5)</f>
        <v>12077872</v>
      </c>
      <c r="AN9" s="27">
        <f>VALUE(庫存金額!AH5)</f>
        <v>0</v>
      </c>
      <c r="AO9" s="27">
        <f>VALUE(庫存金額!AI5)</f>
        <v>7986887.9699999997</v>
      </c>
      <c r="AP9" s="16">
        <f t="shared" si="1"/>
        <v>1209.1650999999999</v>
      </c>
      <c r="AQ9" s="17">
        <f t="shared" si="2"/>
        <v>798.68879700000002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19873425.609999999</v>
      </c>
      <c r="E10" s="309">
        <f>HLOOKUP(MONTH(日期!$C$2),當年目標設定!$D$1:$O$33,8,TRUE)</f>
        <v>23584031.297240499</v>
      </c>
      <c r="F10" s="308">
        <f>HLOOKUP(MONTH(日期!$C$2),當年目標設定!$R$1:$AC$33,8,TRUE)</f>
        <v>24172739.147699688</v>
      </c>
      <c r="G10" s="308">
        <f>當年月推移!$P8</f>
        <v>27967341</v>
      </c>
      <c r="H10" s="308">
        <f>當年月推移!P42</f>
        <v>28762391</v>
      </c>
      <c r="I10" s="27">
        <f>VALUE(庫存金額!C6)</f>
        <v>30729986</v>
      </c>
      <c r="J10" s="27">
        <f>VALUE(庫存金額!D6)</f>
        <v>26472192</v>
      </c>
      <c r="K10" s="27">
        <f>VALUE(庫存金額!E6)</f>
        <v>26470657</v>
      </c>
      <c r="L10" s="27">
        <f>VALUE(庫存金額!F6)</f>
        <v>27295727</v>
      </c>
      <c r="M10" s="27">
        <f>VALUE(庫存金額!G6)</f>
        <v>26967776</v>
      </c>
      <c r="N10" s="27">
        <f>VALUE(庫存金額!H6)</f>
        <v>26485286</v>
      </c>
      <c r="O10" s="27">
        <f>VALUE(庫存金額!I6)</f>
        <v>25674245</v>
      </c>
      <c r="P10" s="27">
        <f>VALUE(庫存金額!J6)</f>
        <v>27454217</v>
      </c>
      <c r="Q10" s="27">
        <f>VALUE(庫存金額!K6)</f>
        <v>24496494</v>
      </c>
      <c r="R10" s="27">
        <f>VALUE(庫存金額!L6)</f>
        <v>24494918</v>
      </c>
      <c r="S10" s="27">
        <f>VALUE(庫存金額!M6)</f>
        <v>24146496</v>
      </c>
      <c r="T10" s="27">
        <f>VALUE(庫存金額!N6)</f>
        <v>25152355</v>
      </c>
      <c r="U10" s="27">
        <f>VALUE(庫存金額!O6)</f>
        <v>25925244</v>
      </c>
      <c r="V10" s="27">
        <f>VALUE(庫存金額!P6)</f>
        <v>26424760</v>
      </c>
      <c r="W10" s="27">
        <f>VALUE(庫存金額!Q6)</f>
        <v>31078834</v>
      </c>
      <c r="X10" s="27">
        <f>VALUE(庫存金額!R6)</f>
        <v>27776196</v>
      </c>
      <c r="Y10" s="27">
        <f>VALUE(庫存金額!S6)</f>
        <v>28001606</v>
      </c>
      <c r="Z10" s="27">
        <f>VALUE(庫存金額!T6)</f>
        <v>27257355</v>
      </c>
      <c r="AA10" s="27">
        <f>VALUE(庫存金額!U6)</f>
        <v>29506341</v>
      </c>
      <c r="AB10" s="27">
        <f>VALUE(庫存金額!V6)</f>
        <v>29391837</v>
      </c>
      <c r="AC10" s="27">
        <f>VALUE(庫存金額!W6)</f>
        <v>28849272</v>
      </c>
      <c r="AD10" s="27">
        <f>VALUE(庫存金額!X6)</f>
        <v>29074912</v>
      </c>
      <c r="AE10" s="27">
        <f>VALUE(庫存金額!Y6)</f>
        <v>25779491</v>
      </c>
      <c r="AF10" s="27">
        <f>VALUE(庫存金額!Z6)</f>
        <v>25779369</v>
      </c>
      <c r="AG10" s="27">
        <f>VALUE(庫存金額!AA6)</f>
        <v>27217739</v>
      </c>
      <c r="AH10" s="27">
        <f>VALUE(庫存金額!AB6)</f>
        <v>28825182</v>
      </c>
      <c r="AI10" s="27">
        <f>VALUE(庫存金額!AC6)</f>
        <v>29976644</v>
      </c>
      <c r="AJ10" s="27">
        <f>VALUE(庫存金額!AD6)</f>
        <v>29885317</v>
      </c>
      <c r="AK10" s="27">
        <f>VALUE(庫存金額!AE6)</f>
        <v>33927794</v>
      </c>
      <c r="AL10" s="27">
        <f>VALUE(庫存金額!AF6)</f>
        <v>31184822</v>
      </c>
      <c r="AM10" s="27">
        <f>VALUE(庫存金額!AG6)</f>
        <v>31184822</v>
      </c>
      <c r="AN10" s="27">
        <f>VALUE(庫存金額!AH6)</f>
        <v>0</v>
      </c>
      <c r="AO10" s="27">
        <f>VALUE(庫存金額!AI6)</f>
        <v>27835093.100000001</v>
      </c>
      <c r="AP10" s="16">
        <f t="shared" si="1"/>
        <v>2988.5317</v>
      </c>
      <c r="AQ10" s="17">
        <f t="shared" si="2"/>
        <v>2783.5093100000004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11593367.869999999</v>
      </c>
      <c r="E12" s="309">
        <f>HLOOKUP(MONTH(日期!$C$2),當年目標設定!$D$1:$O$33,10,TRUE)</f>
        <v>11879494.192280779</v>
      </c>
      <c r="F12" s="308">
        <f>HLOOKUP(MONTH(日期!$C$2),當年目標設定!$R$1:$AC$33,10,TRUE)</f>
        <v>11894107.950578224</v>
      </c>
      <c r="G12" s="308">
        <f>當年月推移!$P10</f>
        <v>11819400</v>
      </c>
      <c r="H12" s="308">
        <f>當年月推移!P44</f>
        <v>12791237</v>
      </c>
      <c r="I12" s="27">
        <f>VALUE(庫存金額!C8)</f>
        <v>16566721</v>
      </c>
      <c r="J12" s="27">
        <f>VALUE(庫存金額!D8)</f>
        <v>11926504</v>
      </c>
      <c r="K12" s="27">
        <f>VALUE(庫存金額!E8)</f>
        <v>11926504</v>
      </c>
      <c r="L12" s="27">
        <f>VALUE(庫存金額!F8)</f>
        <v>10630005</v>
      </c>
      <c r="M12" s="27">
        <f>VALUE(庫存金額!G8)</f>
        <v>12047959</v>
      </c>
      <c r="N12" s="27">
        <f>VALUE(庫存金額!H8)</f>
        <v>12548695</v>
      </c>
      <c r="O12" s="27">
        <f>VALUE(庫存金額!I8)</f>
        <v>11505271</v>
      </c>
      <c r="P12" s="27">
        <f>VALUE(庫存金額!J8)</f>
        <v>12693844</v>
      </c>
      <c r="Q12" s="27">
        <f>VALUE(庫存金額!K8)</f>
        <v>9175844</v>
      </c>
      <c r="R12" s="27">
        <f>VALUE(庫存金額!L8)</f>
        <v>9175844</v>
      </c>
      <c r="S12" s="27">
        <f>VALUE(庫存金額!M8)</f>
        <v>7521757</v>
      </c>
      <c r="T12" s="27">
        <f>VALUE(庫存金額!N8)</f>
        <v>9421404</v>
      </c>
      <c r="U12" s="27">
        <f>VALUE(庫存金額!O8)</f>
        <v>12129496</v>
      </c>
      <c r="V12" s="27">
        <f>VALUE(庫存金額!P8)</f>
        <v>12256803</v>
      </c>
      <c r="W12" s="27">
        <f>VALUE(庫存金額!Q8)</f>
        <v>13378491</v>
      </c>
      <c r="X12" s="27">
        <f>VALUE(庫存金額!R8)</f>
        <v>9528218</v>
      </c>
      <c r="Y12" s="27">
        <f>VALUE(庫存金額!S8)</f>
        <v>9525364</v>
      </c>
      <c r="Z12" s="27">
        <f>VALUE(庫存金額!T8)</f>
        <v>9466317</v>
      </c>
      <c r="AA12" s="27">
        <f>VALUE(庫存金額!U8)</f>
        <v>11132321</v>
      </c>
      <c r="AB12" s="27">
        <f>VALUE(庫存金額!V8)</f>
        <v>12078148</v>
      </c>
      <c r="AC12" s="27">
        <f>VALUE(庫存金額!W8)</f>
        <v>11889761</v>
      </c>
      <c r="AD12" s="27">
        <f>VALUE(庫存金額!X8)</f>
        <v>13197676</v>
      </c>
      <c r="AE12" s="27">
        <f>VALUE(庫存金額!Y8)</f>
        <v>9377225</v>
      </c>
      <c r="AF12" s="27">
        <f>VALUE(庫存金額!Z8)</f>
        <v>9372893</v>
      </c>
      <c r="AG12" s="27">
        <f>VALUE(庫存金額!AA8)</f>
        <v>9512918</v>
      </c>
      <c r="AH12" s="27">
        <f>VALUE(庫存金額!AB8)</f>
        <v>11509064</v>
      </c>
      <c r="AI12" s="27">
        <f>VALUE(庫存金額!AC8)</f>
        <v>13122873</v>
      </c>
      <c r="AJ12" s="27">
        <f>VALUE(庫存金額!AD8)</f>
        <v>11455844</v>
      </c>
      <c r="AK12" s="27">
        <f>VALUE(庫存金額!AE8)</f>
        <v>18663222</v>
      </c>
      <c r="AL12" s="27">
        <f>VALUE(庫存金額!AF8)</f>
        <v>15490019</v>
      </c>
      <c r="AM12" s="27">
        <f>VALUE(庫存金額!AG8)</f>
        <v>15490019</v>
      </c>
      <c r="AN12" s="27">
        <f>VALUE(庫存金額!AH8)</f>
        <v>0</v>
      </c>
      <c r="AO12" s="27">
        <f>VALUE(庫存金額!AI8)</f>
        <v>11732807.23</v>
      </c>
      <c r="AP12" s="16">
        <f t="shared" si="1"/>
        <v>1145.5844</v>
      </c>
      <c r="AQ12" s="17">
        <f t="shared" si="2"/>
        <v>1173.2807230000001</v>
      </c>
      <c r="AR12" s="22"/>
    </row>
    <row r="13" spans="1:44" s="14" customFormat="1" ht="21.95" customHeight="1">
      <c r="A13" s="23"/>
      <c r="B13" s="620" t="s">
        <v>17</v>
      </c>
      <c r="C13" s="621"/>
      <c r="D13" s="323">
        <f t="shared" ref="D13:I13" si="5">SUM(D14:D17)</f>
        <v>11788373.16</v>
      </c>
      <c r="E13" s="323">
        <f t="shared" si="5"/>
        <v>7696036.3402594998</v>
      </c>
      <c r="F13" s="323">
        <f t="shared" si="5"/>
        <v>6872625.3298003124</v>
      </c>
      <c r="G13" s="323">
        <f t="shared" si="5"/>
        <v>2019088</v>
      </c>
      <c r="H13" s="323">
        <f t="shared" si="5"/>
        <v>2155727</v>
      </c>
      <c r="I13" s="20">
        <f t="shared" si="5"/>
        <v>8780944</v>
      </c>
      <c r="J13" s="20">
        <f t="shared" ref="J13:AO13" si="6">SUM(J14:J17)</f>
        <v>7468467</v>
      </c>
      <c r="K13" s="20">
        <f t="shared" si="6"/>
        <v>7468467</v>
      </c>
      <c r="L13" s="20">
        <f t="shared" si="6"/>
        <v>7088296</v>
      </c>
      <c r="M13" s="20">
        <f t="shared" si="6"/>
        <v>7910357</v>
      </c>
      <c r="N13" s="20">
        <f t="shared" si="6"/>
        <v>8072237</v>
      </c>
      <c r="O13" s="20">
        <f t="shared" si="6"/>
        <v>8301000</v>
      </c>
      <c r="P13" s="20">
        <f t="shared" si="6"/>
        <v>8566327</v>
      </c>
      <c r="Q13" s="20">
        <f t="shared" si="6"/>
        <v>7762476</v>
      </c>
      <c r="R13" s="20">
        <f t="shared" si="6"/>
        <v>7762476</v>
      </c>
      <c r="S13" s="20">
        <f t="shared" si="6"/>
        <v>7252784</v>
      </c>
      <c r="T13" s="20">
        <f t="shared" si="6"/>
        <v>6832868</v>
      </c>
      <c r="U13" s="20">
        <f t="shared" si="6"/>
        <v>8638716</v>
      </c>
      <c r="V13" s="20">
        <f t="shared" si="6"/>
        <v>9668788</v>
      </c>
      <c r="W13" s="20">
        <f t="shared" si="6"/>
        <v>9587847</v>
      </c>
      <c r="X13" s="20">
        <f t="shared" si="6"/>
        <v>8636439</v>
      </c>
      <c r="Y13" s="20">
        <f t="shared" si="6"/>
        <v>9193936</v>
      </c>
      <c r="Z13" s="20">
        <f t="shared" si="6"/>
        <v>8370671</v>
      </c>
      <c r="AA13" s="20">
        <f t="shared" si="6"/>
        <v>9096934</v>
      </c>
      <c r="AB13" s="20">
        <f t="shared" si="6"/>
        <v>9196821</v>
      </c>
      <c r="AC13" s="20">
        <f t="shared" si="6"/>
        <v>9794982</v>
      </c>
      <c r="AD13" s="20">
        <f t="shared" si="6"/>
        <v>9305103</v>
      </c>
      <c r="AE13" s="20">
        <f t="shared" si="6"/>
        <v>8252384</v>
      </c>
      <c r="AF13" s="20">
        <f t="shared" si="6"/>
        <v>8252384</v>
      </c>
      <c r="AG13" s="20">
        <f t="shared" si="6"/>
        <v>8018591</v>
      </c>
      <c r="AH13" s="20">
        <f t="shared" si="6"/>
        <v>7685519</v>
      </c>
      <c r="AI13" s="20">
        <f t="shared" si="6"/>
        <v>9224354</v>
      </c>
      <c r="AJ13" s="20">
        <f t="shared" si="6"/>
        <v>9718430</v>
      </c>
      <c r="AK13" s="20">
        <f t="shared" si="6"/>
        <v>9604811</v>
      </c>
      <c r="AL13" s="20">
        <f t="shared" si="6"/>
        <v>8741700</v>
      </c>
      <c r="AM13" s="20">
        <f t="shared" si="6"/>
        <v>8741700</v>
      </c>
      <c r="AN13" s="20">
        <f t="shared" si="6"/>
        <v>0</v>
      </c>
      <c r="AO13" s="20">
        <f t="shared" si="6"/>
        <v>8483768.0300000012</v>
      </c>
      <c r="AP13" s="16">
        <f t="shared" si="1"/>
        <v>971.84299999999996</v>
      </c>
      <c r="AQ13" s="17">
        <f t="shared" si="2"/>
        <v>848.37680300000011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2055329.9</v>
      </c>
      <c r="E15" s="309">
        <f>HLOOKUP(MONTH(日期!$C$2),當年目標設定!$D$1:$O$33,13,TRUE)</f>
        <v>2377616.0499999998</v>
      </c>
      <c r="F15" s="308">
        <f>HLOOKUP(MONTH(日期!$C$2),當年目標設定!$R$1:$AC$33,13,TRUE)</f>
        <v>1694572.5593750002</v>
      </c>
      <c r="G15" s="308">
        <f>當年月推移!P13</f>
        <v>1663365</v>
      </c>
      <c r="H15" s="308">
        <f>當年月推移!P47</f>
        <v>1799289</v>
      </c>
      <c r="I15" s="27">
        <f>VALUE(庫存金額!C10)</f>
        <v>2724770</v>
      </c>
      <c r="J15" s="27">
        <f>VALUE(庫存金額!D10)</f>
        <v>2613665</v>
      </c>
      <c r="K15" s="27">
        <f>VALUE(庫存金額!E10)</f>
        <v>2613665</v>
      </c>
      <c r="L15" s="27">
        <f>VALUE(庫存金額!F10)</f>
        <v>2479335</v>
      </c>
      <c r="M15" s="27">
        <f>VALUE(庫存金額!G10)</f>
        <v>2402380</v>
      </c>
      <c r="N15" s="27">
        <f>VALUE(庫存金額!H10)</f>
        <v>2303855</v>
      </c>
      <c r="O15" s="27">
        <f>VALUE(庫存金額!I10)</f>
        <v>3004820</v>
      </c>
      <c r="P15" s="27">
        <f>VALUE(庫存金額!J10)</f>
        <v>2895505</v>
      </c>
      <c r="Q15" s="27">
        <f>VALUE(庫存金額!K10)</f>
        <v>2761000</v>
      </c>
      <c r="R15" s="27">
        <f>VALUE(庫存金額!L10)</f>
        <v>2761000</v>
      </c>
      <c r="S15" s="27">
        <f>VALUE(庫存金額!M10)</f>
        <v>2790040</v>
      </c>
      <c r="T15" s="27">
        <f>VALUE(庫存金額!N10)</f>
        <v>2703101</v>
      </c>
      <c r="U15" s="27">
        <f>VALUE(庫存金額!O10)</f>
        <v>2652531</v>
      </c>
      <c r="V15" s="27">
        <f>VALUE(庫存金額!P10)</f>
        <v>2934671</v>
      </c>
      <c r="W15" s="27">
        <f>VALUE(庫存金額!Q10)</f>
        <v>2834346</v>
      </c>
      <c r="X15" s="27">
        <f>VALUE(庫存金額!R10)</f>
        <v>2699526</v>
      </c>
      <c r="Y15" s="27">
        <f>VALUE(庫存金額!S10)</f>
        <v>2778346</v>
      </c>
      <c r="Z15" s="27">
        <f>VALUE(庫存金額!T10)</f>
        <v>2653961</v>
      </c>
      <c r="AA15" s="27">
        <f>VALUE(庫存金額!U10)</f>
        <v>2467408</v>
      </c>
      <c r="AB15" s="27">
        <f>VALUE(庫存金額!V10)</f>
        <v>2911678</v>
      </c>
      <c r="AC15" s="27">
        <f>VALUE(庫存金額!W10)</f>
        <v>2907113</v>
      </c>
      <c r="AD15" s="27">
        <f>VALUE(庫存金額!X10)</f>
        <v>2743408</v>
      </c>
      <c r="AE15" s="27">
        <f>VALUE(庫存金額!Y10)</f>
        <v>2596023</v>
      </c>
      <c r="AF15" s="27">
        <f>VALUE(庫存金額!Z10)</f>
        <v>2596023</v>
      </c>
      <c r="AG15" s="27">
        <f>VALUE(庫存金額!AA10)</f>
        <v>2354314</v>
      </c>
      <c r="AH15" s="27">
        <f>VALUE(庫存金額!AB10)</f>
        <v>2144939</v>
      </c>
      <c r="AI15" s="27">
        <f>VALUE(庫存金額!AC10)</f>
        <v>1960034</v>
      </c>
      <c r="AJ15" s="27">
        <f>VALUE(庫存金額!AD10)</f>
        <v>2386159</v>
      </c>
      <c r="AK15" s="27">
        <f>VALUE(庫存金額!AE10)</f>
        <v>2323309</v>
      </c>
      <c r="AL15" s="27">
        <f>VALUE(庫存金額!AF10)</f>
        <v>2219395</v>
      </c>
      <c r="AM15" s="27">
        <f>VALUE(庫存金額!AG10)</f>
        <v>2219395</v>
      </c>
      <c r="AN15" s="27">
        <f>VALUE(庫存金額!AH10)</f>
        <v>0</v>
      </c>
      <c r="AO15" s="27">
        <f>VALUE(庫存金額!AI10)</f>
        <v>2594700.48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226225.1</v>
      </c>
      <c r="E16" s="309">
        <f>HLOOKUP(MONTH(日期!$C$2),當年目標設定!$D$1:$O$33,14,TRUE)</f>
        <v>231017.05000000002</v>
      </c>
      <c r="F16" s="308">
        <f>HLOOKUP(MONTH(日期!$C$2),當年目標設定!$R$1:$AC$33,14,TRUE)</f>
        <v>282921.08187500003</v>
      </c>
      <c r="G16" s="308">
        <f>當年月推移!P15</f>
        <v>355723</v>
      </c>
      <c r="H16" s="308">
        <f>當年月推移!P49</f>
        <v>356438</v>
      </c>
      <c r="I16" s="232">
        <f>VALUE(庫存金額!C14)</f>
        <v>391188</v>
      </c>
      <c r="J16" s="232">
        <f>VALUE(庫存金額!D14)</f>
        <v>389798</v>
      </c>
      <c r="K16" s="232">
        <f>VALUE(庫存金額!E14)</f>
        <v>389798</v>
      </c>
      <c r="L16" s="232">
        <f>VALUE(庫存金額!F14)</f>
        <v>387098</v>
      </c>
      <c r="M16" s="232">
        <f>VALUE(庫存金額!G14)</f>
        <v>386018</v>
      </c>
      <c r="N16" s="232">
        <f>VALUE(庫存金額!H14)</f>
        <v>384398</v>
      </c>
      <c r="O16" s="232">
        <f>VALUE(庫存金額!I14)</f>
        <v>382778</v>
      </c>
      <c r="P16" s="232">
        <f>VALUE(庫存金額!J14)</f>
        <v>375978</v>
      </c>
      <c r="Q16" s="232">
        <f>VALUE(庫存金額!K14)</f>
        <v>375978</v>
      </c>
      <c r="R16" s="232">
        <f>VALUE(庫存金額!L14)</f>
        <v>375978</v>
      </c>
      <c r="S16" s="232">
        <f>VALUE(庫存金額!M14)</f>
        <v>373818</v>
      </c>
      <c r="T16" s="232">
        <f>VALUE(庫存金額!N14)</f>
        <v>371658</v>
      </c>
      <c r="U16" s="232">
        <f>VALUE(庫存金額!O14)</f>
        <v>368998</v>
      </c>
      <c r="V16" s="232">
        <f>VALUE(庫存金額!P14)</f>
        <v>368458</v>
      </c>
      <c r="W16" s="232">
        <f>VALUE(庫存金額!Q14)</f>
        <v>366838</v>
      </c>
      <c r="X16" s="232">
        <f>VALUE(庫存金額!R14)</f>
        <v>356718</v>
      </c>
      <c r="Y16" s="232">
        <f>VALUE(庫存金額!S14)</f>
        <v>356718</v>
      </c>
      <c r="Z16" s="232">
        <f>VALUE(庫存金額!T14)</f>
        <v>355638</v>
      </c>
      <c r="AA16" s="232">
        <f>VALUE(庫存金額!U14)</f>
        <v>345438</v>
      </c>
      <c r="AB16" s="232">
        <f>VALUE(庫存金額!V14)</f>
        <v>344898</v>
      </c>
      <c r="AC16" s="232">
        <f>VALUE(庫存金額!W14)</f>
        <v>344358</v>
      </c>
      <c r="AD16" s="232">
        <f>VALUE(庫存金額!X14)</f>
        <v>342198</v>
      </c>
      <c r="AE16" s="232">
        <f>VALUE(庫存金額!Y14)</f>
        <v>342198</v>
      </c>
      <c r="AF16" s="232">
        <f>VALUE(庫存金額!Z14)</f>
        <v>342198</v>
      </c>
      <c r="AG16" s="232">
        <f>VALUE(庫存金額!AA14)</f>
        <v>341138</v>
      </c>
      <c r="AH16" s="232">
        <f>VALUE(庫存金額!AB14)</f>
        <v>338438</v>
      </c>
      <c r="AI16" s="232">
        <f>VALUE(庫存金額!AC14)</f>
        <v>336298</v>
      </c>
      <c r="AJ16" s="232">
        <f>VALUE(庫存金額!AD14)</f>
        <v>334678</v>
      </c>
      <c r="AK16" s="232">
        <f>VALUE(庫存金額!AE14)</f>
        <v>324478</v>
      </c>
      <c r="AL16" s="232">
        <f>VALUE(庫存金額!AF14)</f>
        <v>322858</v>
      </c>
      <c r="AM16" s="232">
        <f>VALUE(庫存金額!AG14)</f>
        <v>322858</v>
      </c>
      <c r="AN16" s="232">
        <f>VALUE(庫存金額!AH14)</f>
        <v>0</v>
      </c>
      <c r="AO16" s="232">
        <f>VALUE(庫存金額!AI14)</f>
        <v>359351.23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9506818.1600000001</v>
      </c>
      <c r="E17" s="309">
        <f>HLOOKUP(MONTH(日期!$C$2),當年目標設定!$D$1:$O$33,15,TRUE)</f>
        <v>5087403.2402595002</v>
      </c>
      <c r="F17" s="308">
        <f>HLOOKUP(MONTH(日期!$C$2),當年目標設定!$R$1:$AC$33,15,TRUE)</f>
        <v>4895131.6885503121</v>
      </c>
      <c r="G17" s="308">
        <f>當年月推移!P33</f>
        <v>0</v>
      </c>
      <c r="H17" s="308">
        <f>當年月推移!P67</f>
        <v>0</v>
      </c>
      <c r="I17" s="232">
        <f>VALUE(庫存金額!C24)</f>
        <v>5664986</v>
      </c>
      <c r="J17" s="232">
        <f>VALUE(庫存金額!D24)</f>
        <v>4465004</v>
      </c>
      <c r="K17" s="232">
        <f>VALUE(庫存金額!E24)</f>
        <v>4465004</v>
      </c>
      <c r="L17" s="232">
        <f>VALUE(庫存金額!F24)</f>
        <v>4221863</v>
      </c>
      <c r="M17" s="232">
        <f>VALUE(庫存金額!G24)</f>
        <v>5121959</v>
      </c>
      <c r="N17" s="232">
        <f>VALUE(庫存金額!H24)</f>
        <v>5383984</v>
      </c>
      <c r="O17" s="232">
        <f>VALUE(庫存金額!I24)</f>
        <v>4913402</v>
      </c>
      <c r="P17" s="232">
        <f>VALUE(庫存金額!J24)</f>
        <v>5294844</v>
      </c>
      <c r="Q17" s="232">
        <f>VALUE(庫存金額!K24)</f>
        <v>4625498</v>
      </c>
      <c r="R17" s="232">
        <f>VALUE(庫存金額!L24)</f>
        <v>4625498</v>
      </c>
      <c r="S17" s="232">
        <f>VALUE(庫存金額!M24)</f>
        <v>4088926</v>
      </c>
      <c r="T17" s="232">
        <f>VALUE(庫存金額!N24)</f>
        <v>3758109</v>
      </c>
      <c r="U17" s="232">
        <f>VALUE(庫存金額!O24)</f>
        <v>5617187</v>
      </c>
      <c r="V17" s="232">
        <f>VALUE(庫存金額!P24)</f>
        <v>6365659</v>
      </c>
      <c r="W17" s="232">
        <f>VALUE(庫存金額!Q24)</f>
        <v>6386663</v>
      </c>
      <c r="X17" s="232">
        <f>VALUE(庫存金額!R24)</f>
        <v>5580195</v>
      </c>
      <c r="Y17" s="232">
        <f>VALUE(庫存金額!S24)</f>
        <v>6058872</v>
      </c>
      <c r="Z17" s="232">
        <f>VALUE(庫存金額!T24)</f>
        <v>5361072</v>
      </c>
      <c r="AA17" s="232">
        <f>VALUE(庫存金額!U24)</f>
        <v>6284088</v>
      </c>
      <c r="AB17" s="232">
        <f>VALUE(庫存金額!V24)</f>
        <v>5940245</v>
      </c>
      <c r="AC17" s="232">
        <f>VALUE(庫存金額!W24)</f>
        <v>6543511</v>
      </c>
      <c r="AD17" s="232">
        <f>VALUE(庫存金額!X24)</f>
        <v>6219497</v>
      </c>
      <c r="AE17" s="232">
        <f>VALUE(庫存金額!Y24)</f>
        <v>5314163</v>
      </c>
      <c r="AF17" s="232">
        <f>VALUE(庫存金額!Z24)</f>
        <v>5314163</v>
      </c>
      <c r="AG17" s="232">
        <f>VALUE(庫存金額!AA24)</f>
        <v>5323139</v>
      </c>
      <c r="AH17" s="232">
        <f>VALUE(庫存金額!AB24)</f>
        <v>5202142</v>
      </c>
      <c r="AI17" s="232">
        <f>VALUE(庫存金額!AC24)</f>
        <v>6928022</v>
      </c>
      <c r="AJ17" s="232">
        <f>VALUE(庫存金額!AD24)</f>
        <v>6997593</v>
      </c>
      <c r="AK17" s="232">
        <f>VALUE(庫存金額!AE24)</f>
        <v>6957024</v>
      </c>
      <c r="AL17" s="232">
        <f>VALUE(庫存金額!AF24)</f>
        <v>6199447</v>
      </c>
      <c r="AM17" s="232">
        <f>VALUE(庫存金額!AG24)</f>
        <v>6199447</v>
      </c>
      <c r="AN17" s="232">
        <f>VALUE(庫存金額!AH24)</f>
        <v>0</v>
      </c>
      <c r="AO17" s="232">
        <f>VALUE(庫存金額!AI24)</f>
        <v>5529716.3200000003</v>
      </c>
    </row>
    <row r="18" spans="1:44" s="14" customFormat="1" ht="21.95" customHeight="1">
      <c r="A18" s="23"/>
      <c r="B18" s="628" t="s">
        <v>22</v>
      </c>
      <c r="C18" s="629"/>
      <c r="D18" s="324">
        <f t="shared" ref="D18:I18" si="7">SUM(D19:D25)</f>
        <v>282999887.38999999</v>
      </c>
      <c r="E18" s="517">
        <f t="shared" si="7"/>
        <v>286411857.72270411</v>
      </c>
      <c r="F18" s="324">
        <f t="shared" si="7"/>
        <v>280134860.21950591</v>
      </c>
      <c r="G18" s="317">
        <f t="shared" si="7"/>
        <v>190805619</v>
      </c>
      <c r="H18" s="317">
        <f t="shared" si="7"/>
        <v>195510018</v>
      </c>
      <c r="I18" s="237">
        <f t="shared" si="7"/>
        <v>238851428</v>
      </c>
      <c r="J18" s="237">
        <f t="shared" ref="J18:AO18" si="8">SUM(J19:J25)</f>
        <v>233888847</v>
      </c>
      <c r="K18" s="237">
        <f t="shared" si="8"/>
        <v>233888847</v>
      </c>
      <c r="L18" s="237">
        <f t="shared" si="8"/>
        <v>232730346</v>
      </c>
      <c r="M18" s="237">
        <f t="shared" si="8"/>
        <v>231067130</v>
      </c>
      <c r="N18" s="237">
        <f t="shared" si="8"/>
        <v>228377086</v>
      </c>
      <c r="O18" s="237">
        <f t="shared" si="8"/>
        <v>226247463</v>
      </c>
      <c r="P18" s="237">
        <f t="shared" si="8"/>
        <v>226670182</v>
      </c>
      <c r="Q18" s="237">
        <f t="shared" si="8"/>
        <v>222303822</v>
      </c>
      <c r="R18" s="237">
        <f t="shared" si="8"/>
        <v>222303764</v>
      </c>
      <c r="S18" s="237">
        <f t="shared" si="8"/>
        <v>220233769</v>
      </c>
      <c r="T18" s="237">
        <f t="shared" si="8"/>
        <v>217610747</v>
      </c>
      <c r="U18" s="237">
        <f t="shared" si="8"/>
        <v>218805176</v>
      </c>
      <c r="V18" s="237">
        <f t="shared" si="8"/>
        <v>219399570</v>
      </c>
      <c r="W18" s="237">
        <f t="shared" si="8"/>
        <v>220774134</v>
      </c>
      <c r="X18" s="237">
        <f t="shared" si="8"/>
        <v>216634060</v>
      </c>
      <c r="Y18" s="237">
        <f t="shared" si="8"/>
        <v>217623553</v>
      </c>
      <c r="Z18" s="237">
        <f t="shared" si="8"/>
        <v>216277383</v>
      </c>
      <c r="AA18" s="237">
        <f t="shared" si="8"/>
        <v>216611758</v>
      </c>
      <c r="AB18" s="237">
        <f t="shared" si="8"/>
        <v>216501895</v>
      </c>
      <c r="AC18" s="237">
        <f t="shared" si="8"/>
        <v>217381847</v>
      </c>
      <c r="AD18" s="237">
        <f t="shared" si="8"/>
        <v>220054286</v>
      </c>
      <c r="AE18" s="237">
        <f t="shared" si="8"/>
        <v>216220019</v>
      </c>
      <c r="AF18" s="237">
        <f t="shared" si="8"/>
        <v>216217336</v>
      </c>
      <c r="AG18" s="237">
        <f t="shared" si="8"/>
        <v>218135109</v>
      </c>
      <c r="AH18" s="237">
        <f t="shared" si="8"/>
        <v>218323325</v>
      </c>
      <c r="AI18" s="237">
        <f t="shared" si="8"/>
        <v>220611079</v>
      </c>
      <c r="AJ18" s="237">
        <f t="shared" si="8"/>
        <v>225935633</v>
      </c>
      <c r="AK18" s="237">
        <f t="shared" si="8"/>
        <v>226016086</v>
      </c>
      <c r="AL18" s="237">
        <f t="shared" si="8"/>
        <v>222289548</v>
      </c>
      <c r="AM18" s="237">
        <f t="shared" si="8"/>
        <v>222890443</v>
      </c>
      <c r="AN18" s="237">
        <f t="shared" si="8"/>
        <v>600895</v>
      </c>
      <c r="AO18" s="237">
        <f t="shared" si="8"/>
        <v>222608892.62</v>
      </c>
      <c r="AP18" s="16">
        <f>AJ18/10000</f>
        <v>22593.563300000002</v>
      </c>
      <c r="AQ18" s="17">
        <f>AO18/10000</f>
        <v>22260.889262000001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244365222.22999999</v>
      </c>
      <c r="E19" s="518">
        <f>HLOOKUP(MONTH(日期!$C$2),當年目標設定!$D$1:$O$33,17,TRUE)</f>
        <v>250245391.88903522</v>
      </c>
      <c r="F19" s="309">
        <f>HLOOKUP(MONTH(日期!$C$2),當年目標設定!$R$1:$AC$33,17,TRUE)</f>
        <v>245229079.10473263</v>
      </c>
      <c r="G19" s="308">
        <f>當年月推移!P17</f>
        <v>180917572</v>
      </c>
      <c r="H19" s="308">
        <f>當年月推移!P51</f>
        <v>185823884</v>
      </c>
      <c r="I19" s="27">
        <f>VALUE(庫存金額!C3)</f>
        <v>210284655</v>
      </c>
      <c r="J19" s="27">
        <f>VALUE(庫存金額!D3)</f>
        <v>207778436</v>
      </c>
      <c r="K19" s="27">
        <f>VALUE(庫存金額!E3)</f>
        <v>207778436</v>
      </c>
      <c r="L19" s="27">
        <f>VALUE(庫存金額!F3)</f>
        <v>208003509</v>
      </c>
      <c r="M19" s="27">
        <f>VALUE(庫存金額!G3)</f>
        <v>205894105</v>
      </c>
      <c r="N19" s="27">
        <f>VALUE(庫存金額!H3)</f>
        <v>203354613</v>
      </c>
      <c r="O19" s="27">
        <f>VALUE(庫存金額!I3)</f>
        <v>201140250</v>
      </c>
      <c r="P19" s="27">
        <f>VALUE(庫存金額!J3)</f>
        <v>200349697</v>
      </c>
      <c r="Q19" s="27">
        <f>VALUE(庫存金額!K3)</f>
        <v>197986159</v>
      </c>
      <c r="R19" s="27">
        <f>VALUE(庫存金額!L3)</f>
        <v>197986101</v>
      </c>
      <c r="S19" s="27">
        <f>VALUE(庫存金額!M3)</f>
        <v>195922478</v>
      </c>
      <c r="T19" s="27">
        <f>VALUE(庫存金額!N3)</f>
        <v>193337152</v>
      </c>
      <c r="U19" s="27">
        <f>VALUE(庫存金額!O3)</f>
        <v>193880804</v>
      </c>
      <c r="V19" s="27">
        <f>VALUE(庫存金額!P3)</f>
        <v>194423444</v>
      </c>
      <c r="W19" s="27">
        <f>VALUE(庫存金額!Q3)</f>
        <v>194623084</v>
      </c>
      <c r="X19" s="27">
        <f>VALUE(庫存金額!R3)</f>
        <v>192672424</v>
      </c>
      <c r="Y19" s="27">
        <f>VALUE(庫存金額!S3)</f>
        <v>193567525</v>
      </c>
      <c r="Z19" s="27">
        <f>VALUE(庫存金額!T3)</f>
        <v>192625340</v>
      </c>
      <c r="AA19" s="27">
        <f>VALUE(庫存金額!U3)</f>
        <v>192688299</v>
      </c>
      <c r="AB19" s="27">
        <f>VALUE(庫存金額!V3)</f>
        <v>192641325</v>
      </c>
      <c r="AC19" s="27">
        <f>VALUE(庫存金額!W3)</f>
        <v>192752134</v>
      </c>
      <c r="AD19" s="27">
        <f>VALUE(庫存金額!X3)</f>
        <v>194467795</v>
      </c>
      <c r="AE19" s="27">
        <f>VALUE(庫存金額!Y3)</f>
        <v>192642817</v>
      </c>
      <c r="AF19" s="27">
        <f>VALUE(庫存金額!Z3)</f>
        <v>192640134</v>
      </c>
      <c r="AG19" s="27">
        <f>VALUE(庫存金額!AA3)</f>
        <v>192664076</v>
      </c>
      <c r="AH19" s="27">
        <f>VALUE(庫存金額!AB3)</f>
        <v>193299267</v>
      </c>
      <c r="AI19" s="27">
        <f>VALUE(庫存金額!AC3)</f>
        <v>194164371</v>
      </c>
      <c r="AJ19" s="27">
        <f>VALUE(庫存金額!AD3)</f>
        <v>196653214</v>
      </c>
      <c r="AK19" s="27">
        <f>VALUE(庫存金額!AE3)</f>
        <v>195763158</v>
      </c>
      <c r="AL19" s="27">
        <f>VALUE(庫存金額!AF3)</f>
        <v>193760399</v>
      </c>
      <c r="AM19" s="27">
        <f>VALUE(庫存金額!AG3)</f>
        <v>194361294</v>
      </c>
      <c r="AN19" s="27">
        <f>VALUE(庫存金額!AH3)</f>
        <v>600895</v>
      </c>
      <c r="AO19" s="27">
        <f>VALUE(庫存金額!AI3)</f>
        <v>197100209.52000001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1542560.16</v>
      </c>
      <c r="E20" s="518">
        <f>HLOOKUP(MONTH(日期!$C$2),當年目標設定!$D$1:$O$33,18,TRUE)</f>
        <v>1863588.0502068053</v>
      </c>
      <c r="F20" s="309">
        <f>HLOOKUP(MONTH(日期!$C$2),當年目標設定!$R$1:$AC$33,18,TRUE)</f>
        <v>1800872.3129224377</v>
      </c>
      <c r="G20" s="308">
        <f>當年月推移!P18</f>
        <v>1835106</v>
      </c>
      <c r="H20" s="308">
        <f>當年月推移!P52</f>
        <v>1735849</v>
      </c>
      <c r="I20" s="232">
        <f>VALUE(庫存金額!C13)</f>
        <v>1804630</v>
      </c>
      <c r="J20" s="232">
        <f>VALUE(庫存金額!D13)</f>
        <v>1260531</v>
      </c>
      <c r="K20" s="232">
        <f>VALUE(庫存金額!E13)</f>
        <v>1260531</v>
      </c>
      <c r="L20" s="232">
        <f>VALUE(庫存金額!F13)</f>
        <v>924138</v>
      </c>
      <c r="M20" s="232">
        <f>VALUE(庫存金額!G13)</f>
        <v>1314024</v>
      </c>
      <c r="N20" s="232">
        <f>VALUE(庫存金額!H13)</f>
        <v>1448735</v>
      </c>
      <c r="O20" s="232">
        <f>VALUE(庫存金額!I13)</f>
        <v>1932756</v>
      </c>
      <c r="P20" s="232">
        <f>VALUE(庫存金額!J13)</f>
        <v>2172787</v>
      </c>
      <c r="Q20" s="232">
        <f>VALUE(庫存金額!K13)</f>
        <v>1647271</v>
      </c>
      <c r="R20" s="232">
        <f>VALUE(庫存金額!L13)</f>
        <v>1647271</v>
      </c>
      <c r="S20" s="232">
        <f>VALUE(庫存金額!M13)</f>
        <v>1641946</v>
      </c>
      <c r="T20" s="232">
        <f>VALUE(庫存金額!N13)</f>
        <v>1944787</v>
      </c>
      <c r="U20" s="232">
        <f>VALUE(庫存金額!O13)</f>
        <v>1836348</v>
      </c>
      <c r="V20" s="232">
        <f>VALUE(庫存金額!P13)</f>
        <v>1995647</v>
      </c>
      <c r="W20" s="232">
        <f>VALUE(庫存金額!Q13)</f>
        <v>1791304</v>
      </c>
      <c r="X20" s="232">
        <f>VALUE(庫存金額!R13)</f>
        <v>1206628</v>
      </c>
      <c r="Y20" s="232">
        <f>VALUE(庫存金額!S13)</f>
        <v>1206628</v>
      </c>
      <c r="Z20" s="232">
        <f>VALUE(庫存金額!T13)</f>
        <v>947494</v>
      </c>
      <c r="AA20" s="232">
        <f>VALUE(庫存金額!U13)</f>
        <v>1010130</v>
      </c>
      <c r="AB20" s="232">
        <f>VALUE(庫存金額!V13)</f>
        <v>757692</v>
      </c>
      <c r="AC20" s="232">
        <f>VALUE(庫存金額!W13)</f>
        <v>1337769</v>
      </c>
      <c r="AD20" s="232">
        <f>VALUE(庫存金額!X13)</f>
        <v>1652259</v>
      </c>
      <c r="AE20" s="232">
        <f>VALUE(庫存金額!Y13)</f>
        <v>1132187</v>
      </c>
      <c r="AF20" s="232">
        <f>VALUE(庫存金額!Z13)</f>
        <v>1132187</v>
      </c>
      <c r="AG20" s="232">
        <f>VALUE(庫存金額!AA13)</f>
        <v>1353191</v>
      </c>
      <c r="AH20" s="232">
        <f>VALUE(庫存金額!AB13)</f>
        <v>832556</v>
      </c>
      <c r="AI20" s="232">
        <f>VALUE(庫存金額!AC13)</f>
        <v>929424</v>
      </c>
      <c r="AJ20" s="232">
        <f>VALUE(庫存金額!AD13)</f>
        <v>1565115</v>
      </c>
      <c r="AK20" s="232">
        <f>VALUE(庫存金額!AE13)</f>
        <v>2430060</v>
      </c>
      <c r="AL20" s="232">
        <f>VALUE(庫存金額!AF13)</f>
        <v>2070317</v>
      </c>
      <c r="AM20" s="232">
        <f>VALUE(庫存金額!AG13)</f>
        <v>2070317</v>
      </c>
      <c r="AN20" s="232">
        <f>VALUE(庫存金額!AH13)</f>
        <v>0</v>
      </c>
      <c r="AO20" s="232">
        <f>VALUE(庫存金額!AI13)</f>
        <v>1492150.32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20431667.68</v>
      </c>
      <c r="E21" s="518">
        <f>HLOOKUP(MONTH(日期!$C$2),當年目標設定!$D$1:$O$33,19,TRUE)</f>
        <v>17454452.627503615</v>
      </c>
      <c r="F21" s="309">
        <f>HLOOKUP(MONTH(日期!$C$2),當年目標設定!$R$1:$AC$33,19,TRUE)</f>
        <v>16651700.771484382</v>
      </c>
      <c r="G21" s="308">
        <f>當年月推移!P19</f>
        <v>14160</v>
      </c>
      <c r="H21" s="308">
        <f>當年月推移!P53</f>
        <v>14160</v>
      </c>
      <c r="I21" s="232">
        <f>VALUE(庫存金額!C18)</f>
        <v>7162266</v>
      </c>
      <c r="J21" s="232">
        <f>VALUE(庫存金額!D18)</f>
        <v>7138089</v>
      </c>
      <c r="K21" s="232">
        <f>VALUE(庫存金額!E18)</f>
        <v>7138089</v>
      </c>
      <c r="L21" s="232">
        <f>VALUE(庫存金額!F18)</f>
        <v>7126095</v>
      </c>
      <c r="M21" s="232">
        <f>VALUE(庫存金額!G18)</f>
        <v>7123829</v>
      </c>
      <c r="N21" s="232">
        <f>VALUE(庫存金額!H18)</f>
        <v>7114995</v>
      </c>
      <c r="O21" s="232">
        <f>VALUE(庫存金額!I18)</f>
        <v>7114195</v>
      </c>
      <c r="P21" s="232">
        <f>VALUE(庫存金額!J18)</f>
        <v>7091636</v>
      </c>
      <c r="Q21" s="232">
        <f>VALUE(庫存金額!K18)</f>
        <v>7085963</v>
      </c>
      <c r="R21" s="232">
        <f>VALUE(庫存金額!L18)</f>
        <v>7085963</v>
      </c>
      <c r="S21" s="232">
        <f>VALUE(庫存金額!M18)</f>
        <v>7102887</v>
      </c>
      <c r="T21" s="232">
        <f>VALUE(庫存金額!N18)</f>
        <v>7079111</v>
      </c>
      <c r="U21" s="232">
        <f>VALUE(庫存金額!O18)</f>
        <v>7029744</v>
      </c>
      <c r="V21" s="232">
        <f>VALUE(庫存金額!P18)</f>
        <v>7010288</v>
      </c>
      <c r="W21" s="232">
        <f>VALUE(庫存金額!Q18)</f>
        <v>6992440</v>
      </c>
      <c r="X21" s="232">
        <f>VALUE(庫存金額!R18)</f>
        <v>6985142</v>
      </c>
      <c r="Y21" s="232">
        <f>VALUE(庫存金額!S18)</f>
        <v>6987284</v>
      </c>
      <c r="Z21" s="232">
        <f>VALUE(庫存金額!T18)</f>
        <v>6976550</v>
      </c>
      <c r="AA21" s="232">
        <f>VALUE(庫存金額!U18)</f>
        <v>6953385</v>
      </c>
      <c r="AB21" s="232">
        <f>VALUE(庫存金額!V18)</f>
        <v>6965216</v>
      </c>
      <c r="AC21" s="232">
        <f>VALUE(庫存金額!W18)</f>
        <v>6928131</v>
      </c>
      <c r="AD21" s="232">
        <f>VALUE(庫存金額!X18)</f>
        <v>6897838</v>
      </c>
      <c r="AE21" s="232">
        <f>VALUE(庫存金額!Y18)</f>
        <v>6893890</v>
      </c>
      <c r="AF21" s="232">
        <f>VALUE(庫存金額!Z18)</f>
        <v>6893890</v>
      </c>
      <c r="AG21" s="232">
        <f>VALUE(庫存金額!AA18)</f>
        <v>6864332</v>
      </c>
      <c r="AH21" s="232">
        <f>VALUE(庫存金額!AB18)</f>
        <v>6837875</v>
      </c>
      <c r="AI21" s="232">
        <f>VALUE(庫存金額!AC18)</f>
        <v>6800713</v>
      </c>
      <c r="AJ21" s="232">
        <f>VALUE(庫存金額!AD18)</f>
        <v>6798602</v>
      </c>
      <c r="AK21" s="232">
        <f>VALUE(庫存金額!AE18)</f>
        <v>6799765</v>
      </c>
      <c r="AL21" s="232">
        <f>VALUE(庫存金額!AF18)</f>
        <v>6786336</v>
      </c>
      <c r="AM21" s="232">
        <f>VALUE(庫存金額!AG18)</f>
        <v>6786336</v>
      </c>
      <c r="AN21" s="232">
        <f>VALUE(庫存金額!AH18)</f>
        <v>0</v>
      </c>
      <c r="AO21" s="232">
        <f>VALUE(庫存金額!AI18)</f>
        <v>6985512.0999999996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9849791.7100000009</v>
      </c>
      <c r="E22" s="518">
        <f>HLOOKUP(MONTH(日期!$C$2),當年目標設定!$D$1:$O$33,20,TRUE)</f>
        <v>9951196.9962475616</v>
      </c>
      <c r="F22" s="309">
        <f>HLOOKUP(MONTH(日期!$C$2),當年目標設定!$R$1:$AC$33,20,TRUE)</f>
        <v>9822784.7915254459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11814297</v>
      </c>
      <c r="J22" s="232">
        <f>VALUE(庫存金額!D17)</f>
        <v>10708963</v>
      </c>
      <c r="K22" s="232">
        <f>VALUE(庫存金額!E17)</f>
        <v>10708963</v>
      </c>
      <c r="L22" s="232">
        <f>VALUE(庫存金額!F17)</f>
        <v>10803286</v>
      </c>
      <c r="M22" s="232">
        <f>VALUE(庫存金額!G17)</f>
        <v>10638959</v>
      </c>
      <c r="N22" s="232">
        <f>VALUE(庫存金額!H17)</f>
        <v>10654217</v>
      </c>
      <c r="O22" s="232">
        <f>VALUE(庫存金額!I17)</f>
        <v>10794941</v>
      </c>
      <c r="P22" s="232">
        <f>VALUE(庫存金額!J17)</f>
        <v>10961993</v>
      </c>
      <c r="Q22" s="232">
        <f>VALUE(庫存金額!K17)</f>
        <v>10217661</v>
      </c>
      <c r="R22" s="232">
        <f>VALUE(庫存金額!L17)</f>
        <v>10217661</v>
      </c>
      <c r="S22" s="232">
        <f>VALUE(庫存金額!M17)</f>
        <v>10135519</v>
      </c>
      <c r="T22" s="232">
        <f>VALUE(庫存金額!N17)</f>
        <v>9568505</v>
      </c>
      <c r="U22" s="232">
        <f>VALUE(庫存金額!O17)</f>
        <v>9809004</v>
      </c>
      <c r="V22" s="232">
        <f>VALUE(庫存金額!P17)</f>
        <v>10010193</v>
      </c>
      <c r="W22" s="232">
        <f>VALUE(庫存金額!Q17)</f>
        <v>11189557</v>
      </c>
      <c r="X22" s="232">
        <f>VALUE(庫存金額!R17)</f>
        <v>10243905</v>
      </c>
      <c r="Y22" s="232">
        <f>VALUE(庫存金額!S17)</f>
        <v>10336155</v>
      </c>
      <c r="Z22" s="232">
        <f>VALUE(庫存金額!T17)</f>
        <v>10496172</v>
      </c>
      <c r="AA22" s="232">
        <f>VALUE(庫存金額!U17)</f>
        <v>10489274</v>
      </c>
      <c r="AB22" s="232">
        <f>VALUE(庫存金額!V17)</f>
        <v>10622939</v>
      </c>
      <c r="AC22" s="232">
        <f>VALUE(庫存金額!W17)</f>
        <v>10739069</v>
      </c>
      <c r="AD22" s="232">
        <f>VALUE(庫存金額!X17)</f>
        <v>11631175</v>
      </c>
      <c r="AE22" s="232">
        <f>VALUE(庫存金額!Y17)</f>
        <v>10716105</v>
      </c>
      <c r="AF22" s="232">
        <f>VALUE(庫存金額!Z17)</f>
        <v>10716105</v>
      </c>
      <c r="AG22" s="232">
        <f>VALUE(庫存金額!AA17)</f>
        <v>11585783</v>
      </c>
      <c r="AH22" s="232">
        <f>VALUE(庫存金額!AB17)</f>
        <v>11105086</v>
      </c>
      <c r="AI22" s="232">
        <f>VALUE(庫存金額!AC17)</f>
        <v>11161448</v>
      </c>
      <c r="AJ22" s="232">
        <f>VALUE(庫存金額!AD17)</f>
        <v>11953565</v>
      </c>
      <c r="AK22" s="232">
        <f>VALUE(庫存金額!AE17)</f>
        <v>12824866</v>
      </c>
      <c r="AL22" s="232">
        <f>VALUE(庫存金額!AF17)</f>
        <v>12096175</v>
      </c>
      <c r="AM22" s="232">
        <f>VALUE(庫存金額!AG17)</f>
        <v>12096175</v>
      </c>
      <c r="AN22" s="232">
        <f>VALUE(庫存金額!AH17)</f>
        <v>0</v>
      </c>
      <c r="AO22" s="232">
        <f>VALUE(庫存金額!AI17)</f>
        <v>10872506.970000001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6556006.6100000003</v>
      </c>
      <c r="E23" s="518">
        <f>HLOOKUP(MONTH(日期!$C$2),當年目標設定!$D$1:$O$33,21,TRUE)</f>
        <v>6790518.7576878807</v>
      </c>
      <c r="F23" s="309">
        <f>HLOOKUP(MONTH(日期!$C$2),當年目標設定!$R$1:$AC$33,21,TRUE)</f>
        <v>6526521.6886524502</v>
      </c>
      <c r="G23" s="308">
        <f>當年月推移!P21</f>
        <v>7619843</v>
      </c>
      <c r="H23" s="308">
        <f>當年月推移!P55</f>
        <v>7497199</v>
      </c>
      <c r="I23" s="232">
        <f>VALUE(庫存金額!C16)</f>
        <v>7515941</v>
      </c>
      <c r="J23" s="232">
        <f>VALUE(庫存金額!D16)</f>
        <v>6733189</v>
      </c>
      <c r="K23" s="232">
        <f>VALUE(庫存金額!E16)</f>
        <v>6733189</v>
      </c>
      <c r="L23" s="232">
        <f>VALUE(庫存金額!F16)</f>
        <v>5603679</v>
      </c>
      <c r="M23" s="232">
        <f>VALUE(庫存金額!G16)</f>
        <v>5826574</v>
      </c>
      <c r="N23" s="232">
        <f>VALUE(庫存金額!H16)</f>
        <v>5534887</v>
      </c>
      <c r="O23" s="232">
        <f>VALUE(庫存金額!I16)</f>
        <v>4995682</v>
      </c>
      <c r="P23" s="232">
        <f>VALUE(庫存金額!J16)</f>
        <v>5824430</v>
      </c>
      <c r="Q23" s="232">
        <f>VALUE(庫存金額!K16)</f>
        <v>5097129</v>
      </c>
      <c r="R23" s="232">
        <f>VALUE(庫存金額!L16)</f>
        <v>5097129</v>
      </c>
      <c r="S23" s="232">
        <f>VALUE(庫存金額!M16)</f>
        <v>5161300</v>
      </c>
      <c r="T23" s="232">
        <f>VALUE(庫存金額!N16)</f>
        <v>5411553</v>
      </c>
      <c r="U23" s="232">
        <f>VALUE(庫存金額!O16)</f>
        <v>5979637</v>
      </c>
      <c r="V23" s="232">
        <f>VALUE(庫存金額!P16)</f>
        <v>5690359</v>
      </c>
      <c r="W23" s="232">
        <f>VALUE(庫存金額!Q16)</f>
        <v>5908110</v>
      </c>
      <c r="X23" s="232">
        <f>VALUE(庫存金額!R16)</f>
        <v>5256322</v>
      </c>
      <c r="Y23" s="232">
        <f>VALUE(庫存金額!S16)</f>
        <v>5256322</v>
      </c>
      <c r="Z23" s="232">
        <f>VALUE(庫存金額!T16)</f>
        <v>4962188</v>
      </c>
      <c r="AA23" s="232">
        <f>VALUE(庫存金額!U16)</f>
        <v>5201031</v>
      </c>
      <c r="AB23" s="232">
        <f>VALUE(庫存金額!V16)</f>
        <v>5245084</v>
      </c>
      <c r="AC23" s="232">
        <f>VALUE(庫存金額!W16)</f>
        <v>5355105</v>
      </c>
      <c r="AD23" s="232">
        <f>VALUE(庫存金額!X16)</f>
        <v>5135580</v>
      </c>
      <c r="AE23" s="232">
        <f>VALUE(庫存金額!Y16)</f>
        <v>4565381</v>
      </c>
      <c r="AF23" s="232">
        <f>VALUE(庫存金額!Z16)</f>
        <v>4565381</v>
      </c>
      <c r="AG23" s="232">
        <f>VALUE(庫存金額!AA16)</f>
        <v>5398088</v>
      </c>
      <c r="AH23" s="232">
        <f>VALUE(庫存金額!AB16)</f>
        <v>5978902</v>
      </c>
      <c r="AI23" s="232">
        <f>VALUE(庫存金額!AC16)</f>
        <v>7285484</v>
      </c>
      <c r="AJ23" s="232">
        <f>VALUE(庫存金額!AD16)</f>
        <v>8695498</v>
      </c>
      <c r="AK23" s="232">
        <f>VALUE(庫存金額!AE16)</f>
        <v>7928598</v>
      </c>
      <c r="AL23" s="232">
        <f>VALUE(庫存金額!AF16)</f>
        <v>7306682</v>
      </c>
      <c r="AM23" s="232">
        <f>VALUE(庫存金額!AG16)</f>
        <v>7306682</v>
      </c>
      <c r="AN23" s="232">
        <f>VALUE(庫存金額!AH16)</f>
        <v>0</v>
      </c>
      <c r="AO23" s="232">
        <f>VALUE(庫存金額!AI16)</f>
        <v>5888874.71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91839</v>
      </c>
      <c r="E24" s="518">
        <f>HLOOKUP(MONTH(日期!$C$2),當年目標設定!$D$1:$O$33,22,TRUE)</f>
        <v>106709.40202302409</v>
      </c>
      <c r="F24" s="309">
        <f>HLOOKUP(MONTH(日期!$C$2),當年目標設定!$R$1:$AC$33,22,TRUE)</f>
        <v>103901.55018851161</v>
      </c>
      <c r="G24" s="308">
        <f>當年月推移!P22</f>
        <v>108871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147267</v>
      </c>
      <c r="H25" s="308">
        <f>當年月推移!P57</f>
        <v>169287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1218093.999999</v>
      </c>
      <c r="E26" s="325">
        <f t="shared" si="9"/>
        <v>0</v>
      </c>
      <c r="F26" s="318">
        <f t="shared" si="9"/>
        <v>0</v>
      </c>
      <c r="G26" s="318">
        <f t="shared" si="9"/>
        <v>10567759</v>
      </c>
      <c r="H26" s="318">
        <f t="shared" si="9"/>
        <v>12421291</v>
      </c>
      <c r="I26" s="237">
        <f t="shared" si="9"/>
        <v>7657819</v>
      </c>
      <c r="J26" s="237">
        <f t="shared" ref="J26:AO26" si="10">SUM(J27:J31)</f>
        <v>7513139</v>
      </c>
      <c r="K26" s="237">
        <f t="shared" si="10"/>
        <v>7513139</v>
      </c>
      <c r="L26" s="237">
        <f t="shared" si="10"/>
        <v>7423819</v>
      </c>
      <c r="M26" s="237">
        <f t="shared" si="10"/>
        <v>7196059</v>
      </c>
      <c r="N26" s="237">
        <f t="shared" si="10"/>
        <v>7405327</v>
      </c>
      <c r="O26" s="237">
        <f t="shared" si="10"/>
        <v>7340087</v>
      </c>
      <c r="P26" s="237">
        <f t="shared" si="10"/>
        <v>7260647</v>
      </c>
      <c r="Q26" s="237">
        <f t="shared" si="10"/>
        <v>7176907</v>
      </c>
      <c r="R26" s="237">
        <f t="shared" si="10"/>
        <v>7176907</v>
      </c>
      <c r="S26" s="237">
        <f t="shared" si="10"/>
        <v>7078967</v>
      </c>
      <c r="T26" s="237">
        <f t="shared" si="10"/>
        <v>6697319</v>
      </c>
      <c r="U26" s="237">
        <f t="shared" si="10"/>
        <v>7619009</v>
      </c>
      <c r="V26" s="237">
        <f t="shared" si="10"/>
        <v>7542749</v>
      </c>
      <c r="W26" s="237">
        <f t="shared" si="10"/>
        <v>8092177</v>
      </c>
      <c r="X26" s="237">
        <f t="shared" si="10"/>
        <v>8005897</v>
      </c>
      <c r="Y26" s="237">
        <f t="shared" si="10"/>
        <v>8005897</v>
      </c>
      <c r="Z26" s="237">
        <f t="shared" si="10"/>
        <v>8416157</v>
      </c>
      <c r="AA26" s="237">
        <f t="shared" si="10"/>
        <v>7016699</v>
      </c>
      <c r="AB26" s="237">
        <f t="shared" si="10"/>
        <v>6962159</v>
      </c>
      <c r="AC26" s="237">
        <f t="shared" si="10"/>
        <v>6891678</v>
      </c>
      <c r="AD26" s="237">
        <f t="shared" si="10"/>
        <v>6843098</v>
      </c>
      <c r="AE26" s="237">
        <f t="shared" si="10"/>
        <v>6777158</v>
      </c>
      <c r="AF26" s="237">
        <f t="shared" si="10"/>
        <v>6777158</v>
      </c>
      <c r="AG26" s="237">
        <f t="shared" si="10"/>
        <v>6694118</v>
      </c>
      <c r="AH26" s="237">
        <f t="shared" si="10"/>
        <v>6591951</v>
      </c>
      <c r="AI26" s="237">
        <f t="shared" si="10"/>
        <v>6691341</v>
      </c>
      <c r="AJ26" s="237">
        <f t="shared" si="10"/>
        <v>6705941</v>
      </c>
      <c r="AK26" s="237">
        <f t="shared" si="10"/>
        <v>7927541</v>
      </c>
      <c r="AL26" s="237">
        <f t="shared" si="10"/>
        <v>7863441</v>
      </c>
      <c r="AM26" s="237">
        <f t="shared" si="10"/>
        <v>7863441</v>
      </c>
      <c r="AN26" s="237">
        <f t="shared" si="10"/>
        <v>0</v>
      </c>
      <c r="AO26" s="237">
        <f t="shared" si="10"/>
        <v>7313798.2599999998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136660.58064500001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130752</v>
      </c>
      <c r="J28" s="27">
        <f>VALUE(庫存金額!D21)</f>
        <v>130752</v>
      </c>
      <c r="K28" s="27">
        <f>VALUE(庫存金額!E21)</f>
        <v>130752</v>
      </c>
      <c r="L28" s="27">
        <f>VALUE(庫存金額!F21)</f>
        <v>121752</v>
      </c>
      <c r="M28" s="27">
        <f>VALUE(庫存金額!G21)</f>
        <v>121752</v>
      </c>
      <c r="N28" s="27">
        <f>VALUE(庫存金額!H21)</f>
        <v>121752</v>
      </c>
      <c r="O28" s="27">
        <f>VALUE(庫存金額!I21)</f>
        <v>121752</v>
      </c>
      <c r="P28" s="27">
        <f>VALUE(庫存金額!J21)</f>
        <v>121752</v>
      </c>
      <c r="Q28" s="27">
        <f>VALUE(庫存金額!K21)</f>
        <v>121752</v>
      </c>
      <c r="R28" s="27">
        <f>VALUE(庫存金額!L21)</f>
        <v>121752</v>
      </c>
      <c r="S28" s="27">
        <f>VALUE(庫存金額!M21)</f>
        <v>121752</v>
      </c>
      <c r="T28" s="27">
        <f>VALUE(庫存金額!N21)</f>
        <v>121752</v>
      </c>
      <c r="U28" s="27">
        <f>VALUE(庫存金額!O21)</f>
        <v>121752</v>
      </c>
      <c r="V28" s="27">
        <f>VALUE(庫存金額!P21)</f>
        <v>121752</v>
      </c>
      <c r="W28" s="27">
        <f>VALUE(庫存金額!Q21)</f>
        <v>121752</v>
      </c>
      <c r="X28" s="27">
        <f>VALUE(庫存金額!R21)</f>
        <v>121752</v>
      </c>
      <c r="Y28" s="27">
        <f>VALUE(庫存金額!S21)</f>
        <v>121752</v>
      </c>
      <c r="Z28" s="27">
        <f>VALUE(庫存金額!T21)</f>
        <v>121752</v>
      </c>
      <c r="AA28" s="27">
        <f>VALUE(庫存金額!U21)</f>
        <v>102492</v>
      </c>
      <c r="AB28" s="27">
        <f>VALUE(庫存金額!V21)</f>
        <v>102492</v>
      </c>
      <c r="AC28" s="27">
        <f>VALUE(庫存金額!W21)</f>
        <v>105491</v>
      </c>
      <c r="AD28" s="27">
        <f>VALUE(庫存金額!X21)</f>
        <v>105491</v>
      </c>
      <c r="AE28" s="27">
        <f>VALUE(庫存金額!Y21)</f>
        <v>105491</v>
      </c>
      <c r="AF28" s="27">
        <f>VALUE(庫存金額!Z21)</f>
        <v>105491</v>
      </c>
      <c r="AG28" s="27">
        <f>VALUE(庫存金額!AA21)</f>
        <v>105491</v>
      </c>
      <c r="AH28" s="27">
        <f>VALUE(庫存金額!AB21)</f>
        <v>76104</v>
      </c>
      <c r="AI28" s="27">
        <f>VALUE(庫存金額!AC21)</f>
        <v>76104</v>
      </c>
      <c r="AJ28" s="27">
        <f>VALUE(庫存金額!AD21)</f>
        <v>76104</v>
      </c>
      <c r="AK28" s="27">
        <f>VALUE(庫存金額!AE21)</f>
        <v>76104</v>
      </c>
      <c r="AL28" s="27">
        <f>VALUE(庫存金額!AF21)</f>
        <v>76104</v>
      </c>
      <c r="AM28" s="27">
        <f>VALUE(庫存金額!AG21)</f>
        <v>76104</v>
      </c>
      <c r="AN28" s="27">
        <f>VALUE(庫存金額!AH21)</f>
        <v>0</v>
      </c>
      <c r="AO28" s="27">
        <f>VALUE(庫存金額!AI21)</f>
        <v>109922.55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5163879</v>
      </c>
      <c r="H29" s="308">
        <f>當年月推移!P61</f>
        <v>5596103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5403880</v>
      </c>
      <c r="H30" s="308">
        <f>當年月推移!P62</f>
        <v>6825188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920257.41935400001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7512907</v>
      </c>
      <c r="J31" s="111">
        <f>VALUE(庫存金額!D25)</f>
        <v>7368227</v>
      </c>
      <c r="K31" s="111">
        <f>VALUE(庫存金額!E25)</f>
        <v>7368227</v>
      </c>
      <c r="L31" s="111">
        <f>VALUE(庫存金額!F25)</f>
        <v>7287907</v>
      </c>
      <c r="M31" s="111">
        <f>VALUE(庫存金額!G25)</f>
        <v>7060147</v>
      </c>
      <c r="N31" s="111">
        <f>VALUE(庫存金額!H25)</f>
        <v>7269415</v>
      </c>
      <c r="O31" s="111">
        <f>VALUE(庫存金額!I25)</f>
        <v>7204175</v>
      </c>
      <c r="P31" s="111">
        <f>VALUE(庫存金額!J25)</f>
        <v>7124735</v>
      </c>
      <c r="Q31" s="111">
        <f>VALUE(庫存金額!K25)</f>
        <v>7040995</v>
      </c>
      <c r="R31" s="111">
        <f>VALUE(庫存金額!L25)</f>
        <v>7040995</v>
      </c>
      <c r="S31" s="111">
        <f>VALUE(庫存金額!M25)</f>
        <v>6943055</v>
      </c>
      <c r="T31" s="111">
        <f>VALUE(庫存金額!N25)</f>
        <v>6561407</v>
      </c>
      <c r="U31" s="111">
        <f>VALUE(庫存金額!O25)</f>
        <v>7483097</v>
      </c>
      <c r="V31" s="111">
        <f>VALUE(庫存金額!P25)</f>
        <v>7406837</v>
      </c>
      <c r="W31" s="111">
        <f>VALUE(庫存金額!Q25)</f>
        <v>7956265</v>
      </c>
      <c r="X31" s="111">
        <f>VALUE(庫存金額!R25)</f>
        <v>7869985</v>
      </c>
      <c r="Y31" s="111">
        <f>VALUE(庫存金額!S25)</f>
        <v>7869985</v>
      </c>
      <c r="Z31" s="111">
        <f>VALUE(庫存金額!T25)</f>
        <v>8280245</v>
      </c>
      <c r="AA31" s="111">
        <f>VALUE(庫存金額!U25)</f>
        <v>6900047</v>
      </c>
      <c r="AB31" s="111">
        <f>VALUE(庫存金額!V25)</f>
        <v>6845507</v>
      </c>
      <c r="AC31" s="111">
        <f>VALUE(庫存金額!W25)</f>
        <v>6772027</v>
      </c>
      <c r="AD31" s="111">
        <f>VALUE(庫存金額!X25)</f>
        <v>6723447</v>
      </c>
      <c r="AE31" s="111">
        <f>VALUE(庫存金額!Y25)</f>
        <v>6657507</v>
      </c>
      <c r="AF31" s="111">
        <f>VALUE(庫存金額!Z25)</f>
        <v>6657507</v>
      </c>
      <c r="AG31" s="111">
        <f>VALUE(庫存金額!AA25)</f>
        <v>6574467</v>
      </c>
      <c r="AH31" s="111">
        <f>VALUE(庫存金額!AB25)</f>
        <v>6501687</v>
      </c>
      <c r="AI31" s="111">
        <f>VALUE(庫存金額!AC25)</f>
        <v>6601077</v>
      </c>
      <c r="AJ31" s="111">
        <f>VALUE(庫存金額!AD25)</f>
        <v>6615677</v>
      </c>
      <c r="AK31" s="111">
        <f>VALUE(庫存金額!AE25)</f>
        <v>7837277</v>
      </c>
      <c r="AL31" s="111">
        <f>VALUE(庫存金額!AF25)</f>
        <v>7773177</v>
      </c>
      <c r="AM31" s="111">
        <f>VALUE(庫存金額!AG25)</f>
        <v>7773177</v>
      </c>
      <c r="AN31" s="111">
        <f>VALUE(庫存金額!AH25)</f>
        <v>0</v>
      </c>
      <c r="AO31" s="111">
        <f>VALUE(庫存金額!AI25)</f>
        <v>7189715.71</v>
      </c>
    </row>
    <row r="32" spans="1:44" s="32" customFormat="1" ht="21.95" customHeight="1">
      <c r="A32" s="622" t="s">
        <v>36</v>
      </c>
      <c r="B32" s="623"/>
      <c r="C32" s="31" t="s">
        <v>37</v>
      </c>
      <c r="D32" s="327">
        <f>HLOOKUP(MONTH(日期!$C$2),去年月推移!$D$1:$O$33,30,TRUE)</f>
        <v>1617368.23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101228</v>
      </c>
      <c r="H32" s="328">
        <f>當年月推移!P63</f>
        <v>101933</v>
      </c>
      <c r="I32" s="110">
        <f>VALUE(庫存金額!C15)</f>
        <v>119184</v>
      </c>
      <c r="J32" s="110">
        <f>VALUE(庫存金額!D15)</f>
        <v>115115</v>
      </c>
      <c r="K32" s="110">
        <f>VALUE(庫存金額!E15)</f>
        <v>115115</v>
      </c>
      <c r="L32" s="110">
        <f>VALUE(庫存金額!F15)</f>
        <v>110876</v>
      </c>
      <c r="M32" s="110">
        <f>VALUE(庫存金額!G15)</f>
        <v>106807</v>
      </c>
      <c r="N32" s="110">
        <f>VALUE(庫存金額!H15)</f>
        <v>106807</v>
      </c>
      <c r="O32" s="110">
        <f>VALUE(庫存金額!I15)</f>
        <v>102739</v>
      </c>
      <c r="P32" s="110">
        <f>VALUE(庫存金額!J15)</f>
        <v>102739</v>
      </c>
      <c r="Q32" s="110">
        <f>VALUE(庫存金額!K15)</f>
        <v>98501</v>
      </c>
      <c r="R32" s="110">
        <f>VALUE(庫存金額!L15)</f>
        <v>98501</v>
      </c>
      <c r="S32" s="110">
        <f>VALUE(庫存金額!M15)</f>
        <v>98501</v>
      </c>
      <c r="T32" s="110">
        <f>VALUE(庫存金額!N15)</f>
        <v>98501</v>
      </c>
      <c r="U32" s="110">
        <f>VALUE(庫存金額!O15)</f>
        <v>94432</v>
      </c>
      <c r="V32" s="110">
        <f>VALUE(庫存金額!P15)</f>
        <v>90357</v>
      </c>
      <c r="W32" s="110">
        <f>VALUE(庫存金額!Q15)</f>
        <v>90357</v>
      </c>
      <c r="X32" s="110">
        <f>VALUE(庫存金額!R15)</f>
        <v>86289</v>
      </c>
      <c r="Y32" s="110">
        <f>VALUE(庫存金額!S15)</f>
        <v>86289</v>
      </c>
      <c r="Z32" s="110">
        <f>VALUE(庫存金額!T15)</f>
        <v>82220</v>
      </c>
      <c r="AA32" s="110">
        <f>VALUE(庫存金額!U15)</f>
        <v>80919</v>
      </c>
      <c r="AB32" s="110">
        <f>VALUE(庫存金額!V15)</f>
        <v>76851</v>
      </c>
      <c r="AC32" s="110">
        <f>VALUE(庫存金額!W15)</f>
        <v>76851</v>
      </c>
      <c r="AD32" s="110">
        <f>VALUE(庫存金額!X15)</f>
        <v>76851</v>
      </c>
      <c r="AE32" s="110">
        <f>VALUE(庫存金額!Y15)</f>
        <v>76851</v>
      </c>
      <c r="AF32" s="110">
        <f>VALUE(庫存金額!Z15)</f>
        <v>76851</v>
      </c>
      <c r="AG32" s="110">
        <f>VALUE(庫存金額!AA15)</f>
        <v>72613</v>
      </c>
      <c r="AH32" s="110">
        <f>VALUE(庫存金額!AB15)</f>
        <v>64475</v>
      </c>
      <c r="AI32" s="110">
        <f>VALUE(庫存金額!AC15)</f>
        <v>56169</v>
      </c>
      <c r="AJ32" s="110">
        <f>VALUE(庫存金額!AD15)</f>
        <v>56169</v>
      </c>
      <c r="AK32" s="110">
        <f>VALUE(庫存金額!AE15)</f>
        <v>56169</v>
      </c>
      <c r="AL32" s="110">
        <f>VALUE(庫存金額!AF15)</f>
        <v>56169</v>
      </c>
      <c r="AM32" s="110">
        <f>VALUE(庫存金額!AG15)</f>
        <v>56169</v>
      </c>
      <c r="AN32" s="110">
        <f>VALUE(庫存金額!AH15)</f>
        <v>0</v>
      </c>
      <c r="AO32" s="110">
        <f>VALUE(庫存金額!AI15)</f>
        <v>86659.26</v>
      </c>
    </row>
    <row r="33" spans="1:41" s="32" customFormat="1" ht="21.95" customHeight="1">
      <c r="A33" s="624"/>
      <c r="B33" s="625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24"/>
      <c r="B34" s="625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5942912</v>
      </c>
      <c r="H34" s="328">
        <f>當年月推移!P65</f>
        <v>7026661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26"/>
      <c r="B35" s="627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10754563</v>
      </c>
      <c r="H35" s="471">
        <f>當年月推移!P66</f>
        <v>11107531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1</v>
      </c>
      <c r="B38" s="565"/>
      <c r="C38" s="565"/>
      <c r="D38" s="568" t="str">
        <f>D3</f>
        <v>2025/5</v>
      </c>
      <c r="E38" s="601" t="str">
        <f>E3</f>
        <v>2026/5</v>
      </c>
      <c r="F38" s="332"/>
      <c r="G38" s="630">
        <f>YEAR(日期!C2)</f>
        <v>2026</v>
      </c>
      <c r="H38" s="631"/>
      <c r="I38" s="490" t="str">
        <f>日期!C2</f>
        <v>2026/05/01</v>
      </c>
      <c r="J38" s="490" t="str">
        <f>日期!D2</f>
        <v>2026/05/02</v>
      </c>
      <c r="K38" s="490" t="str">
        <f>日期!E2</f>
        <v>2026/05/03</v>
      </c>
      <c r="L38" s="490" t="str">
        <f>日期!F2</f>
        <v>2026/05/04</v>
      </c>
      <c r="M38" s="490" t="str">
        <f>日期!G2</f>
        <v>2026/05/05</v>
      </c>
      <c r="N38" s="490" t="str">
        <f>日期!H2</f>
        <v>2026/05/06</v>
      </c>
      <c r="O38" s="490" t="str">
        <f>日期!I2</f>
        <v>2026/05/07</v>
      </c>
      <c r="P38" s="490" t="str">
        <f>日期!J2</f>
        <v>2026/05/08</v>
      </c>
      <c r="Q38" s="490" t="str">
        <f>日期!K2</f>
        <v>2026/05/09</v>
      </c>
      <c r="R38" s="490" t="str">
        <f>日期!L2</f>
        <v>2026/05/10</v>
      </c>
      <c r="S38" s="490" t="str">
        <f>日期!M2</f>
        <v>2026/05/11</v>
      </c>
      <c r="T38" s="490" t="str">
        <f>日期!N2</f>
        <v>2026/05/12</v>
      </c>
      <c r="U38" s="490" t="str">
        <f>日期!O2</f>
        <v>2026/05/13</v>
      </c>
      <c r="V38" s="490" t="str">
        <f>日期!P2</f>
        <v>2026/05/14</v>
      </c>
      <c r="W38" s="490" t="str">
        <f>日期!Q2</f>
        <v>2026/05/15</v>
      </c>
      <c r="X38" s="490" t="str">
        <f>日期!R2</f>
        <v>2026/05/16</v>
      </c>
      <c r="Y38" s="490" t="str">
        <f>日期!S2</f>
        <v>2026/05/17</v>
      </c>
      <c r="Z38" s="490" t="str">
        <f>日期!T2</f>
        <v>2026/05/18</v>
      </c>
      <c r="AA38" s="490" t="str">
        <f>日期!U2</f>
        <v>2026/05/19</v>
      </c>
      <c r="AB38" s="490" t="str">
        <f>日期!V2</f>
        <v>2026/05/20</v>
      </c>
      <c r="AC38" s="490" t="str">
        <f>日期!W2</f>
        <v>2026/05/21</v>
      </c>
      <c r="AD38" s="490" t="str">
        <f>日期!X2</f>
        <v>2026/05/22</v>
      </c>
      <c r="AE38" s="490" t="str">
        <f>日期!Y2</f>
        <v>2026/05/23</v>
      </c>
      <c r="AF38" s="490" t="str">
        <f>日期!Z2</f>
        <v>2026/05/24</v>
      </c>
      <c r="AG38" s="490" t="str">
        <f>日期!AA2</f>
        <v>2026/05/25</v>
      </c>
      <c r="AH38" s="490" t="str">
        <f>日期!AB2</f>
        <v>2026/05/26</v>
      </c>
      <c r="AI38" s="490" t="str">
        <f>日期!AC2</f>
        <v>2026/05/27</v>
      </c>
      <c r="AJ38" s="490" t="str">
        <f>日期!AD2</f>
        <v>2026/05/28</v>
      </c>
      <c r="AK38" s="490" t="str">
        <f>日期!AE2</f>
        <v>2026/05/29</v>
      </c>
      <c r="AL38" s="490" t="str">
        <f>日期!AF2</f>
        <v>2026/05/30</v>
      </c>
      <c r="AM38" s="490" t="str">
        <f>日期!AG2</f>
        <v>2026/05/31</v>
      </c>
      <c r="AN38" s="560" t="s">
        <v>42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43</v>
      </c>
      <c r="H39" s="633"/>
      <c r="I39" s="12" t="str">
        <f>日期!C3</f>
        <v>Fri</v>
      </c>
      <c r="J39" s="12" t="str">
        <f>日期!D3</f>
        <v>Sat</v>
      </c>
      <c r="K39" s="12" t="str">
        <f>日期!E3</f>
        <v>Sun</v>
      </c>
      <c r="L39" s="12" t="str">
        <f>日期!F3</f>
        <v>Mon</v>
      </c>
      <c r="M39" s="12" t="str">
        <f>日期!G3</f>
        <v>Tue</v>
      </c>
      <c r="N39" s="12" t="str">
        <f>日期!H3</f>
        <v>Wed</v>
      </c>
      <c r="O39" s="12" t="str">
        <f>日期!I3</f>
        <v>Thu</v>
      </c>
      <c r="P39" s="12" t="str">
        <f>日期!J3</f>
        <v>Fri</v>
      </c>
      <c r="Q39" s="12" t="str">
        <f>日期!K3</f>
        <v>Sat</v>
      </c>
      <c r="R39" s="12" t="str">
        <f>日期!L3</f>
        <v>Sun</v>
      </c>
      <c r="S39" s="12" t="str">
        <f>日期!M3</f>
        <v>Mon</v>
      </c>
      <c r="T39" s="12" t="str">
        <f>日期!N3</f>
        <v>Tue</v>
      </c>
      <c r="U39" s="12" t="str">
        <f>日期!O3</f>
        <v>Wed</v>
      </c>
      <c r="V39" s="12" t="str">
        <f>日期!P3</f>
        <v>Thu</v>
      </c>
      <c r="W39" s="12" t="str">
        <f>日期!Q3</f>
        <v>Fri</v>
      </c>
      <c r="X39" s="12" t="str">
        <f>日期!R3</f>
        <v>Sat</v>
      </c>
      <c r="Y39" s="12" t="str">
        <f>日期!S3</f>
        <v>Sun</v>
      </c>
      <c r="Z39" s="12" t="str">
        <f>日期!T3</f>
        <v>Mon</v>
      </c>
      <c r="AA39" s="12" t="str">
        <f>日期!U3</f>
        <v>Tue</v>
      </c>
      <c r="AB39" s="12" t="str">
        <f>日期!V3</f>
        <v>Wed</v>
      </c>
      <c r="AC39" s="12" t="str">
        <f>日期!W3</f>
        <v>Thu</v>
      </c>
      <c r="AD39" s="12" t="str">
        <f>日期!X3</f>
        <v>Fri</v>
      </c>
      <c r="AE39" s="12" t="str">
        <f>日期!Y3</f>
        <v>Sat</v>
      </c>
      <c r="AF39" s="12" t="str">
        <f>日期!Z3</f>
        <v>Sun</v>
      </c>
      <c r="AG39" s="12" t="str">
        <f>日期!AA3</f>
        <v>Mon</v>
      </c>
      <c r="AH39" s="12" t="str">
        <f>日期!AB3</f>
        <v>Tue</v>
      </c>
      <c r="AI39" s="12" t="str">
        <f>日期!AC3</f>
        <v>Wed</v>
      </c>
      <c r="AJ39" s="12" t="str">
        <f>日期!AD3</f>
        <v>Thu</v>
      </c>
      <c r="AK39" s="12" t="str">
        <f>日期!AE3</f>
        <v>Fri</v>
      </c>
      <c r="AL39" s="12" t="str">
        <f>日期!AF3</f>
        <v>Sat</v>
      </c>
      <c r="AM39" s="12" t="str">
        <f>日期!AG3</f>
        <v>Sun</v>
      </c>
      <c r="AN39" s="561"/>
    </row>
    <row r="40" spans="1:41" s="14" customFormat="1" ht="21.95" customHeight="1">
      <c r="A40" s="634" t="s">
        <v>44</v>
      </c>
      <c r="B40" s="635"/>
      <c r="C40" s="635"/>
      <c r="D40" s="272" t="str">
        <f>HLOOKUP(MONTH(日期!$C$2),去年月推移!$D$1:$O$200,98,TRUE)</f>
        <v>98.2</v>
      </c>
      <c r="E40" s="45">
        <v>97.9</v>
      </c>
      <c r="F40" s="46" t="s">
        <v>45</v>
      </c>
      <c r="G40" s="589">
        <f>ROUND(當年月推移!P99,1)</f>
        <v>97.9</v>
      </c>
      <c r="H40" s="590"/>
      <c r="I40" s="245">
        <f>ROUND(供應率ALL!C2,1)</f>
        <v>0</v>
      </c>
      <c r="J40" s="245">
        <f>ROUND(供應率ALL!D2,1)</f>
        <v>97.7</v>
      </c>
      <c r="K40" s="245">
        <f>ROUND(供應率ALL!E2,1)</f>
        <v>0</v>
      </c>
      <c r="L40" s="245">
        <f>ROUND(供應率ALL!F2,1)</f>
        <v>97.5</v>
      </c>
      <c r="M40" s="245">
        <f>ROUND(供應率ALL!G2,1)</f>
        <v>97.8</v>
      </c>
      <c r="N40" s="245">
        <f>ROUND(供應率ALL!H2,1)</f>
        <v>97</v>
      </c>
      <c r="O40" s="245">
        <f>ROUND(供應率ALL!I2,1)</f>
        <v>96.6</v>
      </c>
      <c r="P40" s="245">
        <f>ROUND(供應率ALL!J2,1)</f>
        <v>97.3</v>
      </c>
      <c r="Q40" s="245">
        <f>ROUND(供應率ALL!K2,1)</f>
        <v>96.9</v>
      </c>
      <c r="R40" s="245">
        <f>ROUND(供應率ALL!L2,1)</f>
        <v>0</v>
      </c>
      <c r="S40" s="245">
        <f>ROUND(供應率ALL!M2,1)</f>
        <v>97.6</v>
      </c>
      <c r="T40" s="245">
        <f>ROUND(供應率ALL!N2,1)</f>
        <v>97.2</v>
      </c>
      <c r="U40" s="245">
        <f>ROUND(供應率ALL!O2,1)</f>
        <v>97.5</v>
      </c>
      <c r="V40" s="245">
        <f>ROUND(供應率ALL!P2,1)</f>
        <v>97</v>
      </c>
      <c r="W40" s="245">
        <f>ROUND(供應率ALL!Q2,1)</f>
        <v>97.2</v>
      </c>
      <c r="X40" s="245">
        <f>ROUND(供應率ALL!R2,1)</f>
        <v>97.9</v>
      </c>
      <c r="Y40" s="245">
        <f>ROUND(供應率ALL!S2,1)</f>
        <v>0</v>
      </c>
      <c r="Z40" s="245">
        <f>ROUND(供應率ALL!T2,1)</f>
        <v>97.4</v>
      </c>
      <c r="AA40" s="245">
        <f>ROUND(供應率ALL!U2,1)</f>
        <v>97.6</v>
      </c>
      <c r="AB40" s="245">
        <f>ROUND(供應率ALL!V2,1)</f>
        <v>97.6</v>
      </c>
      <c r="AC40" s="245">
        <f>ROUND(供應率ALL!W2,1)</f>
        <v>97.1</v>
      </c>
      <c r="AD40" s="245">
        <f>ROUND(供應率ALL!X2,1)</f>
        <v>98.1</v>
      </c>
      <c r="AE40" s="245">
        <f>ROUND(供應率ALL!Y2,1)</f>
        <v>98.1</v>
      </c>
      <c r="AF40" s="245">
        <f>ROUND(供應率ALL!Z2,1)</f>
        <v>0</v>
      </c>
      <c r="AG40" s="245">
        <f>ROUND(供應率ALL!AA2,1)</f>
        <v>97.4</v>
      </c>
      <c r="AH40" s="245">
        <f>ROUND(供應率ALL!AB2,1)</f>
        <v>97.2</v>
      </c>
      <c r="AI40" s="245">
        <f>ROUND(供應率ALL!AC2,1)</f>
        <v>98.1</v>
      </c>
      <c r="AJ40" s="245">
        <f>ROUND(供應率ALL!AD2,1)</f>
        <v>97.6</v>
      </c>
      <c r="AK40" s="245">
        <f>ROUND(供應率ALL!AE2,1)</f>
        <v>97.1</v>
      </c>
      <c r="AL40" s="245">
        <f>ROUND(供應率ALL!AF2,1)</f>
        <v>97.9</v>
      </c>
      <c r="AM40" s="245">
        <f>ROUND(供應率ALL!AG2,1)</f>
        <v>0</v>
      </c>
      <c r="AN40" s="213">
        <f>ROUND(供應率ALL!AH2,1)</f>
        <v>97.5</v>
      </c>
      <c r="AO40" s="48"/>
    </row>
    <row r="41" spans="1:41" s="14" customFormat="1" ht="21.95" customHeight="1">
      <c r="A41" s="636" t="s">
        <v>46</v>
      </c>
      <c r="B41" s="637"/>
      <c r="C41" s="637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58">
        <f>ROUND(當年月推移!P100,1)</f>
        <v>99.9</v>
      </c>
      <c r="H41" s="559"/>
      <c r="I41" s="47">
        <f>ROUND(供應率ALL!C4,1)</f>
        <v>0</v>
      </c>
      <c r="J41" s="47">
        <f>ROUND(供應率ALL!D4,1)</f>
        <v>100</v>
      </c>
      <c r="K41" s="47">
        <f>ROUND(供應率ALL!E4,1)</f>
        <v>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99</v>
      </c>
      <c r="R41" s="47">
        <f>ROUND(供應率ALL!L4,1)</f>
        <v>0</v>
      </c>
      <c r="S41" s="47">
        <f>ROUND(供應率ALL!M4,1)</f>
        <v>100</v>
      </c>
      <c r="T41" s="47">
        <f>ROUND(供應率ALL!N4,1)</f>
        <v>99.7</v>
      </c>
      <c r="U41" s="47">
        <f>ROUND(供應率ALL!O4,1)</f>
        <v>97.3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99.6</v>
      </c>
      <c r="AF41" s="47">
        <f>ROUND(供應率ALL!Z4,1)</f>
        <v>0</v>
      </c>
      <c r="AG41" s="47">
        <f>ROUND(供應率ALL!AA4,1)</f>
        <v>100</v>
      </c>
      <c r="AH41" s="47">
        <f>ROUND(供應率ALL!AB4,1)</f>
        <v>99.6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0</v>
      </c>
      <c r="AN41" s="214">
        <f>ROUND(供應率ALL!AH4,1)</f>
        <v>99.8</v>
      </c>
      <c r="AO41" s="48"/>
    </row>
    <row r="42" spans="1:41" s="14" customFormat="1" ht="21.95" customHeight="1">
      <c r="A42" s="636" t="s">
        <v>13</v>
      </c>
      <c r="B42" s="637"/>
      <c r="C42" s="637"/>
      <c r="D42" s="44" t="str">
        <f>HLOOKUP(MONTH(日期!$C$2),去年月推移!$D$1:$O$200,100,TRUE)</f>
        <v>89</v>
      </c>
      <c r="E42" s="50">
        <v>80</v>
      </c>
      <c r="F42" s="51" t="s">
        <v>45</v>
      </c>
      <c r="G42" s="558">
        <f>ROUND(當年月推移!P101,1)</f>
        <v>87.5</v>
      </c>
      <c r="H42" s="559"/>
      <c r="I42" s="47">
        <f>ROUND(供應率ALL!C5,1)</f>
        <v>0</v>
      </c>
      <c r="J42" s="47">
        <f>ROUND(供應率ALL!D5,1)</f>
        <v>100</v>
      </c>
      <c r="K42" s="47">
        <f>ROUND(供應率ALL!E5,1)</f>
        <v>0</v>
      </c>
      <c r="L42" s="47">
        <f>ROUND(供應率ALL!F5,1)</f>
        <v>75</v>
      </c>
      <c r="M42" s="47">
        <f>ROUND(供應率ALL!G5,1)</f>
        <v>33.299999999999997</v>
      </c>
      <c r="N42" s="47">
        <f>ROUND(供應率ALL!H5,1)</f>
        <v>100</v>
      </c>
      <c r="O42" s="47">
        <f>ROUND(供應率ALL!I5,1)</f>
        <v>57.1</v>
      </c>
      <c r="P42" s="47">
        <f>ROUND(供應率ALL!J5,1)</f>
        <v>100</v>
      </c>
      <c r="Q42" s="47">
        <f>ROUND(供應率ALL!K5,1)</f>
        <v>66.599999999999994</v>
      </c>
      <c r="R42" s="47">
        <f>ROUND(供應率ALL!L5,1)</f>
        <v>0</v>
      </c>
      <c r="S42" s="47">
        <f>ROUND(供應率ALL!M5,1)</f>
        <v>100</v>
      </c>
      <c r="T42" s="47">
        <f>ROUND(供應率ALL!N5,1)</f>
        <v>100</v>
      </c>
      <c r="U42" s="47">
        <f>ROUND(供應率ALL!O5,1)</f>
        <v>85.7</v>
      </c>
      <c r="V42" s="47">
        <f>ROUND(供應率ALL!P5,1)</f>
        <v>60</v>
      </c>
      <c r="W42" s="47">
        <f>ROUND(供應率ALL!Q5,1)</f>
        <v>75</v>
      </c>
      <c r="X42" s="47">
        <f>ROUND(供應率ALL!R5,1)</f>
        <v>57.1</v>
      </c>
      <c r="Y42" s="47">
        <f>ROUND(供應率ALL!S5,1)</f>
        <v>0</v>
      </c>
      <c r="Z42" s="47">
        <f>ROUND(供應率ALL!T5,1)</f>
        <v>75</v>
      </c>
      <c r="AA42" s="47">
        <f>ROUND(供應率ALL!U5,1)</f>
        <v>75</v>
      </c>
      <c r="AB42" s="47">
        <f>ROUND(供應率ALL!V5,1)</f>
        <v>100</v>
      </c>
      <c r="AC42" s="47">
        <f>ROUND(供應率ALL!W5,1)</f>
        <v>50</v>
      </c>
      <c r="AD42" s="47">
        <f>ROUND(供應率ALL!X5,1)</f>
        <v>100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33.299999999999997</v>
      </c>
      <c r="AH42" s="47">
        <f>ROUND(供應率ALL!AB5,1)</f>
        <v>50</v>
      </c>
      <c r="AI42" s="47">
        <f>ROUND(供應率ALL!AC5,1)</f>
        <v>77.7</v>
      </c>
      <c r="AJ42" s="47">
        <f>ROUND(供應率ALL!AD5,1)</f>
        <v>90.9</v>
      </c>
      <c r="AK42" s="47">
        <f>ROUND(供應率ALL!AE5,1)</f>
        <v>100</v>
      </c>
      <c r="AL42" s="47">
        <f>ROUND(供應率ALL!AF5,1)</f>
        <v>100</v>
      </c>
      <c r="AM42" s="47">
        <f>ROUND(供應率ALL!AG5,1)</f>
        <v>0</v>
      </c>
      <c r="AN42" s="214">
        <f>ROUND(供應率ALL!AH5,1)</f>
        <v>89.8</v>
      </c>
      <c r="AO42" s="48"/>
    </row>
    <row r="43" spans="1:41" s="14" customFormat="1" ht="21.95" customHeight="1">
      <c r="A43" s="636" t="s">
        <v>14</v>
      </c>
      <c r="B43" s="637"/>
      <c r="C43" s="637"/>
      <c r="D43" s="44" t="str">
        <f>HLOOKUP(MONTH(日期!$C$2),去年月推移!$D$1:$O$200,101,TRUE)</f>
        <v>99.7</v>
      </c>
      <c r="E43" s="50">
        <v>99.2</v>
      </c>
      <c r="F43" s="51" t="s">
        <v>45</v>
      </c>
      <c r="G43" s="558">
        <f>ROUND(當年月推移!P102,1)</f>
        <v>99.3</v>
      </c>
      <c r="H43" s="559"/>
      <c r="I43" s="47">
        <f>ROUND(供應率ALL!C6,1)</f>
        <v>0</v>
      </c>
      <c r="J43" s="47">
        <f>ROUND(供應率ALL!D6,1)</f>
        <v>99.9</v>
      </c>
      <c r="K43" s="47">
        <f>ROUND(供應率ALL!E6,1)</f>
        <v>0</v>
      </c>
      <c r="L43" s="47">
        <f>ROUND(供應率ALL!F6,1)</f>
        <v>99.3</v>
      </c>
      <c r="M43" s="47">
        <f>ROUND(供應率ALL!G6,1)</f>
        <v>99</v>
      </c>
      <c r="N43" s="47">
        <f>ROUND(供應率ALL!H6,1)</f>
        <v>99.8</v>
      </c>
      <c r="O43" s="47">
        <f>ROUND(供應率ALL!I6,1)</f>
        <v>99.3</v>
      </c>
      <c r="P43" s="47">
        <f>ROUND(供應率ALL!J6,1)</f>
        <v>99.3</v>
      </c>
      <c r="Q43" s="47">
        <f>ROUND(供應率ALL!K6,1)</f>
        <v>99.7</v>
      </c>
      <c r="R43" s="47">
        <f>ROUND(供應率ALL!L6,1)</f>
        <v>0</v>
      </c>
      <c r="S43" s="47">
        <f>ROUND(供應率ALL!M6,1)</f>
        <v>99.4</v>
      </c>
      <c r="T43" s="47">
        <f>ROUND(供應率ALL!N6,1)</f>
        <v>99.5</v>
      </c>
      <c r="U43" s="47">
        <f>ROUND(供應率ALL!O6,1)</f>
        <v>99.4</v>
      </c>
      <c r="V43" s="47">
        <f>ROUND(供應率ALL!P6,1)</f>
        <v>99.6</v>
      </c>
      <c r="W43" s="47">
        <f>ROUND(供應率ALL!Q6,1)</f>
        <v>99.4</v>
      </c>
      <c r="X43" s="47">
        <f>ROUND(供應率ALL!R6,1)</f>
        <v>99.8</v>
      </c>
      <c r="Y43" s="47">
        <f>ROUND(供應率ALL!S6,1)</f>
        <v>0</v>
      </c>
      <c r="Z43" s="47">
        <f>ROUND(供應率ALL!T6,1)</f>
        <v>99.5</v>
      </c>
      <c r="AA43" s="47">
        <f>ROUND(供應率ALL!U6,1)</f>
        <v>99.4</v>
      </c>
      <c r="AB43" s="47">
        <f>ROUND(供應率ALL!V6,1)</f>
        <v>99.7</v>
      </c>
      <c r="AC43" s="47">
        <f>ROUND(供應率ALL!W6,1)</f>
        <v>99.7</v>
      </c>
      <c r="AD43" s="47">
        <f>ROUND(供應率ALL!X6,1)</f>
        <v>99.5</v>
      </c>
      <c r="AE43" s="47">
        <f>ROUND(供應率ALL!Y6,1)</f>
        <v>99.8</v>
      </c>
      <c r="AF43" s="47">
        <f>ROUND(供應率ALL!Z6,1)</f>
        <v>0</v>
      </c>
      <c r="AG43" s="47">
        <f>ROUND(供應率ALL!AA6,1)</f>
        <v>99.5</v>
      </c>
      <c r="AH43" s="47">
        <f>ROUND(供應率ALL!AB6,1)</f>
        <v>99.6</v>
      </c>
      <c r="AI43" s="47">
        <f>ROUND(供應率ALL!AC6,1)</f>
        <v>99.7</v>
      </c>
      <c r="AJ43" s="47">
        <f>ROUND(供應率ALL!AD6,1)</f>
        <v>99.7</v>
      </c>
      <c r="AK43" s="47">
        <f>ROUND(供應率ALL!AE6,1)</f>
        <v>99.8</v>
      </c>
      <c r="AL43" s="47">
        <f>ROUND(供應率ALL!AF6,1)</f>
        <v>100</v>
      </c>
      <c r="AM43" s="47">
        <f>ROUND(供應率ALL!AG6,1)</f>
        <v>0</v>
      </c>
      <c r="AN43" s="214">
        <f>ROUND(供應率ALL!AH6,1)</f>
        <v>99.6</v>
      </c>
      <c r="AO43" s="48"/>
    </row>
    <row r="44" spans="1:41" s="14" customFormat="1" ht="21.95" customHeight="1">
      <c r="A44" s="636" t="s">
        <v>47</v>
      </c>
      <c r="B44" s="637"/>
      <c r="C44" s="637"/>
      <c r="D44" s="44" t="str">
        <f>HLOOKUP(MONTH(日期!$C$2),去年月推移!$D$1:$O$200,102,TRUE)</f>
        <v>94.4</v>
      </c>
      <c r="E44" s="50">
        <v>94.5</v>
      </c>
      <c r="F44" s="51" t="s">
        <v>45</v>
      </c>
      <c r="G44" s="558">
        <f>ROUND(當年月推移!P103,1)</f>
        <v>92.8</v>
      </c>
      <c r="H44" s="559"/>
      <c r="I44" s="47">
        <f>ROUND(供應率ALL!C23,1)</f>
        <v>0</v>
      </c>
      <c r="J44" s="47">
        <f>ROUND(供應率ALL!D23,1)</f>
        <v>96.1</v>
      </c>
      <c r="K44" s="47">
        <f>ROUND(供應率ALL!E23,1)</f>
        <v>0</v>
      </c>
      <c r="L44" s="47">
        <f>ROUND(供應率ALL!F23,1)</f>
        <v>90.3</v>
      </c>
      <c r="M44" s="47">
        <f>ROUND(供應率ALL!G23,1)</f>
        <v>90.9</v>
      </c>
      <c r="N44" s="47">
        <f>ROUND(供應率ALL!H23,1)</f>
        <v>85.8</v>
      </c>
      <c r="O44" s="47">
        <f>ROUND(供應率ALL!I23,1)</f>
        <v>89.9</v>
      </c>
      <c r="P44" s="47">
        <f>ROUND(供應率ALL!J23,1)</f>
        <v>90.8</v>
      </c>
      <c r="Q44" s="47">
        <f>ROUND(供應率ALL!K23,1)</f>
        <v>93.9</v>
      </c>
      <c r="R44" s="47">
        <f>ROUND(供應率ALL!L23,1)</f>
        <v>0</v>
      </c>
      <c r="S44" s="47">
        <f>ROUND(供應率ALL!M23,1)</f>
        <v>87.7</v>
      </c>
      <c r="T44" s="47">
        <f>ROUND(供應率ALL!N23,1)</f>
        <v>88.5</v>
      </c>
      <c r="U44" s="47">
        <f>ROUND(供應率ALL!O23,1)</f>
        <v>89.3</v>
      </c>
      <c r="V44" s="47">
        <f>ROUND(供應率ALL!P23,1)</f>
        <v>93.3</v>
      </c>
      <c r="W44" s="47">
        <f>ROUND(供應率ALL!Q23,1)</f>
        <v>95.6</v>
      </c>
      <c r="X44" s="47">
        <f>ROUND(供應率ALL!R23,1)</f>
        <v>94.7</v>
      </c>
      <c r="Y44" s="47">
        <f>ROUND(供應率ALL!S23,1)</f>
        <v>0</v>
      </c>
      <c r="Z44" s="47">
        <f>ROUND(供應率ALL!T23,1)</f>
        <v>93</v>
      </c>
      <c r="AA44" s="47">
        <f>ROUND(供應率ALL!U23,1)</f>
        <v>92.6</v>
      </c>
      <c r="AB44" s="47">
        <f>ROUND(供應率ALL!V23,1)</f>
        <v>94</v>
      </c>
      <c r="AC44" s="47">
        <f>ROUND(供應率ALL!W23,1)</f>
        <v>94.4</v>
      </c>
      <c r="AD44" s="47">
        <f>ROUND(供應率ALL!X23,1)</f>
        <v>92.3</v>
      </c>
      <c r="AE44" s="47">
        <f>ROUND(供應率ALL!Y23,1)</f>
        <v>92.2</v>
      </c>
      <c r="AF44" s="47">
        <f>ROUND(供應率ALL!Z23,1)</f>
        <v>0</v>
      </c>
      <c r="AG44" s="47">
        <f>ROUND(供應率ALL!AA23,1)</f>
        <v>87.7</v>
      </c>
      <c r="AH44" s="47">
        <f>ROUND(供應率ALL!AB23,1)</f>
        <v>92</v>
      </c>
      <c r="AI44" s="47">
        <f>ROUND(供應率ALL!AC23,1)</f>
        <v>87.7</v>
      </c>
      <c r="AJ44" s="47">
        <f>ROUND(供應率ALL!AD23,1)</f>
        <v>93</v>
      </c>
      <c r="AK44" s="47">
        <f>ROUND(供應率ALL!AE23,1)</f>
        <v>95.4</v>
      </c>
      <c r="AL44" s="47">
        <f>ROUND(供應率ALL!AF23,1)</f>
        <v>95</v>
      </c>
      <c r="AM44" s="47">
        <f>ROUND(供應率ALL!AG23,1)</f>
        <v>0</v>
      </c>
      <c r="AN44" s="214">
        <f>ROUND(供應率ALL!AH23,1)</f>
        <v>92</v>
      </c>
      <c r="AO44" s="48"/>
    </row>
    <row r="45" spans="1:41" s="14" customFormat="1" ht="21.95" customHeight="1">
      <c r="A45" s="636" t="s">
        <v>48</v>
      </c>
      <c r="B45" s="637"/>
      <c r="C45" s="637"/>
      <c r="D45" s="44" t="str">
        <f>HLOOKUP(MONTH(日期!$C$2),去年月推移!$D$1:$O$200,103,TRUE)</f>
        <v>98</v>
      </c>
      <c r="E45" s="50">
        <v>97</v>
      </c>
      <c r="F45" s="51" t="s">
        <v>45</v>
      </c>
      <c r="G45" s="558">
        <f>ROUND(當年月推移!P104,1)</f>
        <v>98.6</v>
      </c>
      <c r="H45" s="559"/>
      <c r="I45" s="47">
        <f>ROUND(供應率ALL!C8,1)</f>
        <v>0</v>
      </c>
      <c r="J45" s="47">
        <f>ROUND(供應率ALL!D8,1)</f>
        <v>100</v>
      </c>
      <c r="K45" s="47">
        <f>ROUND(供應率ALL!E8,1)</f>
        <v>0</v>
      </c>
      <c r="L45" s="47">
        <f>ROUND(供應率ALL!F8,1)</f>
        <v>99.7</v>
      </c>
      <c r="M45" s="47">
        <f>ROUND(供應率ALL!G8,1)</f>
        <v>100</v>
      </c>
      <c r="N45" s="47">
        <f>ROUND(供應率ALL!H8,1)</f>
        <v>98.4</v>
      </c>
      <c r="O45" s="47">
        <f>ROUND(供應率ALL!I8,1)</f>
        <v>99.4</v>
      </c>
      <c r="P45" s="47">
        <f>ROUND(供應率ALL!J8,1)</f>
        <v>98.6</v>
      </c>
      <c r="Q45" s="47">
        <f>ROUND(供應率ALL!K8,1)</f>
        <v>99.2</v>
      </c>
      <c r="R45" s="47">
        <f>ROUND(供應率ALL!L8,1)</f>
        <v>0</v>
      </c>
      <c r="S45" s="47">
        <f>ROUND(供應率ALL!M8,1)</f>
        <v>100</v>
      </c>
      <c r="T45" s="47">
        <f>ROUND(供應率ALL!N8,1)</f>
        <v>99.1</v>
      </c>
      <c r="U45" s="47">
        <f>ROUND(供應率ALL!O8,1)</f>
        <v>99.5</v>
      </c>
      <c r="V45" s="47">
        <f>ROUND(供應率ALL!P8,1)</f>
        <v>99.2</v>
      </c>
      <c r="W45" s="47">
        <f>ROUND(供應率ALL!Q8,1)</f>
        <v>98.3</v>
      </c>
      <c r="X45" s="47">
        <f>ROUND(供應率ALL!R8,1)</f>
        <v>98.7</v>
      </c>
      <c r="Y45" s="47">
        <f>ROUND(供應率ALL!S8,1)</f>
        <v>0</v>
      </c>
      <c r="Z45" s="47">
        <f>ROUND(供應率ALL!T8,1)</f>
        <v>99.7</v>
      </c>
      <c r="AA45" s="47">
        <f>ROUND(供應率ALL!U8,1)</f>
        <v>98.6</v>
      </c>
      <c r="AB45" s="47">
        <f>ROUND(供應率ALL!V8,1)</f>
        <v>99</v>
      </c>
      <c r="AC45" s="47">
        <f>ROUND(供應率ALL!W8,1)</f>
        <v>99.4</v>
      </c>
      <c r="AD45" s="47">
        <f>ROUND(供應率ALL!X8,1)</f>
        <v>99.6</v>
      </c>
      <c r="AE45" s="47">
        <f>ROUND(供應率ALL!Y8,1)</f>
        <v>99.2</v>
      </c>
      <c r="AF45" s="47">
        <f>ROUND(供應率ALL!Z8,1)</f>
        <v>0</v>
      </c>
      <c r="AG45" s="47">
        <f>ROUND(供應率ALL!AA8,1)</f>
        <v>98.8</v>
      </c>
      <c r="AH45" s="47">
        <f>ROUND(供應率ALL!AB8,1)</f>
        <v>99</v>
      </c>
      <c r="AI45" s="47">
        <f>ROUND(供應率ALL!AC8,1)</f>
        <v>99.7</v>
      </c>
      <c r="AJ45" s="47">
        <f>ROUND(供應率ALL!AD8,1)</f>
        <v>99.7</v>
      </c>
      <c r="AK45" s="47">
        <f>ROUND(供應率ALL!AE8,1)</f>
        <v>97.7</v>
      </c>
      <c r="AL45" s="47">
        <f>ROUND(供應率ALL!AF8,1)</f>
        <v>97.2</v>
      </c>
      <c r="AM45" s="47">
        <f>ROUND(供應率ALL!AG8,1)</f>
        <v>0</v>
      </c>
      <c r="AN45" s="214">
        <f>ROUND(供應率ALL!AH8,1)</f>
        <v>99.2</v>
      </c>
      <c r="AO45" s="48"/>
    </row>
    <row r="46" spans="1:41" s="14" customFormat="1" ht="21.95" customHeight="1">
      <c r="A46" s="636" t="s">
        <v>17</v>
      </c>
      <c r="B46" s="637"/>
      <c r="C46" s="637"/>
      <c r="D46" s="44" t="str">
        <f>HLOOKUP(MONTH(日期!$C$2),去年月推移!$D$1:$O$200,104,TRUE)</f>
        <v>96.2</v>
      </c>
      <c r="E46" s="50">
        <v>95</v>
      </c>
      <c r="F46" s="51" t="s">
        <v>45</v>
      </c>
      <c r="G46" s="558">
        <f>ROUND(當年月推移!P105,1)</f>
        <v>94.8</v>
      </c>
      <c r="H46" s="559"/>
      <c r="I46" s="47">
        <f>ROUND(供應率ALL!C9,1)</f>
        <v>0</v>
      </c>
      <c r="J46" s="47">
        <f>ROUND(供應率ALL!D9,1)</f>
        <v>100</v>
      </c>
      <c r="K46" s="47">
        <f>ROUND(供應率ALL!E9,1)</f>
        <v>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92.8</v>
      </c>
      <c r="R46" s="47">
        <f>ROUND(供應率ALL!L9,1)</f>
        <v>0</v>
      </c>
      <c r="S46" s="47">
        <f>ROUND(供應率ALL!M9,1)</f>
        <v>100</v>
      </c>
      <c r="T46" s="47">
        <f>ROUND(供應率ALL!N9,1)</f>
        <v>92.8</v>
      </c>
      <c r="U46" s="47">
        <f>ROUND(供應率ALL!O9,1)</f>
        <v>100</v>
      </c>
      <c r="V46" s="47">
        <f>ROUND(供應率ALL!P9,1)</f>
        <v>90.9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0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92.3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98.9</v>
      </c>
      <c r="AO46" s="48"/>
    </row>
    <row r="47" spans="1:41" s="14" customFormat="1" ht="21.95" customHeight="1" thickBot="1">
      <c r="A47" s="525" t="s">
        <v>49</v>
      </c>
      <c r="B47" s="526"/>
      <c r="C47" s="527"/>
      <c r="D47" s="231" t="str">
        <f>HLOOKUP(MONTH(日期!$C$2),去年月推移!$D$1:$O$200,105,TRUE)</f>
        <v>98.3</v>
      </c>
      <c r="E47" s="52">
        <v>97.9</v>
      </c>
      <c r="F47" s="53"/>
      <c r="G47" s="597">
        <f>ROUND(當年月推移!P106,1)</f>
        <v>98</v>
      </c>
      <c r="H47" s="598"/>
      <c r="I47" s="242">
        <f>ROUND(供應率ALL!C10,1)</f>
        <v>0</v>
      </c>
      <c r="J47" s="242">
        <f>ROUND(供應率ALL!D10,1)</f>
        <v>98.3</v>
      </c>
      <c r="K47" s="242">
        <f>ROUND(供應率ALL!E10,1)</f>
        <v>0</v>
      </c>
      <c r="L47" s="242">
        <f>ROUND(供應率ALL!F10,1)</f>
        <v>97.7</v>
      </c>
      <c r="M47" s="242">
        <f>ROUND(供應率ALL!G10,1)</f>
        <v>97.9</v>
      </c>
      <c r="N47" s="242">
        <f>ROUND(供應率ALL!H10,1)</f>
        <v>97.3</v>
      </c>
      <c r="O47" s="242">
        <f>ROUND(供應率ALL!I10,1)</f>
        <v>96.9</v>
      </c>
      <c r="P47" s="242">
        <f>ROUND(供應率ALL!J10,1)</f>
        <v>97.5</v>
      </c>
      <c r="Q47" s="242">
        <f>ROUND(供應率ALL!K10,1)</f>
        <v>97.4</v>
      </c>
      <c r="R47" s="242">
        <f>ROUND(供應率ALL!L10,1)</f>
        <v>0</v>
      </c>
      <c r="S47" s="242">
        <f>ROUND(供應率ALL!M10,1)</f>
        <v>97.7</v>
      </c>
      <c r="T47" s="242">
        <f>ROUND(供應率ALL!N10,1)</f>
        <v>97.5</v>
      </c>
      <c r="U47" s="242">
        <f>ROUND(供應率ALL!O10,1)</f>
        <v>97.6</v>
      </c>
      <c r="V47" s="242">
        <f>ROUND(供應率ALL!P10,1)</f>
        <v>97.4</v>
      </c>
      <c r="W47" s="242">
        <f>ROUND(供應率ALL!Q10,1)</f>
        <v>97.6</v>
      </c>
      <c r="X47" s="242">
        <f>ROUND(供應率ALL!R10,1)</f>
        <v>98.2</v>
      </c>
      <c r="Y47" s="242">
        <f>ROUND(供應率ALL!S10,1)</f>
        <v>0</v>
      </c>
      <c r="Z47" s="242">
        <f>ROUND(供應率ALL!T10,1)</f>
        <v>97.7</v>
      </c>
      <c r="AA47" s="242">
        <f>ROUND(供應率ALL!U10,1)</f>
        <v>97.8</v>
      </c>
      <c r="AB47" s="242">
        <f>ROUND(供應率ALL!V10,1)</f>
        <v>97.9</v>
      </c>
      <c r="AC47" s="242">
        <f>ROUND(供應率ALL!W10,1)</f>
        <v>97.6</v>
      </c>
      <c r="AD47" s="242">
        <f>ROUND(供應率ALL!X10,1)</f>
        <v>98.3</v>
      </c>
      <c r="AE47" s="242">
        <f>ROUND(供應率ALL!Y10,1)</f>
        <v>98.2</v>
      </c>
      <c r="AF47" s="242">
        <f>ROUND(供應率ALL!Z10,1)</f>
        <v>0</v>
      </c>
      <c r="AG47" s="242">
        <f>ROUND(供應率ALL!AA10,1)</f>
        <v>97.6</v>
      </c>
      <c r="AH47" s="242">
        <f>ROUND(供應率ALL!AB10,1)</f>
        <v>97.5</v>
      </c>
      <c r="AI47" s="242">
        <f>ROUND(供應率ALL!AC10,1)</f>
        <v>98.1</v>
      </c>
      <c r="AJ47" s="242">
        <f>ROUND(供應率ALL!AD10,1)</f>
        <v>97.9</v>
      </c>
      <c r="AK47" s="242">
        <f>ROUND(供應率ALL!AE10,1)</f>
        <v>97.5</v>
      </c>
      <c r="AL47" s="242">
        <f>ROUND(供應率ALL!AF10,1)</f>
        <v>98.2</v>
      </c>
      <c r="AM47" s="242">
        <f>ROUND(供應率ALL!AG10,1)</f>
        <v>0</v>
      </c>
      <c r="AN47" s="271">
        <f>ROUND(供應率ALL!AH10,1)</f>
        <v>97.8</v>
      </c>
      <c r="AO47" s="48"/>
    </row>
    <row r="48" spans="1:41" s="14" customFormat="1" ht="21.95" customHeight="1">
      <c r="A48" s="638" t="s">
        <v>23</v>
      </c>
      <c r="B48" s="639"/>
      <c r="C48" s="639"/>
      <c r="D48" s="44" t="str">
        <f>HLOOKUP(MONTH(日期!$C$2),去年月推移!$D$1:$O$200,106,TRUE)</f>
        <v>98.5</v>
      </c>
      <c r="E48" s="269">
        <v>97.8</v>
      </c>
      <c r="F48" s="270" t="s">
        <v>45</v>
      </c>
      <c r="G48" s="558">
        <f>ROUND(當年月推移!P107,1)</f>
        <v>97.3</v>
      </c>
      <c r="H48" s="559"/>
      <c r="I48" s="47">
        <f>ROUND(供應率ALL!C3,1)</f>
        <v>0</v>
      </c>
      <c r="J48" s="47">
        <f>ROUND(供應率ALL!D3,1)</f>
        <v>98.5</v>
      </c>
      <c r="K48" s="47">
        <f>ROUND(供應率ALL!E3,1)</f>
        <v>0</v>
      </c>
      <c r="L48" s="47">
        <f>ROUND(供應率ALL!F3,1)</f>
        <v>97.5</v>
      </c>
      <c r="M48" s="47">
        <f>ROUND(供應率ALL!G3,1)</f>
        <v>98</v>
      </c>
      <c r="N48" s="47">
        <f>ROUND(供應率ALL!H3,1)</f>
        <v>98.4</v>
      </c>
      <c r="O48" s="47">
        <f>ROUND(供應率ALL!I3,1)</f>
        <v>98.2</v>
      </c>
      <c r="P48" s="47">
        <f>ROUND(供應率ALL!J3,1)</f>
        <v>97.6</v>
      </c>
      <c r="Q48" s="47">
        <f>ROUND(供應率ALL!K3,1)</f>
        <v>97.5</v>
      </c>
      <c r="R48" s="47">
        <f>ROUND(供應率ALL!L3,1)</f>
        <v>0</v>
      </c>
      <c r="S48" s="47">
        <f>ROUND(供應率ALL!M3,1)</f>
        <v>97.7</v>
      </c>
      <c r="T48" s="47">
        <f>ROUND(供應率ALL!N3,1)</f>
        <v>98</v>
      </c>
      <c r="U48" s="47">
        <f>ROUND(供應率ALL!O3,1)</f>
        <v>98.2</v>
      </c>
      <c r="V48" s="47">
        <f>ROUND(供應率ALL!P3,1)</f>
        <v>97.5</v>
      </c>
      <c r="W48" s="47">
        <f>ROUND(供應率ALL!Q3,1)</f>
        <v>97.8</v>
      </c>
      <c r="X48" s="47">
        <f>ROUND(供應率ALL!R3,1)</f>
        <v>97.9</v>
      </c>
      <c r="Y48" s="47">
        <f>ROUND(供應率ALL!S3,1)</f>
        <v>0</v>
      </c>
      <c r="Z48" s="47">
        <f>ROUND(供應率ALL!T3,1)</f>
        <v>98.2</v>
      </c>
      <c r="AA48" s="47">
        <f>ROUND(供應率ALL!U3,1)</f>
        <v>98.7</v>
      </c>
      <c r="AB48" s="47">
        <f>ROUND(供應率ALL!V3,1)</f>
        <v>98.7</v>
      </c>
      <c r="AC48" s="47">
        <f>ROUND(供應率ALL!W3,1)</f>
        <v>98.1</v>
      </c>
      <c r="AD48" s="47">
        <f>ROUND(供應率ALL!X3,1)</f>
        <v>98.1</v>
      </c>
      <c r="AE48" s="47">
        <f>ROUND(供應率ALL!Y3,1)</f>
        <v>98.6</v>
      </c>
      <c r="AF48" s="47">
        <f>ROUND(供應率ALL!Z3,1)</f>
        <v>0</v>
      </c>
      <c r="AG48" s="47">
        <f>ROUND(供應率ALL!AA3,1)</f>
        <v>97.4</v>
      </c>
      <c r="AH48" s="47">
        <f>ROUND(供應率ALL!AB3,1)</f>
        <v>98.2</v>
      </c>
      <c r="AI48" s="47">
        <f>ROUND(供應率ALL!AC3,1)</f>
        <v>97.9</v>
      </c>
      <c r="AJ48" s="47">
        <f>ROUND(供應率ALL!AD3,1)</f>
        <v>97.8</v>
      </c>
      <c r="AK48" s="47">
        <f>ROUND(供應率ALL!AE3,1)</f>
        <v>97.5</v>
      </c>
      <c r="AL48" s="47">
        <f>ROUND(供應率ALL!AF3,1)</f>
        <v>98.1</v>
      </c>
      <c r="AM48" s="47">
        <f>ROUND(供應率ALL!AG3,1)</f>
        <v>0</v>
      </c>
      <c r="AN48" s="214">
        <f>ROUND(供應率ALL!AH3,1)</f>
        <v>98.1</v>
      </c>
      <c r="AO48" s="48"/>
    </row>
    <row r="49" spans="1:41" s="14" customFormat="1" ht="21.95" customHeight="1">
      <c r="A49" s="594" t="s">
        <v>24</v>
      </c>
      <c r="B49" s="595"/>
      <c r="C49" s="596"/>
      <c r="D49" s="44" t="str">
        <f>HLOOKUP(MONTH(日期!$C$2),去年月推移!$D$1:$O$200,107,TRUE)</f>
        <v>99.6</v>
      </c>
      <c r="E49" s="50">
        <v>99</v>
      </c>
      <c r="F49" s="51"/>
      <c r="G49" s="605">
        <f>ROUND(當年月推移!P108,1)</f>
        <v>99.8</v>
      </c>
      <c r="H49" s="606"/>
      <c r="I49" s="47">
        <f>ROUND(供應率ALL!C11,1)</f>
        <v>0</v>
      </c>
      <c r="J49" s="47">
        <f>ROUND(供應率ALL!D11,1)</f>
        <v>100</v>
      </c>
      <c r="K49" s="47">
        <f>ROUND(供應率ALL!E11,1)</f>
        <v>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594" t="s">
        <v>25</v>
      </c>
      <c r="B50" s="595"/>
      <c r="C50" s="596"/>
      <c r="D50" s="44" t="str">
        <f>HLOOKUP(MONTH(日期!$C$2),去年月推移!$D$1:$O$200,108,TRUE)</f>
        <v>95.8</v>
      </c>
      <c r="E50" s="50">
        <v>75</v>
      </c>
      <c r="F50" s="51"/>
      <c r="G50" s="605">
        <f>ROUND(當年月推移!P109,1)</f>
        <v>94.5</v>
      </c>
      <c r="H50" s="606"/>
      <c r="I50" s="47">
        <f>ROUND(供應率ALL!C12,1)</f>
        <v>0</v>
      </c>
      <c r="J50" s="47">
        <f>ROUND(供應率ALL!D12,1)</f>
        <v>100</v>
      </c>
      <c r="K50" s="47">
        <f>ROUND(供應率ALL!E12,1)</f>
        <v>0</v>
      </c>
      <c r="L50" s="47">
        <f>ROUND(供應率ALL!F12,1)</f>
        <v>100</v>
      </c>
      <c r="M50" s="47">
        <f>ROUND(供應率ALL!G12,1)</f>
        <v>100</v>
      </c>
      <c r="N50" s="47">
        <f>ROUND(供應率ALL!H12,1)</f>
        <v>100</v>
      </c>
      <c r="O50" s="47">
        <f>ROUND(供應率ALL!I12,1)</f>
        <v>93.7</v>
      </c>
      <c r="P50" s="47">
        <f>ROUND(供應率ALL!J12,1)</f>
        <v>100</v>
      </c>
      <c r="Q50" s="47">
        <f>ROUND(供應率ALL!K12,1)</f>
        <v>100</v>
      </c>
      <c r="R50" s="47">
        <f>ROUND(供應率ALL!L12,1)</f>
        <v>0</v>
      </c>
      <c r="S50" s="47">
        <f>ROUND(供應率ALL!M12,1)</f>
        <v>88.8</v>
      </c>
      <c r="T50" s="47">
        <f>ROUND(供應率ALL!N12,1)</f>
        <v>95</v>
      </c>
      <c r="U50" s="47">
        <f>ROUND(供應率ALL!O12,1)</f>
        <v>100</v>
      </c>
      <c r="V50" s="47">
        <f>ROUND(供應率ALL!P12,1)</f>
        <v>93.3</v>
      </c>
      <c r="W50" s="47">
        <f>ROUND(供應率ALL!Q12,1)</f>
        <v>90.9</v>
      </c>
      <c r="X50" s="47">
        <f>ROUND(供應率ALL!R12,1)</f>
        <v>76.900000000000006</v>
      </c>
      <c r="Y50" s="47">
        <f>ROUND(供應率ALL!S12,1)</f>
        <v>0</v>
      </c>
      <c r="Z50" s="47">
        <f>ROUND(供應率ALL!T12,1)</f>
        <v>61.5</v>
      </c>
      <c r="AA50" s="47">
        <f>ROUND(供應率ALL!U12,1)</f>
        <v>64.2</v>
      </c>
      <c r="AB50" s="47">
        <f>ROUND(供應率ALL!V12,1)</f>
        <v>44.4</v>
      </c>
      <c r="AC50" s="47">
        <f>ROUND(供應率ALL!W12,1)</f>
        <v>71.400000000000006</v>
      </c>
      <c r="AD50" s="47">
        <f>ROUND(供應率ALL!X12,1)</f>
        <v>76.900000000000006</v>
      </c>
      <c r="AE50" s="47">
        <f>ROUND(供應率ALL!Y12,1)</f>
        <v>85.7</v>
      </c>
      <c r="AF50" s="47">
        <f>ROUND(供應率ALL!Z12,1)</f>
        <v>0</v>
      </c>
      <c r="AG50" s="47">
        <f>ROUND(供應率ALL!AA12,1)</f>
        <v>63.6</v>
      </c>
      <c r="AH50" s="47">
        <f>ROUND(供應率ALL!AB12,1)</f>
        <v>75</v>
      </c>
      <c r="AI50" s="47">
        <f>ROUND(供應率ALL!AC12,1)</f>
        <v>70.5</v>
      </c>
      <c r="AJ50" s="47">
        <f>ROUND(供應率ALL!AD12,1)</f>
        <v>70</v>
      </c>
      <c r="AK50" s="47">
        <f>ROUND(供應率ALL!AE12,1)</f>
        <v>81.8</v>
      </c>
      <c r="AL50" s="47">
        <f>ROUND(供應率ALL!AF12,1)</f>
        <v>100</v>
      </c>
      <c r="AM50" s="47">
        <f>ROUND(供應率ALL!AG12,1)</f>
        <v>0</v>
      </c>
      <c r="AN50" s="214">
        <f>ROUND(供應率ALL!AH12,1)</f>
        <v>83.3</v>
      </c>
      <c r="AO50" s="48"/>
    </row>
    <row r="51" spans="1:41" s="14" customFormat="1" ht="21.95" customHeight="1">
      <c r="A51" s="594" t="s">
        <v>26</v>
      </c>
      <c r="B51" s="595"/>
      <c r="C51" s="596"/>
      <c r="D51" s="44" t="str">
        <f>HLOOKUP(MONTH(日期!$C$2),去年月推移!$D$1:$O$200,109,TRUE)</f>
        <v>97.4</v>
      </c>
      <c r="E51" s="50">
        <v>98.7</v>
      </c>
      <c r="F51" s="51"/>
      <c r="G51" s="605">
        <f>ROUND(當年月推移!P110,1)</f>
        <v>96.7</v>
      </c>
      <c r="H51" s="606"/>
      <c r="I51" s="47">
        <f>ROUND(供應率ALL!C13,1)</f>
        <v>0</v>
      </c>
      <c r="J51" s="47">
        <f>ROUND(供應率ALL!D13,1)</f>
        <v>98.7</v>
      </c>
      <c r="K51" s="47">
        <f>ROUND(供應率ALL!E13,1)</f>
        <v>0</v>
      </c>
      <c r="L51" s="47">
        <f>ROUND(供應率ALL!F13,1)</f>
        <v>96.9</v>
      </c>
      <c r="M51" s="47">
        <f>ROUND(供應率ALL!G13,1)</f>
        <v>96.6</v>
      </c>
      <c r="N51" s="47">
        <f>ROUND(供應率ALL!H13,1)</f>
        <v>95.5</v>
      </c>
      <c r="O51" s="47">
        <f>ROUND(供應率ALL!I13,1)</f>
        <v>95.8</v>
      </c>
      <c r="P51" s="47">
        <f>ROUND(供應率ALL!J13,1)</f>
        <v>97</v>
      </c>
      <c r="Q51" s="47">
        <f>ROUND(供應率ALL!K13,1)</f>
        <v>96</v>
      </c>
      <c r="R51" s="47">
        <f>ROUND(供應率ALL!L13,1)</f>
        <v>0</v>
      </c>
      <c r="S51" s="47">
        <f>ROUND(供應率ALL!M13,1)</f>
        <v>96.2</v>
      </c>
      <c r="T51" s="47">
        <f>ROUND(供應率ALL!N13,1)</f>
        <v>98</v>
      </c>
      <c r="U51" s="47">
        <f>ROUND(供應率ALL!O13,1)</f>
        <v>95.6</v>
      </c>
      <c r="V51" s="47">
        <f>ROUND(供應率ALL!P13,1)</f>
        <v>97.4</v>
      </c>
      <c r="W51" s="47">
        <f>ROUND(供應率ALL!Q13,1)</f>
        <v>96.5</v>
      </c>
      <c r="X51" s="47">
        <f>ROUND(供應率ALL!R13,1)</f>
        <v>97.9</v>
      </c>
      <c r="Y51" s="47">
        <f>ROUND(供應率ALL!S13,1)</f>
        <v>0</v>
      </c>
      <c r="Z51" s="47">
        <f>ROUND(供應率ALL!T13,1)</f>
        <v>95.9</v>
      </c>
      <c r="AA51" s="47">
        <f>ROUND(供應率ALL!U13,1)</f>
        <v>97</v>
      </c>
      <c r="AB51" s="47">
        <f>ROUND(供應率ALL!V13,1)</f>
        <v>99</v>
      </c>
      <c r="AC51" s="47">
        <f>ROUND(供應率ALL!W13,1)</f>
        <v>96.9</v>
      </c>
      <c r="AD51" s="47">
        <f>ROUND(供應率ALL!X13,1)</f>
        <v>96.9</v>
      </c>
      <c r="AE51" s="47">
        <f>ROUND(供應率ALL!Y13,1)</f>
        <v>98.4</v>
      </c>
      <c r="AF51" s="47">
        <f>ROUND(供應率ALL!Z13,1)</f>
        <v>0</v>
      </c>
      <c r="AG51" s="47">
        <f>ROUND(供應率ALL!AA13,1)</f>
        <v>98.5</v>
      </c>
      <c r="AH51" s="47">
        <f>ROUND(供應率ALL!AB13,1)</f>
        <v>98</v>
      </c>
      <c r="AI51" s="47">
        <f>ROUND(供應率ALL!AC13,1)</f>
        <v>96.5</v>
      </c>
      <c r="AJ51" s="47">
        <f>ROUND(供應率ALL!AD13,1)</f>
        <v>96.2</v>
      </c>
      <c r="AK51" s="47">
        <f>ROUND(供應率ALL!AE13,1)</f>
        <v>97.2</v>
      </c>
      <c r="AL51" s="47">
        <f>ROUND(供應率ALL!AF13,1)</f>
        <v>98.5</v>
      </c>
      <c r="AM51" s="47">
        <f>ROUND(供應率ALL!AG13,1)</f>
        <v>0</v>
      </c>
      <c r="AN51" s="214">
        <f>ROUND(供應率ALL!AH13,1)</f>
        <v>97.1</v>
      </c>
      <c r="AO51" s="48"/>
    </row>
    <row r="52" spans="1:41" s="14" customFormat="1" ht="21.95" customHeight="1">
      <c r="A52" s="594" t="s">
        <v>27</v>
      </c>
      <c r="B52" s="595"/>
      <c r="C52" s="596"/>
      <c r="D52" s="44" t="str">
        <f>HLOOKUP(MONTH(日期!$C$2),去年月推移!$D$1:$O$200,110,TRUE)</f>
        <v>95.6</v>
      </c>
      <c r="E52" s="50">
        <v>95</v>
      </c>
      <c r="F52" s="51"/>
      <c r="G52" s="605">
        <f>ROUND(當年月推移!P111,1)</f>
        <v>94.2</v>
      </c>
      <c r="H52" s="606"/>
      <c r="I52" s="47">
        <f>ROUND(供應率ALL!C14,1)</f>
        <v>0</v>
      </c>
      <c r="J52" s="47">
        <f>ROUND(供應率ALL!D14,1)</f>
        <v>91.1</v>
      </c>
      <c r="K52" s="47">
        <f>ROUND(供應率ALL!E14,1)</f>
        <v>0</v>
      </c>
      <c r="L52" s="47">
        <f>ROUND(供應率ALL!F14,1)</f>
        <v>92.9</v>
      </c>
      <c r="M52" s="47">
        <f>ROUND(供應率ALL!G14,1)</f>
        <v>82</v>
      </c>
      <c r="N52" s="47">
        <f>ROUND(供應率ALL!H14,1)</f>
        <v>91.7</v>
      </c>
      <c r="O52" s="47">
        <f>ROUND(供應率ALL!I14,1)</f>
        <v>93</v>
      </c>
      <c r="P52" s="47">
        <f>ROUND(供應率ALL!J14,1)</f>
        <v>95.7</v>
      </c>
      <c r="Q52" s="47">
        <f>ROUND(供應率ALL!K14,1)</f>
        <v>100</v>
      </c>
      <c r="R52" s="47">
        <f>ROUND(供應率ALL!L14,1)</f>
        <v>0</v>
      </c>
      <c r="S52" s="47">
        <f>ROUND(供應率ALL!M14,1)</f>
        <v>100</v>
      </c>
      <c r="T52" s="47">
        <f>ROUND(供應率ALL!N14,1)</f>
        <v>98.1</v>
      </c>
      <c r="U52" s="47">
        <f>ROUND(供應率ALL!O14,1)</f>
        <v>95.4</v>
      </c>
      <c r="V52" s="47">
        <f>ROUND(供應率ALL!P14,1)</f>
        <v>100</v>
      </c>
      <c r="W52" s="47">
        <f>ROUND(供應率ALL!Q14,1)</f>
        <v>97.7</v>
      </c>
      <c r="X52" s="47">
        <f>ROUND(供應率ALL!R14,1)</f>
        <v>90.3</v>
      </c>
      <c r="Y52" s="47">
        <f>ROUND(供應率ALL!S14,1)</f>
        <v>0</v>
      </c>
      <c r="Z52" s="47">
        <f>ROUND(供應率ALL!T14,1)</f>
        <v>94.2</v>
      </c>
      <c r="AA52" s="47">
        <f>ROUND(供應率ALL!U14,1)</f>
        <v>90.1</v>
      </c>
      <c r="AB52" s="47">
        <f>ROUND(供應率ALL!V14,1)</f>
        <v>92.1</v>
      </c>
      <c r="AC52" s="47">
        <f>ROUND(供應率ALL!W14,1)</f>
        <v>91.6</v>
      </c>
      <c r="AD52" s="47">
        <f>ROUND(供應率ALL!X14,1)</f>
        <v>94.6</v>
      </c>
      <c r="AE52" s="47">
        <f>ROUND(供應率ALL!Y14,1)</f>
        <v>87.5</v>
      </c>
      <c r="AF52" s="47">
        <f>ROUND(供應率ALL!Z14,1)</f>
        <v>0</v>
      </c>
      <c r="AG52" s="47">
        <f>ROUND(供應率ALL!AA14,1)</f>
        <v>98.2</v>
      </c>
      <c r="AH52" s="47">
        <f>ROUND(供應率ALL!AB14,1)</f>
        <v>95.1</v>
      </c>
      <c r="AI52" s="47">
        <f>ROUND(供應率ALL!AC14,1)</f>
        <v>94.2</v>
      </c>
      <c r="AJ52" s="47">
        <f>ROUND(供應率ALL!AD14,1)</f>
        <v>93.9</v>
      </c>
      <c r="AK52" s="47">
        <f>ROUND(供應率ALL!AE14,1)</f>
        <v>94.3</v>
      </c>
      <c r="AL52" s="47">
        <f>ROUND(供應率ALL!AF14,1)</f>
        <v>94.1</v>
      </c>
      <c r="AM52" s="47">
        <f>ROUND(供應率ALL!AG14,1)</f>
        <v>0</v>
      </c>
      <c r="AN52" s="214">
        <f>ROUND(供應率ALL!AH14,1)</f>
        <v>93.9</v>
      </c>
      <c r="AO52" s="48"/>
    </row>
    <row r="53" spans="1:41" s="14" customFormat="1" ht="21.95" customHeight="1">
      <c r="A53" s="594" t="s">
        <v>28</v>
      </c>
      <c r="B53" s="595"/>
      <c r="C53" s="596"/>
      <c r="D53" s="44" t="str">
        <f>HLOOKUP(MONTH(日期!$C$2),去年月推移!$D$1:$O$200,111,TRUE)</f>
        <v>0</v>
      </c>
      <c r="E53" s="50"/>
      <c r="F53" s="51"/>
      <c r="G53" s="605">
        <f>ROUND(當年月推移!P112,1)</f>
        <v>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47" t="s">
        <v>50</v>
      </c>
      <c r="B54" s="548"/>
      <c r="C54" s="548"/>
      <c r="D54" s="231" t="str">
        <f>HLOOKUP(MONTH(日期!$C$2),去年月推移!$D$1:$O$200,112,TRUE)</f>
        <v>98.2</v>
      </c>
      <c r="E54" s="52"/>
      <c r="F54" s="53" t="s">
        <v>45</v>
      </c>
      <c r="G54" s="597">
        <f>ROUND(當年月推移!P113,1)</f>
        <v>97.1</v>
      </c>
      <c r="H54" s="598"/>
      <c r="I54" s="242">
        <f>ROUND(供應率ALL!C16,1)</f>
        <v>0</v>
      </c>
      <c r="J54" s="242">
        <f>ROUND(供應率ALL!D16,1)</f>
        <v>98.3</v>
      </c>
      <c r="K54" s="242">
        <f>ROUND(供應率ALL!E16,1)</f>
        <v>0</v>
      </c>
      <c r="L54" s="242">
        <f>ROUND(供應率ALL!F16,1)</f>
        <v>97.3</v>
      </c>
      <c r="M54" s="242">
        <f>ROUND(供應率ALL!G16,1)</f>
        <v>97.4</v>
      </c>
      <c r="N54" s="242">
        <f>ROUND(供應率ALL!H16,1)</f>
        <v>97.8</v>
      </c>
      <c r="O54" s="242">
        <f>ROUND(供應率ALL!I16,1)</f>
        <v>97.7</v>
      </c>
      <c r="P54" s="242">
        <f>ROUND(供應率ALL!J16,1)</f>
        <v>97.5</v>
      </c>
      <c r="Q54" s="242">
        <f>ROUND(供應率ALL!K16,1)</f>
        <v>97.4</v>
      </c>
      <c r="R54" s="242">
        <f>ROUND(供應率ALL!L16,1)</f>
        <v>0</v>
      </c>
      <c r="S54" s="242">
        <f>ROUND(供應率ALL!M16,1)</f>
        <v>97.5</v>
      </c>
      <c r="T54" s="242">
        <f>ROUND(供應率ALL!N16,1)</f>
        <v>98</v>
      </c>
      <c r="U54" s="242">
        <f>ROUND(供應率ALL!O16,1)</f>
        <v>97.7</v>
      </c>
      <c r="V54" s="242">
        <f>ROUND(供應率ALL!P16,1)</f>
        <v>97.6</v>
      </c>
      <c r="W54" s="242">
        <f>ROUND(供應率ALL!Q16,1)</f>
        <v>97.6</v>
      </c>
      <c r="X54" s="242">
        <f>ROUND(供應率ALL!R16,1)</f>
        <v>97.5</v>
      </c>
      <c r="Y54" s="242">
        <f>ROUND(供應率ALL!S16,1)</f>
        <v>0</v>
      </c>
      <c r="Z54" s="242">
        <f>ROUND(供應率ALL!T16,1)</f>
        <v>97.5</v>
      </c>
      <c r="AA54" s="242">
        <f>ROUND(供應率ALL!U16,1)</f>
        <v>98.1</v>
      </c>
      <c r="AB54" s="242">
        <f>ROUND(供應率ALL!V16,1)</f>
        <v>98.4</v>
      </c>
      <c r="AC54" s="242">
        <f>ROUND(供應率ALL!W16,1)</f>
        <v>97.6</v>
      </c>
      <c r="AD54" s="242">
        <f>ROUND(供應率ALL!X16,1)</f>
        <v>97.7</v>
      </c>
      <c r="AE54" s="242">
        <f>ROUND(供應率ALL!Y16,1)</f>
        <v>98.1</v>
      </c>
      <c r="AF54" s="242">
        <f>ROUND(供應率ALL!Z16,1)</f>
        <v>0</v>
      </c>
      <c r="AG54" s="242">
        <f>ROUND(供應率ALL!AA16,1)</f>
        <v>97.5</v>
      </c>
      <c r="AH54" s="242">
        <f>ROUND(供應率ALL!AB16,1)</f>
        <v>98</v>
      </c>
      <c r="AI54" s="242">
        <f>ROUND(供應率ALL!AC16,1)</f>
        <v>97.4</v>
      </c>
      <c r="AJ54" s="242">
        <f>ROUND(供應率ALL!AD16,1)</f>
        <v>97.3</v>
      </c>
      <c r="AK54" s="242">
        <f>ROUND(供應率ALL!AE16,1)</f>
        <v>97.2</v>
      </c>
      <c r="AL54" s="242">
        <f>ROUND(供應率ALL!AF16,1)</f>
        <v>98.1</v>
      </c>
      <c r="AM54" s="242">
        <f>ROUND(供應率ALL!AG16,1)</f>
        <v>0</v>
      </c>
      <c r="AN54" s="215">
        <f>ROUND(供應率ALL!AH16,1)</f>
        <v>97.7</v>
      </c>
      <c r="AO54" s="54"/>
    </row>
    <row r="55" spans="1:41" s="42" customFormat="1" ht="21.95" customHeight="1">
      <c r="A55" s="591" t="s">
        <v>31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94" t="s">
        <v>32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94" t="s">
        <v>33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94" t="s">
        <v>34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94" t="s">
        <v>35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25" t="s">
        <v>30</v>
      </c>
      <c r="B60" s="526"/>
      <c r="C60" s="527"/>
      <c r="D60" s="486">
        <f>HLOOKUP(MONTH(日期!$C$2),去年月推移!$D$1:$O$200,118,TRUE)</f>
        <v>100</v>
      </c>
      <c r="E60" s="231"/>
      <c r="F60" s="231"/>
      <c r="G60" s="597">
        <f>ROUND(當年月推移!P119,1)</f>
        <v>93.8</v>
      </c>
      <c r="H60" s="598"/>
      <c r="I60" s="242">
        <f>ROUND(供應率ALL!C21,1)</f>
        <v>0</v>
      </c>
      <c r="J60" s="242">
        <f>ROUND(供應率ALL!D21,1)</f>
        <v>100</v>
      </c>
      <c r="K60" s="242">
        <f>ROUND(供應率ALL!E21,1)</f>
        <v>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1</v>
      </c>
      <c r="B63" s="565"/>
      <c r="C63" s="565"/>
      <c r="D63" s="568" t="str">
        <f>D3</f>
        <v>2025/5</v>
      </c>
      <c r="E63" s="601" t="str">
        <f>E3</f>
        <v>2026/5</v>
      </c>
      <c r="F63" s="603"/>
      <c r="G63" s="630">
        <f>YEAR(日期!C2)</f>
        <v>2026</v>
      </c>
      <c r="H63" s="631"/>
      <c r="I63" s="490" t="str">
        <f>日期!C2</f>
        <v>2026/05/01</v>
      </c>
      <c r="J63" s="490" t="str">
        <f>日期!D2</f>
        <v>2026/05/02</v>
      </c>
      <c r="K63" s="490" t="str">
        <f>日期!E2</f>
        <v>2026/05/03</v>
      </c>
      <c r="L63" s="490" t="str">
        <f>日期!F2</f>
        <v>2026/05/04</v>
      </c>
      <c r="M63" s="490" t="str">
        <f>日期!G2</f>
        <v>2026/05/05</v>
      </c>
      <c r="N63" s="490" t="str">
        <f>日期!H2</f>
        <v>2026/05/06</v>
      </c>
      <c r="O63" s="490" t="str">
        <f>日期!I2</f>
        <v>2026/05/07</v>
      </c>
      <c r="P63" s="490" t="str">
        <f>日期!J2</f>
        <v>2026/05/08</v>
      </c>
      <c r="Q63" s="490" t="str">
        <f>日期!K2</f>
        <v>2026/05/09</v>
      </c>
      <c r="R63" s="490" t="str">
        <f>日期!L2</f>
        <v>2026/05/10</v>
      </c>
      <c r="S63" s="490" t="str">
        <f>日期!M2</f>
        <v>2026/05/11</v>
      </c>
      <c r="T63" s="490" t="str">
        <f>日期!N2</f>
        <v>2026/05/12</v>
      </c>
      <c r="U63" s="490" t="str">
        <f>日期!O2</f>
        <v>2026/05/13</v>
      </c>
      <c r="V63" s="490" t="str">
        <f>日期!P2</f>
        <v>2026/05/14</v>
      </c>
      <c r="W63" s="490" t="str">
        <f>日期!Q2</f>
        <v>2026/05/15</v>
      </c>
      <c r="X63" s="490" t="str">
        <f>日期!R2</f>
        <v>2026/05/16</v>
      </c>
      <c r="Y63" s="490" t="str">
        <f>日期!S2</f>
        <v>2026/05/17</v>
      </c>
      <c r="Z63" s="490" t="str">
        <f>日期!T2</f>
        <v>2026/05/18</v>
      </c>
      <c r="AA63" s="490" t="str">
        <f>日期!U2</f>
        <v>2026/05/19</v>
      </c>
      <c r="AB63" s="490" t="str">
        <f>日期!V2</f>
        <v>2026/05/20</v>
      </c>
      <c r="AC63" s="490" t="str">
        <f>日期!W2</f>
        <v>2026/05/21</v>
      </c>
      <c r="AD63" s="490" t="str">
        <f>日期!X2</f>
        <v>2026/05/22</v>
      </c>
      <c r="AE63" s="490" t="str">
        <f>日期!Y2</f>
        <v>2026/05/23</v>
      </c>
      <c r="AF63" s="490" t="str">
        <f>日期!Z2</f>
        <v>2026/05/24</v>
      </c>
      <c r="AG63" s="490" t="str">
        <f>日期!AA2</f>
        <v>2026/05/25</v>
      </c>
      <c r="AH63" s="490" t="str">
        <f>日期!AB2</f>
        <v>2026/05/26</v>
      </c>
      <c r="AI63" s="490" t="str">
        <f>日期!AC2</f>
        <v>2026/05/27</v>
      </c>
      <c r="AJ63" s="490" t="str">
        <f>日期!AD2</f>
        <v>2026/05/28</v>
      </c>
      <c r="AK63" s="490" t="str">
        <f>日期!AE2</f>
        <v>2026/05/29</v>
      </c>
      <c r="AL63" s="490" t="str">
        <f>日期!AF2</f>
        <v>2026/05/30</v>
      </c>
      <c r="AM63" s="490" t="str">
        <f>日期!AG2</f>
        <v>2026/05/31</v>
      </c>
      <c r="AN63" s="560" t="s">
        <v>42</v>
      </c>
    </row>
    <row r="64" spans="1:41" s="14" customFormat="1" ht="22.7" customHeight="1" thickBot="1">
      <c r="A64" s="599"/>
      <c r="B64" s="600"/>
      <c r="C64" s="600"/>
      <c r="D64" s="569"/>
      <c r="E64" s="602"/>
      <c r="F64" s="604"/>
      <c r="G64" s="632" t="s">
        <v>43</v>
      </c>
      <c r="H64" s="633"/>
      <c r="I64" s="12" t="str">
        <f>日期!C3</f>
        <v>Fri</v>
      </c>
      <c r="J64" s="12" t="str">
        <f>日期!D3</f>
        <v>Sat</v>
      </c>
      <c r="K64" s="12" t="str">
        <f>日期!E3</f>
        <v>Sun</v>
      </c>
      <c r="L64" s="12" t="str">
        <f>日期!F3</f>
        <v>Mon</v>
      </c>
      <c r="M64" s="12" t="str">
        <f>日期!G3</f>
        <v>Tue</v>
      </c>
      <c r="N64" s="12" t="str">
        <f>日期!H3</f>
        <v>Wed</v>
      </c>
      <c r="O64" s="12" t="str">
        <f>日期!I3</f>
        <v>Thu</v>
      </c>
      <c r="P64" s="12" t="str">
        <f>日期!J3</f>
        <v>Fri</v>
      </c>
      <c r="Q64" s="12" t="str">
        <f>日期!K3</f>
        <v>Sat</v>
      </c>
      <c r="R64" s="12" t="str">
        <f>日期!L3</f>
        <v>Sun</v>
      </c>
      <c r="S64" s="12" t="str">
        <f>日期!M3</f>
        <v>Mon</v>
      </c>
      <c r="T64" s="12" t="str">
        <f>日期!N3</f>
        <v>Tue</v>
      </c>
      <c r="U64" s="12" t="str">
        <f>日期!O3</f>
        <v>Wed</v>
      </c>
      <c r="V64" s="12" t="str">
        <f>日期!P3</f>
        <v>Thu</v>
      </c>
      <c r="W64" s="12" t="str">
        <f>日期!Q3</f>
        <v>Fri</v>
      </c>
      <c r="X64" s="12" t="str">
        <f>日期!R3</f>
        <v>Sat</v>
      </c>
      <c r="Y64" s="12" t="str">
        <f>日期!S3</f>
        <v>Sun</v>
      </c>
      <c r="Z64" s="12" t="str">
        <f>日期!T3</f>
        <v>Mon</v>
      </c>
      <c r="AA64" s="12" t="str">
        <f>日期!U3</f>
        <v>Tue</v>
      </c>
      <c r="AB64" s="12" t="str">
        <f>日期!V3</f>
        <v>Wed</v>
      </c>
      <c r="AC64" s="12" t="str">
        <f>日期!W3</f>
        <v>Thu</v>
      </c>
      <c r="AD64" s="12" t="str">
        <f>日期!X3</f>
        <v>Fri</v>
      </c>
      <c r="AE64" s="12" t="str">
        <f>日期!Y3</f>
        <v>Sat</v>
      </c>
      <c r="AF64" s="12" t="str">
        <f>日期!Z3</f>
        <v>Sun</v>
      </c>
      <c r="AG64" s="12" t="str">
        <f>日期!AA3</f>
        <v>Mon</v>
      </c>
      <c r="AH64" s="12" t="str">
        <f>日期!AB3</f>
        <v>Tue</v>
      </c>
      <c r="AI64" s="12" t="str">
        <f>日期!AC3</f>
        <v>Wed</v>
      </c>
      <c r="AJ64" s="12" t="str">
        <f>日期!AD3</f>
        <v>Thu</v>
      </c>
      <c r="AK64" s="12" t="str">
        <f>日期!AE3</f>
        <v>Fri</v>
      </c>
      <c r="AL64" s="12" t="str">
        <f>日期!AF3</f>
        <v>Sat</v>
      </c>
      <c r="AM64" s="12" t="str">
        <f>日期!AG3</f>
        <v>Sun</v>
      </c>
      <c r="AN64" s="561"/>
    </row>
    <row r="65" spans="1:41" s="11" customFormat="1" ht="21.95" customHeight="1">
      <c r="A65" s="587" t="s">
        <v>52</v>
      </c>
      <c r="B65" s="588"/>
      <c r="C65" s="588"/>
      <c r="D65" s="313" t="str">
        <f>HLOOKUP(MONTH(日期!$C$2),去年月推移!$D$1:$O$200,122,TRUE)</f>
        <v>98.5</v>
      </c>
      <c r="E65" s="272">
        <v>98.1</v>
      </c>
      <c r="F65" s="272" t="s">
        <v>45</v>
      </c>
      <c r="G65" s="589">
        <f>ROUND(當年月推移!P124,1)</f>
        <v>97.8</v>
      </c>
      <c r="H65" s="590"/>
      <c r="I65" s="245">
        <f>ROUND(供應率!D2,1)</f>
        <v>0</v>
      </c>
      <c r="J65" s="245">
        <f>ROUND(供應率!E2,1)</f>
        <v>97.6</v>
      </c>
      <c r="K65" s="245">
        <f>ROUND(供應率!F2,1)</f>
        <v>0</v>
      </c>
      <c r="L65" s="245">
        <f>ROUND(供應率!G2,1)</f>
        <v>97.2</v>
      </c>
      <c r="M65" s="245">
        <f>ROUND(供應率!H2,1)</f>
        <v>97.6</v>
      </c>
      <c r="N65" s="245">
        <f>ROUND(供應率!I2,1)</f>
        <v>96.6</v>
      </c>
      <c r="O65" s="245">
        <f>ROUND(供應率!J2,1)</f>
        <v>96.3</v>
      </c>
      <c r="P65" s="245">
        <f>ROUND(供應率!K2,1)</f>
        <v>97.2</v>
      </c>
      <c r="Q65" s="245">
        <f>ROUND(供應率!L2,1)</f>
        <v>97.2</v>
      </c>
      <c r="R65" s="245">
        <f>ROUND(供應率!M2,1)</f>
        <v>0</v>
      </c>
      <c r="S65" s="245">
        <f>ROUND(供應率!N2,1)</f>
        <v>97.6</v>
      </c>
      <c r="T65" s="245">
        <f>ROUND(供應率!O2,1)</f>
        <v>96.6</v>
      </c>
      <c r="U65" s="245">
        <f>ROUND(供應率!P2,1)</f>
        <v>97.3</v>
      </c>
      <c r="V65" s="245">
        <f>ROUND(供應率!Q2,1)</f>
        <v>97</v>
      </c>
      <c r="W65" s="245">
        <f>ROUND(供應率!R2,1)</f>
        <v>97.2</v>
      </c>
      <c r="X65" s="245">
        <f>ROUND(供應率!S2,1)</f>
        <v>97.7</v>
      </c>
      <c r="Y65" s="245">
        <f>ROUND(供應率!T2,1)</f>
        <v>0</v>
      </c>
      <c r="Z65" s="245">
        <f>ROUND(供應率!U2,1)</f>
        <v>96.6</v>
      </c>
      <c r="AA65" s="245">
        <f>ROUND(供應率!V2,1)</f>
        <v>97.4</v>
      </c>
      <c r="AB65" s="245">
        <f>ROUND(供應率!W2,1)</f>
        <v>97.1</v>
      </c>
      <c r="AC65" s="245">
        <f>ROUND(供應率!X2,1)</f>
        <v>96.7</v>
      </c>
      <c r="AD65" s="245">
        <f>ROUND(供應率!Y2,1)</f>
        <v>98.2</v>
      </c>
      <c r="AE65" s="245">
        <f>ROUND(供應率!Z2,1)</f>
        <v>98.1</v>
      </c>
      <c r="AF65" s="245">
        <f>ROUND(供應率!AA2,1)</f>
        <v>0</v>
      </c>
      <c r="AG65" s="245">
        <f>ROUND(供應率!AB2,1)</f>
        <v>97.4</v>
      </c>
      <c r="AH65" s="245">
        <f>ROUND(供應率!AC2,1)</f>
        <v>97.6</v>
      </c>
      <c r="AI65" s="245">
        <f>ROUND(供應率!AD2,1)</f>
        <v>98.1</v>
      </c>
      <c r="AJ65" s="245">
        <f>ROUND(供應率!AE2,1)</f>
        <v>97.9</v>
      </c>
      <c r="AK65" s="245">
        <f>ROUND(供應率!AF2,1)</f>
        <v>96.9</v>
      </c>
      <c r="AL65" s="245">
        <f>ROUND(供應率!AG2,1)</f>
        <v>98.2</v>
      </c>
      <c r="AM65" s="245">
        <f>ROUND(供應率!AH2,1)</f>
        <v>0</v>
      </c>
      <c r="AN65" s="213">
        <f>ROUND(供應率!AI2,1)</f>
        <v>97.3</v>
      </c>
      <c r="AO65" s="55"/>
    </row>
    <row r="66" spans="1:41" s="11" customFormat="1" ht="21.95" customHeight="1">
      <c r="A66" s="540" t="s">
        <v>53</v>
      </c>
      <c r="B66" s="541"/>
      <c r="C66" s="541"/>
      <c r="D66" s="311" t="str">
        <f>HLOOKUP(MONTH(日期!$C$2),去年月推移!$D$1:$O$200,123,TRUE)</f>
        <v>98.2</v>
      </c>
      <c r="E66" s="49">
        <v>98.1</v>
      </c>
      <c r="F66" s="49" t="s">
        <v>45</v>
      </c>
      <c r="G66" s="558">
        <f>ROUND(當年月推移!P125,1)</f>
        <v>98.4</v>
      </c>
      <c r="H66" s="559"/>
      <c r="I66" s="47">
        <f>ROUND(供應率!D3,1)</f>
        <v>0</v>
      </c>
      <c r="J66" s="47">
        <f>ROUND(供應率!E3,1)</f>
        <v>97.6</v>
      </c>
      <c r="K66" s="47">
        <f>ROUND(供應率!F3,1)</f>
        <v>0</v>
      </c>
      <c r="L66" s="47">
        <f>ROUND(供應率!G3,1)</f>
        <v>97.8</v>
      </c>
      <c r="M66" s="47">
        <f>ROUND(供應率!H3,1)</f>
        <v>98</v>
      </c>
      <c r="N66" s="47">
        <f>ROUND(供應率!I3,1)</f>
        <v>97.8</v>
      </c>
      <c r="O66" s="47">
        <f>ROUND(供應率!J3,1)</f>
        <v>97.5</v>
      </c>
      <c r="P66" s="47">
        <f>ROUND(供應率!K3,1)</f>
        <v>97.3</v>
      </c>
      <c r="Q66" s="47">
        <f>ROUND(供應率!L3,1)</f>
        <v>97</v>
      </c>
      <c r="R66" s="47">
        <f>ROUND(供應率!M3,1)</f>
        <v>0</v>
      </c>
      <c r="S66" s="47">
        <f>ROUND(供應率!N3,1)</f>
        <v>97.6</v>
      </c>
      <c r="T66" s="47">
        <f>ROUND(供應率!O3,1)</f>
        <v>97.8</v>
      </c>
      <c r="U66" s="47">
        <f>ROUND(供應率!P3,1)</f>
        <v>97.6</v>
      </c>
      <c r="V66" s="47">
        <f>ROUND(供應率!Q3,1)</f>
        <v>97.3</v>
      </c>
      <c r="W66" s="47">
        <f>ROUND(供應率!R3,1)</f>
        <v>97.5</v>
      </c>
      <c r="X66" s="47">
        <f>ROUND(供應率!S3,1)</f>
        <v>97.8</v>
      </c>
      <c r="Y66" s="47">
        <f>ROUND(供應率!T3,1)</f>
        <v>0</v>
      </c>
      <c r="Z66" s="47">
        <f>ROUND(供應率!U3,1)</f>
        <v>98.5</v>
      </c>
      <c r="AA66" s="47">
        <f>ROUND(供應率!V3,1)</f>
        <v>98</v>
      </c>
      <c r="AB66" s="47">
        <f>ROUND(供應率!W3,1)</f>
        <v>98</v>
      </c>
      <c r="AC66" s="47">
        <f>ROUND(供應率!X3,1)</f>
        <v>98</v>
      </c>
      <c r="AD66" s="47">
        <f>ROUND(供應率!Y3,1)</f>
        <v>98.3</v>
      </c>
      <c r="AE66" s="47">
        <f>ROUND(供應率!Z3,1)</f>
        <v>98.2</v>
      </c>
      <c r="AF66" s="47">
        <f>ROUND(供應率!AA3,1)</f>
        <v>0</v>
      </c>
      <c r="AG66" s="47">
        <f>ROUND(供應率!AB3,1)</f>
        <v>97.6</v>
      </c>
      <c r="AH66" s="47">
        <f>ROUND(供應率!AC3,1)</f>
        <v>97.4</v>
      </c>
      <c r="AI66" s="47">
        <f>ROUND(供應率!AD3,1)</f>
        <v>98</v>
      </c>
      <c r="AJ66" s="47">
        <f>ROUND(供應率!AE3,1)</f>
        <v>97.6</v>
      </c>
      <c r="AK66" s="47">
        <f>ROUND(供應率!AF3,1)</f>
        <v>98.2</v>
      </c>
      <c r="AL66" s="47">
        <f>ROUND(供應率!AG3,1)</f>
        <v>97.5</v>
      </c>
      <c r="AM66" s="47">
        <f>ROUND(供應率!AH3,1)</f>
        <v>0</v>
      </c>
      <c r="AN66" s="214">
        <f>ROUND(供應率!AI3,1)</f>
        <v>97.8</v>
      </c>
      <c r="AO66" s="55"/>
    </row>
    <row r="67" spans="1:41" s="11" customFormat="1" ht="21.95" customHeight="1">
      <c r="A67" s="540" t="s">
        <v>54</v>
      </c>
      <c r="B67" s="541"/>
      <c r="C67" s="541"/>
      <c r="D67" s="311" t="str">
        <f>HLOOKUP(MONTH(日期!$C$2),去年月推移!$D$1:$O$200,124,TRUE)</f>
        <v>99.2</v>
      </c>
      <c r="E67" s="49">
        <v>99.2</v>
      </c>
      <c r="F67" s="49" t="s">
        <v>45</v>
      </c>
      <c r="G67" s="558">
        <f>ROUND(當年月推移!P126,1)</f>
        <v>99</v>
      </c>
      <c r="H67" s="559"/>
      <c r="I67" s="47">
        <f>ROUND(供應率!D4,1)</f>
        <v>0</v>
      </c>
      <c r="J67" s="47">
        <f>ROUND(供應率!E4,1)</f>
        <v>99.2</v>
      </c>
      <c r="K67" s="47">
        <f>ROUND(供應率!F4,1)</f>
        <v>0</v>
      </c>
      <c r="L67" s="47">
        <f>ROUND(供應率!G4,1)</f>
        <v>98.9</v>
      </c>
      <c r="M67" s="47">
        <f>ROUND(供應率!H4,1)</f>
        <v>99.1</v>
      </c>
      <c r="N67" s="47">
        <f>ROUND(供應率!I4,1)</f>
        <v>98</v>
      </c>
      <c r="O67" s="47">
        <f>ROUND(供應率!J4,1)</f>
        <v>99.2</v>
      </c>
      <c r="P67" s="47">
        <f>ROUND(供應率!K4,1)</f>
        <v>99.3</v>
      </c>
      <c r="Q67" s="47">
        <f>ROUND(供應率!L4,1)</f>
        <v>98.5</v>
      </c>
      <c r="R67" s="47">
        <f>ROUND(供應率!M4,1)</f>
        <v>0</v>
      </c>
      <c r="S67" s="47">
        <f>ROUND(供應率!N4,1)</f>
        <v>99.4</v>
      </c>
      <c r="T67" s="47">
        <f>ROUND(供應率!O4,1)</f>
        <v>98.8</v>
      </c>
      <c r="U67" s="47">
        <f>ROUND(供應率!P4,1)</f>
        <v>99.4</v>
      </c>
      <c r="V67" s="47">
        <f>ROUND(供應率!Q4,1)</f>
        <v>99</v>
      </c>
      <c r="W67" s="47">
        <f>ROUND(供應率!R4,1)</f>
        <v>99.4</v>
      </c>
      <c r="X67" s="47">
        <f>ROUND(供應率!S4,1)</f>
        <v>100</v>
      </c>
      <c r="Y67" s="47">
        <f>ROUND(供應率!T4,1)</f>
        <v>0</v>
      </c>
      <c r="Z67" s="47">
        <f>ROUND(供應率!U4,1)</f>
        <v>99.3</v>
      </c>
      <c r="AA67" s="47">
        <f>ROUND(供應率!V4,1)</f>
        <v>99.4</v>
      </c>
      <c r="AB67" s="47">
        <f>ROUND(供應率!W4,1)</f>
        <v>99.2</v>
      </c>
      <c r="AC67" s="47">
        <f>ROUND(供應率!X4,1)</f>
        <v>99.4</v>
      </c>
      <c r="AD67" s="47">
        <f>ROUND(供應率!Y4,1)</f>
        <v>99.6</v>
      </c>
      <c r="AE67" s="47">
        <f>ROUND(供應率!Z4,1)</f>
        <v>99.2</v>
      </c>
      <c r="AF67" s="47">
        <f>ROUND(供應率!AA4,1)</f>
        <v>0</v>
      </c>
      <c r="AG67" s="47">
        <f>ROUND(供應率!AB4,1)</f>
        <v>99.3</v>
      </c>
      <c r="AH67" s="47">
        <f>ROUND(供應率!AC4,1)</f>
        <v>98.6</v>
      </c>
      <c r="AI67" s="47">
        <f>ROUND(供應率!AD4,1)</f>
        <v>99.4</v>
      </c>
      <c r="AJ67" s="47">
        <f>ROUND(供應率!AE4,1)</f>
        <v>98.9</v>
      </c>
      <c r="AK67" s="47">
        <f>ROUND(供應率!AF4,1)</f>
        <v>98.6</v>
      </c>
      <c r="AL67" s="47">
        <f>ROUND(供應率!AG4,1)</f>
        <v>99.9</v>
      </c>
      <c r="AM67" s="47">
        <f>ROUND(供應率!AH4,1)</f>
        <v>0</v>
      </c>
      <c r="AN67" s="214">
        <f>ROUND(供應率!AI4,1)</f>
        <v>99.1</v>
      </c>
      <c r="AO67" s="55"/>
    </row>
    <row r="68" spans="1:41" s="11" customFormat="1" ht="21.95" customHeight="1">
      <c r="A68" s="575" t="s">
        <v>55</v>
      </c>
      <c r="B68" s="576"/>
      <c r="C68" s="577"/>
      <c r="D68" s="319" t="str">
        <f>HLOOKUP(MONTH(日期!$C$2),去年月推移!$D$1:$O$200,125,TRUE)</f>
        <v>98.5</v>
      </c>
      <c r="E68" s="56">
        <v>98.2</v>
      </c>
      <c r="F68" s="56" t="s">
        <v>45</v>
      </c>
      <c r="G68" s="578">
        <f>ROUND(當年月推移!P127,1)</f>
        <v>98.2</v>
      </c>
      <c r="H68" s="579"/>
      <c r="I68" s="57">
        <f>ROUND(供應率!D5,1)</f>
        <v>0</v>
      </c>
      <c r="J68" s="57">
        <f>ROUND(供應率!E5,1)</f>
        <v>97.9</v>
      </c>
      <c r="K68" s="57">
        <f>ROUND(供應率!F5,1)</f>
        <v>0</v>
      </c>
      <c r="L68" s="57">
        <f>ROUND(供應率!G5,1)</f>
        <v>97.7</v>
      </c>
      <c r="M68" s="57">
        <f>ROUND(供應率!H5,1)</f>
        <v>98</v>
      </c>
      <c r="N68" s="57">
        <f>ROUND(供應率!I5,1)</f>
        <v>97.3</v>
      </c>
      <c r="O68" s="57">
        <f>ROUND(供應率!J5,1)</f>
        <v>97.2</v>
      </c>
      <c r="P68" s="57">
        <f>ROUND(供應率!K5,1)</f>
        <v>97.6</v>
      </c>
      <c r="Q68" s="57">
        <f>ROUND(供應率!L5,1)</f>
        <v>97.3</v>
      </c>
      <c r="R68" s="57">
        <f>ROUND(供應率!M5,1)</f>
        <v>0</v>
      </c>
      <c r="S68" s="57">
        <f>ROUND(供應率!N5,1)</f>
        <v>97.9</v>
      </c>
      <c r="T68" s="57">
        <f>ROUND(供應率!O5,1)</f>
        <v>97.4</v>
      </c>
      <c r="U68" s="57">
        <f>ROUND(供應率!P5,1)</f>
        <v>97.7</v>
      </c>
      <c r="V68" s="57">
        <f>ROUND(供應率!Q5,1)</f>
        <v>97.4</v>
      </c>
      <c r="W68" s="57">
        <f>ROUND(供應率!R5,1)</f>
        <v>97.6</v>
      </c>
      <c r="X68" s="57">
        <f>ROUND(供應率!S5,1)</f>
        <v>98.1</v>
      </c>
      <c r="Y68" s="57">
        <f>ROUND(供應率!T5,1)</f>
        <v>0</v>
      </c>
      <c r="Z68" s="57">
        <f>ROUND(供應率!U5,1)</f>
        <v>97.8</v>
      </c>
      <c r="AA68" s="57">
        <f>ROUND(供應率!V5,1)</f>
        <v>97.9</v>
      </c>
      <c r="AB68" s="57">
        <f>ROUND(供應率!W5,1)</f>
        <v>97.8</v>
      </c>
      <c r="AC68" s="57">
        <f>ROUND(供應率!X5,1)</f>
        <v>97.6</v>
      </c>
      <c r="AD68" s="57">
        <f>ROUND(供應率!Y5,1)</f>
        <v>98.4</v>
      </c>
      <c r="AE68" s="57">
        <f>ROUND(供應率!Z5,1)</f>
        <v>98.3</v>
      </c>
      <c r="AF68" s="57">
        <f>ROUND(供應率!AA5,1)</f>
        <v>0</v>
      </c>
      <c r="AG68" s="57">
        <f>ROUND(供應率!AB5,1)</f>
        <v>97.8</v>
      </c>
      <c r="AH68" s="57">
        <f>ROUND(供應率!AC5,1)</f>
        <v>97.6</v>
      </c>
      <c r="AI68" s="57">
        <f>ROUND(供應率!AD5,1)</f>
        <v>98.2</v>
      </c>
      <c r="AJ68" s="57">
        <f>ROUND(供應率!AE5,1)</f>
        <v>97.9</v>
      </c>
      <c r="AK68" s="57">
        <f>ROUND(供應率!AF5,1)</f>
        <v>97.7</v>
      </c>
      <c r="AL68" s="57">
        <f>ROUND(供應率!AG5,1)</f>
        <v>98.2</v>
      </c>
      <c r="AM68" s="57">
        <f>ROUND(供應率!AH5,1)</f>
        <v>0</v>
      </c>
      <c r="AN68" s="216">
        <f>ROUND(供應率!AI5,1)</f>
        <v>97.8</v>
      </c>
      <c r="AO68" s="55"/>
    </row>
    <row r="69" spans="1:41" s="11" customFormat="1" ht="21.95" customHeight="1">
      <c r="A69" s="540" t="s">
        <v>12</v>
      </c>
      <c r="B69" s="541"/>
      <c r="C69" s="541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58">
        <f>ROUND(當年月推移!P128,1)</f>
        <v>99.9</v>
      </c>
      <c r="H69" s="559"/>
      <c r="I69" s="47">
        <f>ROUND(供應率!D7,1)</f>
        <v>0</v>
      </c>
      <c r="J69" s="47">
        <f>ROUND(供應率!E7,1)</f>
        <v>100</v>
      </c>
      <c r="K69" s="47">
        <f>ROUND(供應率!F7,1)</f>
        <v>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99</v>
      </c>
      <c r="R69" s="47">
        <f>ROUND(供應率!M7,1)</f>
        <v>0</v>
      </c>
      <c r="S69" s="47">
        <f>ROUND(供應率!N7,1)</f>
        <v>100</v>
      </c>
      <c r="T69" s="47">
        <f>ROUND(供應率!O7,1)</f>
        <v>99.7</v>
      </c>
      <c r="U69" s="47">
        <f>ROUND(供應率!P7,1)</f>
        <v>97.3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99.6</v>
      </c>
      <c r="AF69" s="47">
        <f>ROUND(供應率!AA7,1)</f>
        <v>0</v>
      </c>
      <c r="AG69" s="47">
        <f>ROUND(供應率!AB7,1)</f>
        <v>100</v>
      </c>
      <c r="AH69" s="47">
        <f>ROUND(供應率!AC7,1)</f>
        <v>99.6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0</v>
      </c>
      <c r="AN69" s="214">
        <f>ROUND(供應率!AI7,1)</f>
        <v>99.8</v>
      </c>
      <c r="AO69" s="55"/>
    </row>
    <row r="70" spans="1:41" s="11" customFormat="1" ht="21.95" customHeight="1">
      <c r="A70" s="540" t="s">
        <v>13</v>
      </c>
      <c r="B70" s="541"/>
      <c r="C70" s="541"/>
      <c r="D70" s="311" t="str">
        <f>HLOOKUP(MONTH(日期!$C$2),去年月推移!$D$1:$O$200,127,TRUE)</f>
        <v>92.2</v>
      </c>
      <c r="E70" s="49">
        <v>80</v>
      </c>
      <c r="F70" s="49" t="s">
        <v>45</v>
      </c>
      <c r="G70" s="558">
        <f>ROUND(當年月推移!P129,1)</f>
        <v>89</v>
      </c>
      <c r="H70" s="559"/>
      <c r="I70" s="47">
        <f>ROUND(供應率!D8,1)</f>
        <v>0</v>
      </c>
      <c r="J70" s="47">
        <f>ROUND(供應率!E8,1)</f>
        <v>100</v>
      </c>
      <c r="K70" s="47">
        <f>ROUND(供應率!F8,1)</f>
        <v>0</v>
      </c>
      <c r="L70" s="47">
        <f>ROUND(供應率!G8,1)</f>
        <v>75</v>
      </c>
      <c r="M70" s="47">
        <f>ROUND(供應率!H8,1)</f>
        <v>33.299999999999997</v>
      </c>
      <c r="N70" s="47">
        <f>ROUND(供應率!I8,1)</f>
        <v>100</v>
      </c>
      <c r="O70" s="47">
        <f>ROUND(供應率!J8,1)</f>
        <v>80</v>
      </c>
      <c r="P70" s="47">
        <f>ROUND(供應率!K8,1)</f>
        <v>100</v>
      </c>
      <c r="Q70" s="47">
        <f>ROUND(供應率!L8,1)</f>
        <v>66.599999999999994</v>
      </c>
      <c r="R70" s="47">
        <f>ROUND(供應率!M8,1)</f>
        <v>0</v>
      </c>
      <c r="S70" s="47">
        <f>ROUND(供應率!N8,1)</f>
        <v>100</v>
      </c>
      <c r="T70" s="47">
        <f>ROUND(供應率!O8,1)</f>
        <v>100</v>
      </c>
      <c r="U70" s="47">
        <f>ROUND(供應率!P8,1)</f>
        <v>85.7</v>
      </c>
      <c r="V70" s="47">
        <f>ROUND(供應率!Q8,1)</f>
        <v>50</v>
      </c>
      <c r="W70" s="47">
        <f>ROUND(供應率!R8,1)</f>
        <v>75</v>
      </c>
      <c r="X70" s="47">
        <f>ROUND(供應率!S8,1)</f>
        <v>66.599999999999994</v>
      </c>
      <c r="Y70" s="47">
        <f>ROUND(供應率!T8,1)</f>
        <v>0</v>
      </c>
      <c r="Z70" s="47">
        <f>ROUND(供應率!U8,1)</f>
        <v>75</v>
      </c>
      <c r="AA70" s="47">
        <f>ROUND(供應率!V8,1)</f>
        <v>100</v>
      </c>
      <c r="AB70" s="47">
        <f>ROUND(供應率!W8,1)</f>
        <v>100</v>
      </c>
      <c r="AC70" s="47">
        <f>ROUND(供應率!X8,1)</f>
        <v>50</v>
      </c>
      <c r="AD70" s="47">
        <f>ROUND(供應率!Y8,1)</f>
        <v>100</v>
      </c>
      <c r="AE70" s="47">
        <f>ROUND(供應率!Z8,1)</f>
        <v>0</v>
      </c>
      <c r="AF70" s="47">
        <f>ROUND(供應率!AA8,1)</f>
        <v>0</v>
      </c>
      <c r="AG70" s="47">
        <f>ROUND(供應率!AB8,1)</f>
        <v>40</v>
      </c>
      <c r="AH70" s="47">
        <f>ROUND(供應率!AC8,1)</f>
        <v>25</v>
      </c>
      <c r="AI70" s="47">
        <f>ROUND(供應率!AD8,1)</f>
        <v>60</v>
      </c>
      <c r="AJ70" s="47">
        <f>ROUND(供應率!AE8,1)</f>
        <v>0</v>
      </c>
      <c r="AK70" s="47">
        <f>ROUND(供應率!AF8,1)</f>
        <v>0</v>
      </c>
      <c r="AL70" s="47">
        <f>ROUND(供應率!AG8,1)</f>
        <v>100</v>
      </c>
      <c r="AM70" s="47">
        <f>ROUND(供應率!AH8,1)</f>
        <v>0</v>
      </c>
      <c r="AN70" s="214">
        <f>ROUND(供應率!AI8,1)</f>
        <v>70.7</v>
      </c>
      <c r="AO70" s="55"/>
    </row>
    <row r="71" spans="1:41" s="11" customFormat="1" ht="21.75" customHeight="1">
      <c r="A71" s="540" t="s">
        <v>14</v>
      </c>
      <c r="B71" s="541"/>
      <c r="C71" s="541"/>
      <c r="D71" s="311" t="str">
        <f>HLOOKUP(MONTH(日期!$C$2),去年月推移!$D$1:$O$200,128,TRUE)</f>
        <v>99.6</v>
      </c>
      <c r="E71" s="49">
        <v>99.2</v>
      </c>
      <c r="F71" s="49" t="s">
        <v>45</v>
      </c>
      <c r="G71" s="558">
        <f>ROUND(當年月推移!P130,1)</f>
        <v>99.4</v>
      </c>
      <c r="H71" s="559"/>
      <c r="I71" s="47">
        <f>ROUND(供應率!D9,1)</f>
        <v>0</v>
      </c>
      <c r="J71" s="47">
        <f>ROUND(供應率!E9,1)</f>
        <v>99.9</v>
      </c>
      <c r="K71" s="47">
        <f>ROUND(供應率!F9,1)</f>
        <v>0</v>
      </c>
      <c r="L71" s="47">
        <f>ROUND(供應率!G9,1)</f>
        <v>99.3</v>
      </c>
      <c r="M71" s="47">
        <f>ROUND(供應率!H9,1)</f>
        <v>99.1</v>
      </c>
      <c r="N71" s="47">
        <f>ROUND(供應率!I9,1)</f>
        <v>99.9</v>
      </c>
      <c r="O71" s="47">
        <f>ROUND(供應率!J9,1)</f>
        <v>99.4</v>
      </c>
      <c r="P71" s="47">
        <f>ROUND(供應率!K9,1)</f>
        <v>99.3</v>
      </c>
      <c r="Q71" s="47">
        <f>ROUND(供應率!L9,1)</f>
        <v>99.7</v>
      </c>
      <c r="R71" s="47">
        <f>ROUND(供應率!M9,1)</f>
        <v>0</v>
      </c>
      <c r="S71" s="47">
        <f>ROUND(供應率!N9,1)</f>
        <v>99.4</v>
      </c>
      <c r="T71" s="47">
        <f>ROUND(供應率!O9,1)</f>
        <v>99.5</v>
      </c>
      <c r="U71" s="47">
        <f>ROUND(供應率!P9,1)</f>
        <v>99.5</v>
      </c>
      <c r="V71" s="47">
        <f>ROUND(供應率!Q9,1)</f>
        <v>99.6</v>
      </c>
      <c r="W71" s="47">
        <f>ROUND(供應率!R9,1)</f>
        <v>99.4</v>
      </c>
      <c r="X71" s="47">
        <f>ROUND(供應率!S9,1)</f>
        <v>99.8</v>
      </c>
      <c r="Y71" s="47">
        <f>ROUND(供應率!T9,1)</f>
        <v>0</v>
      </c>
      <c r="Z71" s="47">
        <f>ROUND(供應率!U9,1)</f>
        <v>99.6</v>
      </c>
      <c r="AA71" s="47">
        <f>ROUND(供應率!V9,1)</f>
        <v>99.5</v>
      </c>
      <c r="AB71" s="47">
        <f>ROUND(供應率!W9,1)</f>
        <v>99.7</v>
      </c>
      <c r="AC71" s="47">
        <f>ROUND(供應率!X9,1)</f>
        <v>99.7</v>
      </c>
      <c r="AD71" s="47">
        <f>ROUND(供應率!Y9,1)</f>
        <v>99.5</v>
      </c>
      <c r="AE71" s="47">
        <f>ROUND(供應率!Z9,1)</f>
        <v>99.8</v>
      </c>
      <c r="AF71" s="47">
        <f>ROUND(供應率!AA9,1)</f>
        <v>0</v>
      </c>
      <c r="AG71" s="47">
        <f>ROUND(供應率!AB9,1)</f>
        <v>99.6</v>
      </c>
      <c r="AH71" s="47">
        <f>ROUND(供應率!AC9,1)</f>
        <v>99.8</v>
      </c>
      <c r="AI71" s="47">
        <f>ROUND(供應率!AD9,1)</f>
        <v>99.7</v>
      </c>
      <c r="AJ71" s="47">
        <f>ROUND(供應率!AE9,1)</f>
        <v>99.7</v>
      </c>
      <c r="AK71" s="47">
        <f>ROUND(供應率!AF9,1)</f>
        <v>99.8</v>
      </c>
      <c r="AL71" s="47">
        <f>ROUND(供應率!AG9,1)</f>
        <v>100</v>
      </c>
      <c r="AM71" s="47">
        <f>ROUND(供應率!AH9,1)</f>
        <v>0</v>
      </c>
      <c r="AN71" s="214">
        <f>ROUND(供應率!AI9,1)</f>
        <v>99.6</v>
      </c>
      <c r="AO71" s="55"/>
    </row>
    <row r="72" spans="1:41" s="11" customFormat="1" ht="21.95" customHeight="1">
      <c r="A72" s="540" t="s">
        <v>56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45</v>
      </c>
      <c r="G72" s="558">
        <f>ROUND(當年月推移!P131,1)</f>
        <v>94.3</v>
      </c>
      <c r="H72" s="559"/>
      <c r="I72" s="47">
        <f>ROUND(供應率!D22,1)</f>
        <v>0</v>
      </c>
      <c r="J72" s="47">
        <f>ROUND(供應率!E22,1)</f>
        <v>97.1</v>
      </c>
      <c r="K72" s="47">
        <f>ROUND(供應率!F22,1)</f>
        <v>0</v>
      </c>
      <c r="L72" s="47">
        <f>ROUND(供應率!G22,1)</f>
        <v>90.8</v>
      </c>
      <c r="M72" s="47">
        <f>ROUND(供應率!H22,1)</f>
        <v>93.5</v>
      </c>
      <c r="N72" s="47">
        <f>ROUND(供應率!I22,1)</f>
        <v>87.3</v>
      </c>
      <c r="O72" s="47">
        <f>ROUND(供應率!J22,1)</f>
        <v>91</v>
      </c>
      <c r="P72" s="47">
        <f>ROUND(供應率!K22,1)</f>
        <v>91</v>
      </c>
      <c r="Q72" s="47">
        <f>ROUND(供應率!L22,1)</f>
        <v>94.8</v>
      </c>
      <c r="R72" s="47">
        <f>ROUND(供應率!M22,1)</f>
        <v>0</v>
      </c>
      <c r="S72" s="47">
        <f>ROUND(供應率!N22,1)</f>
        <v>90.2</v>
      </c>
      <c r="T72" s="47">
        <f>ROUND(供應率!O22,1)</f>
        <v>89.6</v>
      </c>
      <c r="U72" s="47">
        <f>ROUND(供應率!P22,1)</f>
        <v>92</v>
      </c>
      <c r="V72" s="47">
        <f>ROUND(供應率!Q22,1)</f>
        <v>94</v>
      </c>
      <c r="W72" s="47">
        <f>ROUND(供應率!R22,1)</f>
        <v>96.1</v>
      </c>
      <c r="X72" s="47">
        <f>ROUND(供應率!S22,1)</f>
        <v>95.9</v>
      </c>
      <c r="Y72" s="47">
        <f>ROUND(供應率!T22,1)</f>
        <v>0</v>
      </c>
      <c r="Z72" s="47">
        <f>ROUND(供應率!U22,1)</f>
        <v>95.2</v>
      </c>
      <c r="AA72" s="47">
        <f>ROUND(供應率!V22,1)</f>
        <v>93.6</v>
      </c>
      <c r="AB72" s="47">
        <f>ROUND(供應率!W22,1)</f>
        <v>94.2</v>
      </c>
      <c r="AC72" s="47">
        <f>ROUND(供應率!X22,1)</f>
        <v>95.7</v>
      </c>
      <c r="AD72" s="47">
        <f>ROUND(供應率!Y22,1)</f>
        <v>93</v>
      </c>
      <c r="AE72" s="47">
        <f>ROUND(供應率!Z22,1)</f>
        <v>92.6</v>
      </c>
      <c r="AF72" s="47">
        <f>ROUND(供應率!AA22,1)</f>
        <v>0</v>
      </c>
      <c r="AG72" s="47">
        <f>ROUND(供應率!AB22,1)</f>
        <v>88.1</v>
      </c>
      <c r="AH72" s="47">
        <f>ROUND(供應率!AC22,1)</f>
        <v>93.8</v>
      </c>
      <c r="AI72" s="47">
        <f>ROUND(供應率!AD22,1)</f>
        <v>89</v>
      </c>
      <c r="AJ72" s="47">
        <f>ROUND(供應率!AE22,1)</f>
        <v>94.7</v>
      </c>
      <c r="AK72" s="47">
        <f>ROUND(供應率!AF22,1)</f>
        <v>95.7</v>
      </c>
      <c r="AL72" s="47">
        <f>ROUND(供應率!AG22,1)</f>
        <v>96</v>
      </c>
      <c r="AM72" s="47">
        <f>ROUND(供應率!AH22,1)</f>
        <v>0</v>
      </c>
      <c r="AN72" s="214">
        <f>ROUND(供應率!AI22,1)</f>
        <v>93.1</v>
      </c>
      <c r="AO72" s="55"/>
    </row>
    <row r="73" spans="1:41" s="11" customFormat="1" ht="21.95" customHeight="1" thickBot="1">
      <c r="A73" s="585" t="s">
        <v>16</v>
      </c>
      <c r="B73" s="586"/>
      <c r="C73" s="586"/>
      <c r="D73" s="320" t="str">
        <f>HLOOKUP(MONTH(日期!$C$2),去年月推移!$D$1:$O$200,130,TRUE)</f>
        <v>98</v>
      </c>
      <c r="E73" s="58">
        <v>97</v>
      </c>
      <c r="F73" s="58" t="s">
        <v>45</v>
      </c>
      <c r="G73" s="554">
        <f>ROUND(當年月推移!P132,1)</f>
        <v>98.6</v>
      </c>
      <c r="H73" s="555"/>
      <c r="I73" s="59">
        <f>ROUND(供應率!D11,1)</f>
        <v>0</v>
      </c>
      <c r="J73" s="59">
        <f>ROUND(供應率!E11,1)</f>
        <v>100</v>
      </c>
      <c r="K73" s="59">
        <f>ROUND(供應率!F11,1)</f>
        <v>0</v>
      </c>
      <c r="L73" s="59">
        <f>ROUND(供應率!G11,1)</f>
        <v>100</v>
      </c>
      <c r="M73" s="59">
        <f>ROUND(供應率!H11,1)</f>
        <v>100</v>
      </c>
      <c r="N73" s="59">
        <f>ROUND(供應率!I11,1)</f>
        <v>99</v>
      </c>
      <c r="O73" s="59">
        <f>ROUND(供應率!J11,1)</f>
        <v>99.4</v>
      </c>
      <c r="P73" s="59">
        <f>ROUND(供應率!K11,1)</f>
        <v>98.6</v>
      </c>
      <c r="Q73" s="59">
        <f>ROUND(供應率!L11,1)</f>
        <v>99.2</v>
      </c>
      <c r="R73" s="59">
        <f>ROUND(供應率!M11,1)</f>
        <v>0</v>
      </c>
      <c r="S73" s="59">
        <f>ROUND(供應率!N11,1)</f>
        <v>100</v>
      </c>
      <c r="T73" s="59">
        <f>ROUND(供應率!O11,1)</f>
        <v>99.1</v>
      </c>
      <c r="U73" s="59">
        <f>ROUND(供應率!P11,1)</f>
        <v>99.7</v>
      </c>
      <c r="V73" s="59">
        <f>ROUND(供應率!Q11,1)</f>
        <v>99.2</v>
      </c>
      <c r="W73" s="59">
        <f>ROUND(供應率!R11,1)</f>
        <v>98.3</v>
      </c>
      <c r="X73" s="59">
        <f>ROUND(供應率!S11,1)</f>
        <v>98.7</v>
      </c>
      <c r="Y73" s="59">
        <f>ROUND(供應率!T11,1)</f>
        <v>0</v>
      </c>
      <c r="Z73" s="59">
        <f>ROUND(供應率!U11,1)</f>
        <v>100</v>
      </c>
      <c r="AA73" s="59">
        <f>ROUND(供應率!V11,1)</f>
        <v>98.5</v>
      </c>
      <c r="AB73" s="59">
        <f>ROUND(供應率!W11,1)</f>
        <v>99</v>
      </c>
      <c r="AC73" s="59">
        <f>ROUND(供應率!X11,1)</f>
        <v>99.4</v>
      </c>
      <c r="AD73" s="59">
        <f>ROUND(供應率!Y11,1)</f>
        <v>99.6</v>
      </c>
      <c r="AE73" s="59">
        <f>ROUND(供應率!Z11,1)</f>
        <v>99.2</v>
      </c>
      <c r="AF73" s="59">
        <f>ROUND(供應率!AA11,1)</f>
        <v>0</v>
      </c>
      <c r="AG73" s="59">
        <f>ROUND(供應率!AB11,1)</f>
        <v>99</v>
      </c>
      <c r="AH73" s="59">
        <f>ROUND(供應率!AC11,1)</f>
        <v>99</v>
      </c>
      <c r="AI73" s="59">
        <f>ROUND(供應率!AD11,1)</f>
        <v>99.7</v>
      </c>
      <c r="AJ73" s="59">
        <f>ROUND(供應率!AE11,1)</f>
        <v>99.7</v>
      </c>
      <c r="AK73" s="59">
        <f>ROUND(供應率!AF11,1)</f>
        <v>97.9</v>
      </c>
      <c r="AL73" s="59">
        <f>ROUND(供應率!AG11,1)</f>
        <v>97.4</v>
      </c>
      <c r="AM73" s="59">
        <f>ROUND(供應率!AH11,1)</f>
        <v>0</v>
      </c>
      <c r="AN73" s="217">
        <f>ROUND(供應率!AI11,1)</f>
        <v>99.2</v>
      </c>
      <c r="AO73" s="55"/>
    </row>
    <row r="74" spans="1:41" s="11" customFormat="1" ht="21.95" customHeight="1">
      <c r="A74" s="540" t="s">
        <v>23</v>
      </c>
      <c r="B74" s="541"/>
      <c r="C74" s="541"/>
      <c r="D74" s="313" t="str">
        <f>HLOOKUP(MONTH(日期!$C$2),去年月推移!$D$1:$O$200,131,TRUE)</f>
        <v>99.1</v>
      </c>
      <c r="E74" s="49">
        <v>98.559727106188546</v>
      </c>
      <c r="F74" s="49" t="s">
        <v>45</v>
      </c>
      <c r="G74" s="558">
        <f>ROUND(當年月推移!P133,1)</f>
        <v>97.9</v>
      </c>
      <c r="H74" s="559"/>
      <c r="I74" s="47">
        <f>ROUND(供應率!D6,1)</f>
        <v>0</v>
      </c>
      <c r="J74" s="47">
        <f>ROUND(供應率!E6,1)</f>
        <v>98.9</v>
      </c>
      <c r="K74" s="47">
        <f>ROUND(供應率!F6,1)</f>
        <v>0</v>
      </c>
      <c r="L74" s="47">
        <f>ROUND(供應率!G6,1)</f>
        <v>98.3</v>
      </c>
      <c r="M74" s="47">
        <f>ROUND(供應率!H6,1)</f>
        <v>98.5</v>
      </c>
      <c r="N74" s="47">
        <f>ROUND(供應率!I6,1)</f>
        <v>99.1</v>
      </c>
      <c r="O74" s="47">
        <f>ROUND(供應率!J6,1)</f>
        <v>98.6</v>
      </c>
      <c r="P74" s="47">
        <f>ROUND(供應率!K6,1)</f>
        <v>98.5</v>
      </c>
      <c r="Q74" s="47">
        <f>ROUND(供應率!L6,1)</f>
        <v>97.9</v>
      </c>
      <c r="R74" s="47">
        <f>ROUND(供應率!M6,1)</f>
        <v>0</v>
      </c>
      <c r="S74" s="47">
        <f>ROUND(供應率!N6,1)</f>
        <v>98.4</v>
      </c>
      <c r="T74" s="47">
        <f>ROUND(供應率!O6,1)</f>
        <v>98.4</v>
      </c>
      <c r="U74" s="47">
        <f>ROUND(供應率!P6,1)</f>
        <v>98.4</v>
      </c>
      <c r="V74" s="47">
        <f>ROUND(供應率!Q6,1)</f>
        <v>98.2</v>
      </c>
      <c r="W74" s="47">
        <f>ROUND(供應率!R6,1)</f>
        <v>98.5</v>
      </c>
      <c r="X74" s="47">
        <f>ROUND(供應率!S6,1)</f>
        <v>98.5</v>
      </c>
      <c r="Y74" s="47">
        <f>ROUND(供應率!T6,1)</f>
        <v>0</v>
      </c>
      <c r="Z74" s="47">
        <f>ROUND(供應率!U6,1)</f>
        <v>98.7</v>
      </c>
      <c r="AA74" s="47">
        <f>ROUND(供應率!V6,1)</f>
        <v>99</v>
      </c>
      <c r="AB74" s="47">
        <f>ROUND(供應率!W6,1)</f>
        <v>99.2</v>
      </c>
      <c r="AC74" s="47">
        <f>ROUND(供應率!X6,1)</f>
        <v>98.9</v>
      </c>
      <c r="AD74" s="47">
        <f>ROUND(供應率!Y6,1)</f>
        <v>98.7</v>
      </c>
      <c r="AE74" s="47">
        <f>ROUND(供應率!Z6,1)</f>
        <v>99.1</v>
      </c>
      <c r="AF74" s="47">
        <f>ROUND(供應率!AA6,1)</f>
        <v>0</v>
      </c>
      <c r="AG74" s="47">
        <f>ROUND(供應率!AB6,1)</f>
        <v>98.5</v>
      </c>
      <c r="AH74" s="47">
        <f>ROUND(供應率!AC6,1)</f>
        <v>98.6</v>
      </c>
      <c r="AI74" s="47">
        <f>ROUND(供應率!AD6,1)</f>
        <v>98</v>
      </c>
      <c r="AJ74" s="47">
        <f>ROUND(供應率!AE6,1)</f>
        <v>98.8</v>
      </c>
      <c r="AK74" s="47">
        <f>ROUND(供應率!AF6,1)</f>
        <v>98.5</v>
      </c>
      <c r="AL74" s="47">
        <f>ROUND(供應率!AG6,1)</f>
        <v>98.4</v>
      </c>
      <c r="AM74" s="47">
        <f>ROUND(供應率!AH6,1)</f>
        <v>0</v>
      </c>
      <c r="AN74" s="214">
        <f>ROUND(供應率!AI6,1)</f>
        <v>98.6</v>
      </c>
      <c r="AO74" s="55"/>
    </row>
    <row r="75" spans="1:41" s="11" customFormat="1" ht="21.95" customHeight="1">
      <c r="A75" s="542" t="s">
        <v>24</v>
      </c>
      <c r="B75" s="543"/>
      <c r="C75" s="544"/>
      <c r="D75" s="310" t="str">
        <f>HLOOKUP(MONTH(日期!$C$2),去年月推移!$D$1:$O$200,132,TRUE)</f>
        <v>99.6</v>
      </c>
      <c r="E75" s="243"/>
      <c r="F75" s="243"/>
      <c r="G75" s="558">
        <f>ROUND(當年月推移!P134,1)</f>
        <v>99.8</v>
      </c>
      <c r="H75" s="559"/>
      <c r="I75" s="244">
        <f>ROUND(供應率!D12,1)</f>
        <v>0</v>
      </c>
      <c r="J75" s="244">
        <f>ROUND(供應率!E12,1)</f>
        <v>100</v>
      </c>
      <c r="K75" s="244">
        <f>ROUND(供應率!F12,1)</f>
        <v>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542" t="s">
        <v>25</v>
      </c>
      <c r="B76" s="543"/>
      <c r="C76" s="544"/>
      <c r="D76" s="310" t="str">
        <f>HLOOKUP(MONTH(日期!$C$2),去年月推移!$D$1:$O$200,133,TRUE)</f>
        <v>98.5</v>
      </c>
      <c r="E76" s="243"/>
      <c r="F76" s="243"/>
      <c r="G76" s="558">
        <f>ROUND(當年月推移!P135,1)</f>
        <v>95.5</v>
      </c>
      <c r="H76" s="559"/>
      <c r="I76" s="244">
        <f>ROUND(供應率!D13,1)</f>
        <v>0</v>
      </c>
      <c r="J76" s="244">
        <f>ROUND(供應率!E13,1)</f>
        <v>100</v>
      </c>
      <c r="K76" s="244">
        <f>ROUND(供應率!F13,1)</f>
        <v>0</v>
      </c>
      <c r="L76" s="244">
        <f>ROUND(供應率!G13,1)</f>
        <v>100</v>
      </c>
      <c r="M76" s="244">
        <f>ROUND(供應率!H13,1)</f>
        <v>100</v>
      </c>
      <c r="N76" s="244">
        <f>ROUND(供應率!I13,1)</f>
        <v>100</v>
      </c>
      <c r="O76" s="244">
        <f>ROUND(供應率!J13,1)</f>
        <v>93.7</v>
      </c>
      <c r="P76" s="244">
        <f>ROUND(供應率!K13,1)</f>
        <v>100</v>
      </c>
      <c r="Q76" s="244">
        <f>ROUND(供應率!L13,1)</f>
        <v>100</v>
      </c>
      <c r="R76" s="244">
        <f>ROUND(供應率!M13,1)</f>
        <v>0</v>
      </c>
      <c r="S76" s="244">
        <f>ROUND(供應率!N13,1)</f>
        <v>88.8</v>
      </c>
      <c r="T76" s="244">
        <f>ROUND(供應率!O13,1)</f>
        <v>94.7</v>
      </c>
      <c r="U76" s="244">
        <f>ROUND(供應率!P13,1)</f>
        <v>100</v>
      </c>
      <c r="V76" s="244">
        <f>ROUND(供應率!Q13,1)</f>
        <v>93.3</v>
      </c>
      <c r="W76" s="244">
        <f>ROUND(供應率!R13,1)</f>
        <v>90.9</v>
      </c>
      <c r="X76" s="244">
        <f>ROUND(供應率!S13,1)</f>
        <v>76.900000000000006</v>
      </c>
      <c r="Y76" s="244">
        <f>ROUND(供應率!T13,1)</f>
        <v>0</v>
      </c>
      <c r="Z76" s="244">
        <f>ROUND(供應率!U13,1)</f>
        <v>66.599999999999994</v>
      </c>
      <c r="AA76" s="244">
        <f>ROUND(供應率!V13,1)</f>
        <v>64.2</v>
      </c>
      <c r="AB76" s="244">
        <f>ROUND(供應率!W13,1)</f>
        <v>50</v>
      </c>
      <c r="AC76" s="244">
        <f>ROUND(供應率!X13,1)</f>
        <v>71.400000000000006</v>
      </c>
      <c r="AD76" s="244">
        <f>ROUND(供應率!Y13,1)</f>
        <v>76.900000000000006</v>
      </c>
      <c r="AE76" s="244">
        <f>ROUND(供應率!Z13,1)</f>
        <v>85.7</v>
      </c>
      <c r="AF76" s="244">
        <f>ROUND(供應率!AA13,1)</f>
        <v>0</v>
      </c>
      <c r="AG76" s="244">
        <f>ROUND(供應率!AB13,1)</f>
        <v>60</v>
      </c>
      <c r="AH76" s="244">
        <f>ROUND(供應率!AC13,1)</f>
        <v>75</v>
      </c>
      <c r="AI76" s="244">
        <f>ROUND(供應率!AD13,1)</f>
        <v>70.5</v>
      </c>
      <c r="AJ76" s="244">
        <f>ROUND(供應率!AE13,1)</f>
        <v>70</v>
      </c>
      <c r="AK76" s="244">
        <f>ROUND(供應率!AF13,1)</f>
        <v>80</v>
      </c>
      <c r="AL76" s="244">
        <f>ROUND(供應率!AG13,1)</f>
        <v>100</v>
      </c>
      <c r="AM76" s="244">
        <f>ROUND(供應率!AH13,1)</f>
        <v>0</v>
      </c>
      <c r="AN76" s="246">
        <f>ROUND(供應率!AI13,1)</f>
        <v>83.5</v>
      </c>
      <c r="AO76" s="55"/>
    </row>
    <row r="77" spans="1:41" s="11" customFormat="1" ht="21.95" customHeight="1">
      <c r="A77" s="542" t="s">
        <v>26</v>
      </c>
      <c r="B77" s="543"/>
      <c r="C77" s="544"/>
      <c r="D77" s="310" t="str">
        <f>HLOOKUP(MONTH(日期!$C$2),去年月推移!$D$1:$O$200,134,TRUE)</f>
        <v>97.8</v>
      </c>
      <c r="E77" s="243"/>
      <c r="F77" s="243"/>
      <c r="G77" s="558">
        <f>ROUND(當年月推移!P136,1)</f>
        <v>97.1</v>
      </c>
      <c r="H77" s="559"/>
      <c r="I77" s="244">
        <f>ROUND(供應率!D14,1)</f>
        <v>0</v>
      </c>
      <c r="J77" s="244">
        <f>ROUND(供應率!E14,1)</f>
        <v>98.9</v>
      </c>
      <c r="K77" s="244">
        <f>ROUND(供應率!F14,1)</f>
        <v>0</v>
      </c>
      <c r="L77" s="244">
        <f>ROUND(供應率!G14,1)</f>
        <v>97.4</v>
      </c>
      <c r="M77" s="244">
        <f>ROUND(供應率!H14,1)</f>
        <v>96.8</v>
      </c>
      <c r="N77" s="244">
        <f>ROUND(供應率!I14,1)</f>
        <v>95.9</v>
      </c>
      <c r="O77" s="244">
        <f>ROUND(供應率!J14,1)</f>
        <v>97.1</v>
      </c>
      <c r="P77" s="244">
        <f>ROUND(供應率!K14,1)</f>
        <v>97.7</v>
      </c>
      <c r="Q77" s="244">
        <f>ROUND(供應率!L14,1)</f>
        <v>97.4</v>
      </c>
      <c r="R77" s="244">
        <f>ROUND(供應率!M14,1)</f>
        <v>0</v>
      </c>
      <c r="S77" s="244">
        <f>ROUND(供應率!N14,1)</f>
        <v>96.2</v>
      </c>
      <c r="T77" s="244">
        <f>ROUND(供應率!O14,1)</f>
        <v>98.6</v>
      </c>
      <c r="U77" s="244">
        <f>ROUND(供應率!P14,1)</f>
        <v>96.5</v>
      </c>
      <c r="V77" s="244">
        <f>ROUND(供應率!Q14,1)</f>
        <v>97.9</v>
      </c>
      <c r="W77" s="244">
        <f>ROUND(供應率!R14,1)</f>
        <v>98.2</v>
      </c>
      <c r="X77" s="244">
        <f>ROUND(供應率!S14,1)</f>
        <v>98.2</v>
      </c>
      <c r="Y77" s="244">
        <f>ROUND(供應率!T14,1)</f>
        <v>0</v>
      </c>
      <c r="Z77" s="244">
        <f>ROUND(供應率!U14,1)</f>
        <v>96.1</v>
      </c>
      <c r="AA77" s="244">
        <f>ROUND(供應率!V14,1)</f>
        <v>97.8</v>
      </c>
      <c r="AB77" s="244">
        <f>ROUND(供應率!W14,1)</f>
        <v>99</v>
      </c>
      <c r="AC77" s="244">
        <f>ROUND(供應率!X14,1)</f>
        <v>97.2</v>
      </c>
      <c r="AD77" s="244">
        <f>ROUND(供應率!Y14,1)</f>
        <v>96.8</v>
      </c>
      <c r="AE77" s="244">
        <f>ROUND(供應率!Z14,1)</f>
        <v>98.4</v>
      </c>
      <c r="AF77" s="244">
        <f>ROUND(供應率!AA14,1)</f>
        <v>0</v>
      </c>
      <c r="AG77" s="244">
        <f>ROUND(供應率!AB14,1)</f>
        <v>98.5</v>
      </c>
      <c r="AH77" s="244">
        <f>ROUND(供應率!AC14,1)</f>
        <v>98.7</v>
      </c>
      <c r="AI77" s="244">
        <f>ROUND(供應率!AD14,1)</f>
        <v>97.7</v>
      </c>
      <c r="AJ77" s="244">
        <f>ROUND(供應率!AE14,1)</f>
        <v>96.5</v>
      </c>
      <c r="AK77" s="244">
        <f>ROUND(供應率!AF14,1)</f>
        <v>98.3</v>
      </c>
      <c r="AL77" s="244">
        <f>ROUND(供應率!AG14,1)</f>
        <v>98.5</v>
      </c>
      <c r="AM77" s="244">
        <f>ROUND(供應率!AH14,1)</f>
        <v>0</v>
      </c>
      <c r="AN77" s="246">
        <f>ROUND(供應率!AI14,1)</f>
        <v>97.6</v>
      </c>
      <c r="AO77" s="55"/>
    </row>
    <row r="78" spans="1:41" s="11" customFormat="1" ht="21.95" customHeight="1">
      <c r="A78" s="542" t="s">
        <v>27</v>
      </c>
      <c r="B78" s="543"/>
      <c r="C78" s="544"/>
      <c r="D78" s="310" t="str">
        <f>HLOOKUP(MONTH(日期!$C$2),去年月推移!$D$1:$O$200,135,TRUE)</f>
        <v>95.7</v>
      </c>
      <c r="E78" s="243"/>
      <c r="F78" s="243"/>
      <c r="G78" s="558">
        <f>ROUND(當年月推移!P137,1)</f>
        <v>94.3</v>
      </c>
      <c r="H78" s="559"/>
      <c r="I78" s="244">
        <f>ROUND(供應率!D15,1)</f>
        <v>0</v>
      </c>
      <c r="J78" s="244">
        <f>ROUND(供應率!E15,1)</f>
        <v>91.1</v>
      </c>
      <c r="K78" s="244">
        <f>ROUND(供應率!F15,1)</f>
        <v>0</v>
      </c>
      <c r="L78" s="244">
        <f>ROUND(供應率!G15,1)</f>
        <v>92.9</v>
      </c>
      <c r="M78" s="244">
        <f>ROUND(供應率!H15,1)</f>
        <v>82</v>
      </c>
      <c r="N78" s="244">
        <f>ROUND(供應率!I15,1)</f>
        <v>91.7</v>
      </c>
      <c r="O78" s="244">
        <f>ROUND(供應率!J15,1)</f>
        <v>94.3</v>
      </c>
      <c r="P78" s="244">
        <f>ROUND(供應率!K15,1)</f>
        <v>95.7</v>
      </c>
      <c r="Q78" s="244">
        <f>ROUND(供應率!L15,1)</f>
        <v>100</v>
      </c>
      <c r="R78" s="244">
        <f>ROUND(供應率!M15,1)</f>
        <v>0</v>
      </c>
      <c r="S78" s="244">
        <f>ROUND(供應率!N15,1)</f>
        <v>100</v>
      </c>
      <c r="T78" s="244">
        <f>ROUND(供應率!O15,1)</f>
        <v>98.1</v>
      </c>
      <c r="U78" s="244">
        <f>ROUND(供應率!P15,1)</f>
        <v>95.4</v>
      </c>
      <c r="V78" s="244">
        <f>ROUND(供應率!Q15,1)</f>
        <v>100</v>
      </c>
      <c r="W78" s="244">
        <f>ROUND(供應率!R15,1)</f>
        <v>97.7</v>
      </c>
      <c r="X78" s="244">
        <f>ROUND(供應率!S15,1)</f>
        <v>90.3</v>
      </c>
      <c r="Y78" s="244">
        <f>ROUND(供應率!T15,1)</f>
        <v>0</v>
      </c>
      <c r="Z78" s="244">
        <f>ROUND(供應率!U15,1)</f>
        <v>94.2</v>
      </c>
      <c r="AA78" s="244">
        <f>ROUND(供應率!V15,1)</f>
        <v>90.1</v>
      </c>
      <c r="AB78" s="244">
        <f>ROUND(供應率!W15,1)</f>
        <v>92.1</v>
      </c>
      <c r="AC78" s="244">
        <f>ROUND(供應率!X15,1)</f>
        <v>91.6</v>
      </c>
      <c r="AD78" s="244">
        <f>ROUND(供應率!Y15,1)</f>
        <v>94.6</v>
      </c>
      <c r="AE78" s="244">
        <f>ROUND(供應率!Z15,1)</f>
        <v>87.5</v>
      </c>
      <c r="AF78" s="244">
        <f>ROUND(供應率!AA15,1)</f>
        <v>0</v>
      </c>
      <c r="AG78" s="244">
        <f>ROUND(供應率!AB15,1)</f>
        <v>98.2</v>
      </c>
      <c r="AH78" s="244">
        <f>ROUND(供應率!AC15,1)</f>
        <v>95.1</v>
      </c>
      <c r="AI78" s="244">
        <f>ROUND(供應率!AD15,1)</f>
        <v>94.2</v>
      </c>
      <c r="AJ78" s="244">
        <f>ROUND(供應率!AE15,1)</f>
        <v>93.9</v>
      </c>
      <c r="AK78" s="244">
        <f>ROUND(供應率!AF15,1)</f>
        <v>94.3</v>
      </c>
      <c r="AL78" s="244">
        <f>ROUND(供應率!AG15,1)</f>
        <v>94.1</v>
      </c>
      <c r="AM78" s="244">
        <f>ROUND(供應率!AH15,1)</f>
        <v>0</v>
      </c>
      <c r="AN78" s="246">
        <f>ROUND(供應率!AI15,1)</f>
        <v>93.9</v>
      </c>
      <c r="AO78" s="55"/>
    </row>
    <row r="79" spans="1:41" s="11" customFormat="1" ht="21.95" customHeight="1" thickBot="1">
      <c r="A79" s="580" t="s">
        <v>28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73" t="s">
        <v>31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49" t="s">
        <v>32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49" t="s">
        <v>33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49" t="s">
        <v>34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56" t="s">
        <v>35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2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1</v>
      </c>
      <c r="B87" s="565"/>
      <c r="C87" s="565"/>
      <c r="D87" s="568" t="str">
        <f>D3</f>
        <v>2025/5</v>
      </c>
      <c r="E87" s="568" t="str">
        <f>E3</f>
        <v>2026/5</v>
      </c>
      <c r="F87" s="335">
        <f>YEAR(日期!C2)-1</f>
        <v>2025</v>
      </c>
      <c r="G87" s="583">
        <f>YEAR(日期!C2)</f>
        <v>2026</v>
      </c>
      <c r="H87" s="584"/>
      <c r="I87" s="490" t="str">
        <f>日期!C2</f>
        <v>2026/05/01</v>
      </c>
      <c r="J87" s="490" t="str">
        <f>日期!D2</f>
        <v>2026/05/02</v>
      </c>
      <c r="K87" s="490" t="str">
        <f>日期!E2</f>
        <v>2026/05/03</v>
      </c>
      <c r="L87" s="490" t="str">
        <f>日期!F2</f>
        <v>2026/05/04</v>
      </c>
      <c r="M87" s="490" t="str">
        <f>日期!G2</f>
        <v>2026/05/05</v>
      </c>
      <c r="N87" s="490" t="str">
        <f>日期!H2</f>
        <v>2026/05/06</v>
      </c>
      <c r="O87" s="490" t="str">
        <f>日期!I2</f>
        <v>2026/05/07</v>
      </c>
      <c r="P87" s="490" t="str">
        <f>日期!J2</f>
        <v>2026/05/08</v>
      </c>
      <c r="Q87" s="490" t="str">
        <f>日期!K2</f>
        <v>2026/05/09</v>
      </c>
      <c r="R87" s="490" t="str">
        <f>日期!L2</f>
        <v>2026/05/10</v>
      </c>
      <c r="S87" s="490" t="str">
        <f>日期!M2</f>
        <v>2026/05/11</v>
      </c>
      <c r="T87" s="490" t="str">
        <f>日期!N2</f>
        <v>2026/05/12</v>
      </c>
      <c r="U87" s="490" t="str">
        <f>日期!O2</f>
        <v>2026/05/13</v>
      </c>
      <c r="V87" s="490" t="str">
        <f>日期!P2</f>
        <v>2026/05/14</v>
      </c>
      <c r="W87" s="490" t="str">
        <f>日期!Q2</f>
        <v>2026/05/15</v>
      </c>
      <c r="X87" s="490" t="str">
        <f>日期!R2</f>
        <v>2026/05/16</v>
      </c>
      <c r="Y87" s="490" t="str">
        <f>日期!S2</f>
        <v>2026/05/17</v>
      </c>
      <c r="Z87" s="490" t="str">
        <f>日期!T2</f>
        <v>2026/05/18</v>
      </c>
      <c r="AA87" s="490" t="str">
        <f>日期!U2</f>
        <v>2026/05/19</v>
      </c>
      <c r="AB87" s="490" t="str">
        <f>日期!V2</f>
        <v>2026/05/20</v>
      </c>
      <c r="AC87" s="490" t="str">
        <f>日期!W2</f>
        <v>2026/05/21</v>
      </c>
      <c r="AD87" s="490" t="str">
        <f>日期!X2</f>
        <v>2026/05/22</v>
      </c>
      <c r="AE87" s="490" t="str">
        <f>日期!Y2</f>
        <v>2026/05/23</v>
      </c>
      <c r="AF87" s="490" t="str">
        <f>日期!Z2</f>
        <v>2026/05/24</v>
      </c>
      <c r="AG87" s="490" t="str">
        <f>日期!AA2</f>
        <v>2026/05/25</v>
      </c>
      <c r="AH87" s="490" t="str">
        <f>日期!AB2</f>
        <v>2026/05/26</v>
      </c>
      <c r="AI87" s="490" t="str">
        <f>日期!AC2</f>
        <v>2026/05/27</v>
      </c>
      <c r="AJ87" s="490" t="str">
        <f>日期!AD2</f>
        <v>2026/05/28</v>
      </c>
      <c r="AK87" s="490" t="str">
        <f>日期!AE2</f>
        <v>2026/05/29</v>
      </c>
      <c r="AL87" s="490" t="str">
        <f>日期!AF2</f>
        <v>2026/05/30</v>
      </c>
      <c r="AM87" s="490" t="str">
        <f>日期!AG2</f>
        <v>2026/05/31</v>
      </c>
      <c r="AN87" s="560" t="s">
        <v>42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58</v>
      </c>
      <c r="G88" s="571" t="s">
        <v>59</v>
      </c>
      <c r="H88" s="572"/>
      <c r="I88" s="12" t="str">
        <f>日期!C3</f>
        <v>Fri</v>
      </c>
      <c r="J88" s="12" t="str">
        <f>日期!D3</f>
        <v>Sat</v>
      </c>
      <c r="K88" s="12" t="str">
        <f>日期!E3</f>
        <v>Sun</v>
      </c>
      <c r="L88" s="12" t="str">
        <f>日期!F3</f>
        <v>Mon</v>
      </c>
      <c r="M88" s="12" t="str">
        <f>日期!G3</f>
        <v>Tue</v>
      </c>
      <c r="N88" s="12" t="str">
        <f>日期!H3</f>
        <v>Wed</v>
      </c>
      <c r="O88" s="12" t="str">
        <f>日期!I3</f>
        <v>Thu</v>
      </c>
      <c r="P88" s="12" t="str">
        <f>日期!J3</f>
        <v>Fri</v>
      </c>
      <c r="Q88" s="12" t="str">
        <f>日期!K3</f>
        <v>Sat</v>
      </c>
      <c r="R88" s="12" t="str">
        <f>日期!L3</f>
        <v>Sun</v>
      </c>
      <c r="S88" s="12" t="str">
        <f>日期!M3</f>
        <v>Mon</v>
      </c>
      <c r="T88" s="12" t="str">
        <f>日期!N3</f>
        <v>Tue</v>
      </c>
      <c r="U88" s="12" t="str">
        <f>日期!O3</f>
        <v>Wed</v>
      </c>
      <c r="V88" s="12" t="str">
        <f>日期!P3</f>
        <v>Thu</v>
      </c>
      <c r="W88" s="12" t="str">
        <f>日期!Q3</f>
        <v>Fri</v>
      </c>
      <c r="X88" s="12" t="str">
        <f>日期!R3</f>
        <v>Sat</v>
      </c>
      <c r="Y88" s="12" t="str">
        <f>日期!S3</f>
        <v>Sun</v>
      </c>
      <c r="Z88" s="12" t="str">
        <f>日期!T3</f>
        <v>Mon</v>
      </c>
      <c r="AA88" s="12" t="str">
        <f>日期!U3</f>
        <v>Tue</v>
      </c>
      <c r="AB88" s="12" t="str">
        <f>日期!V3</f>
        <v>Wed</v>
      </c>
      <c r="AC88" s="12" t="str">
        <f>日期!W3</f>
        <v>Thu</v>
      </c>
      <c r="AD88" s="12" t="str">
        <f>日期!X3</f>
        <v>Fri</v>
      </c>
      <c r="AE88" s="12" t="str">
        <f>日期!Y3</f>
        <v>Sat</v>
      </c>
      <c r="AF88" s="12" t="str">
        <f>日期!Z3</f>
        <v>Sun</v>
      </c>
      <c r="AG88" s="12" t="str">
        <f>日期!AA3</f>
        <v>Mon</v>
      </c>
      <c r="AH88" s="12" t="str">
        <f>日期!AB3</f>
        <v>Tue</v>
      </c>
      <c r="AI88" s="12" t="str">
        <f>日期!AC3</f>
        <v>Wed</v>
      </c>
      <c r="AJ88" s="12" t="str">
        <f>日期!AD3</f>
        <v>Thu</v>
      </c>
      <c r="AK88" s="12" t="str">
        <f>日期!AE3</f>
        <v>Fri</v>
      </c>
      <c r="AL88" s="12" t="str">
        <f>日期!AF3</f>
        <v>Sat</v>
      </c>
      <c r="AM88" s="12" t="str">
        <f>日期!AG3</f>
        <v>Sun</v>
      </c>
      <c r="AN88" s="561"/>
    </row>
    <row r="89" spans="1:41" s="35" customFormat="1" ht="21.95" customHeight="1">
      <c r="A89" s="562" t="s">
        <v>11</v>
      </c>
      <c r="B89" s="563"/>
      <c r="C89" s="563"/>
      <c r="D89" s="314">
        <f>HLOOKUP(MONTH(日期!$C$2),去年月推移!$D$1:$O$200,145,TRUE)</f>
        <v>4413</v>
      </c>
      <c r="E89" s="62" t="s">
        <v>45</v>
      </c>
      <c r="F89" s="62" t="s">
        <v>45</v>
      </c>
      <c r="G89" s="528">
        <f>當年月推移!P147</f>
        <v>5274</v>
      </c>
      <c r="H89" s="529"/>
      <c r="I89" s="63">
        <f>VALUE(點數BO!C2)</f>
        <v>0</v>
      </c>
      <c r="J89" s="63">
        <f>VALUE(點數BO!D2)</f>
        <v>186</v>
      </c>
      <c r="K89" s="63">
        <f>VALUE(點數BO!E2)</f>
        <v>0</v>
      </c>
      <c r="L89" s="63">
        <f>VALUE(點數BO!F2)</f>
        <v>320</v>
      </c>
      <c r="M89" s="63">
        <f>VALUE(點數BO!G2)</f>
        <v>252</v>
      </c>
      <c r="N89" s="63">
        <f>VALUE(點數BO!H2)</f>
        <v>314</v>
      </c>
      <c r="O89" s="63">
        <f>VALUE(點數BO!I2)</f>
        <v>0</v>
      </c>
      <c r="P89" s="63">
        <f>VALUE(點數BO!J2)</f>
        <v>254</v>
      </c>
      <c r="Q89" s="63">
        <f>VALUE(點數BO!K2)</f>
        <v>219</v>
      </c>
      <c r="R89" s="63">
        <f>VALUE(點數BO!L2)</f>
        <v>0</v>
      </c>
      <c r="S89" s="63">
        <f>VALUE(點數BO!M2)</f>
        <v>271</v>
      </c>
      <c r="T89" s="63">
        <f>VALUE(點數BO!N2)</f>
        <v>308</v>
      </c>
      <c r="U89" s="63">
        <f>VALUE(點數BO!O2)</f>
        <v>254</v>
      </c>
      <c r="V89" s="63">
        <f>VALUE(點數BO!P2)</f>
        <v>279</v>
      </c>
      <c r="W89" s="63">
        <f>VALUE(點數BO!Q2)</f>
        <v>248</v>
      </c>
      <c r="X89" s="63">
        <f>VALUE(點數BO!R2)</f>
        <v>147</v>
      </c>
      <c r="Y89" s="63">
        <f>VALUE(點數BO!S2)</f>
        <v>0</v>
      </c>
      <c r="Z89" s="63">
        <f>VALUE(點數BO!T2)</f>
        <v>290</v>
      </c>
      <c r="AA89" s="63">
        <f>VALUE(點數BO!U2)</f>
        <v>269</v>
      </c>
      <c r="AB89" s="63">
        <f>VALUE(點數BO!V2)</f>
        <v>248</v>
      </c>
      <c r="AC89" s="63">
        <f>VALUE(點數BO!W2)</f>
        <v>262</v>
      </c>
      <c r="AD89" s="63">
        <f>VALUE(點數BO!X2)</f>
        <v>167</v>
      </c>
      <c r="AE89" s="63">
        <f>VALUE(點數BO!Y2)</f>
        <v>137</v>
      </c>
      <c r="AF89" s="63">
        <f>VALUE(點數BO!Z2)</f>
        <v>0</v>
      </c>
      <c r="AG89" s="63">
        <f>VALUE(點數BO!AA2)</f>
        <v>282</v>
      </c>
      <c r="AH89" s="63">
        <f>VALUE(點數BO!AB2)</f>
        <v>327</v>
      </c>
      <c r="AI89" s="63">
        <f>VALUE(點數BO!AC2)</f>
        <v>186</v>
      </c>
      <c r="AJ89" s="63">
        <f>VALUE(點數BO!AD2)</f>
        <v>220</v>
      </c>
      <c r="AK89" s="63">
        <f>VALUE(點數BO!AE2)</f>
        <v>266</v>
      </c>
      <c r="AL89" s="63">
        <f>VALUE(點數BO!AF2)</f>
        <v>128</v>
      </c>
      <c r="AM89" s="63">
        <f>VALUE(點數BO!AG2)</f>
        <v>0</v>
      </c>
      <c r="AN89" s="479">
        <f>VALUE(點數BO!AH2)</f>
        <v>6213</v>
      </c>
    </row>
    <row r="90" spans="1:41" s="35" customFormat="1" ht="21.95" customHeight="1">
      <c r="A90" s="540" t="s">
        <v>12</v>
      </c>
      <c r="B90" s="541"/>
      <c r="C90" s="541"/>
      <c r="D90" s="314">
        <f>HLOOKUP(MONTH(日期!$C$2),去年月推移!$D$1:$O$200,146,TRUE)</f>
        <v>1</v>
      </c>
      <c r="E90" s="64" t="s">
        <v>45</v>
      </c>
      <c r="F90" s="64" t="s">
        <v>45</v>
      </c>
      <c r="G90" s="530">
        <f>當年月推移!P148</f>
        <v>7</v>
      </c>
      <c r="H90" s="5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3</v>
      </c>
      <c r="R90" s="63">
        <f>VALUE(點數BO!L4)</f>
        <v>0</v>
      </c>
      <c r="S90" s="63">
        <f>VALUE(點數BO!M4)</f>
        <v>0</v>
      </c>
      <c r="T90" s="63">
        <f>VALUE(點數BO!N4)</f>
        <v>1</v>
      </c>
      <c r="U90" s="63">
        <f>VALUE(點數BO!O4)</f>
        <v>9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1</v>
      </c>
      <c r="AF90" s="63">
        <f>VALUE(點數BO!Z4)</f>
        <v>0</v>
      </c>
      <c r="AG90" s="63">
        <f>VALUE(點數BO!AA4)</f>
        <v>0</v>
      </c>
      <c r="AH90" s="63">
        <f>VALUE(點數BO!AB4)</f>
        <v>1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15</v>
      </c>
    </row>
    <row r="91" spans="1:41" s="35" customFormat="1" ht="21.95" customHeight="1">
      <c r="A91" s="540" t="s">
        <v>13</v>
      </c>
      <c r="B91" s="541"/>
      <c r="C91" s="541"/>
      <c r="D91" s="314">
        <f>HLOOKUP(MONTH(日期!$C$2),去年月推移!$D$1:$O$200,147,TRUE)</f>
        <v>102</v>
      </c>
      <c r="E91" s="64" t="s">
        <v>45</v>
      </c>
      <c r="F91" s="64" t="s">
        <v>45</v>
      </c>
      <c r="G91" s="530">
        <f>當年月推移!P149</f>
        <v>22</v>
      </c>
      <c r="H91" s="531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1</v>
      </c>
      <c r="M91" s="63">
        <f>VALUE(點數BO!G5)</f>
        <v>2</v>
      </c>
      <c r="N91" s="63">
        <f>VALUE(點數BO!H5)</f>
        <v>0</v>
      </c>
      <c r="O91" s="63">
        <f>VALUE(點數BO!I5)</f>
        <v>0</v>
      </c>
      <c r="P91" s="63">
        <f>VALUE(點數BO!J5)</f>
        <v>0</v>
      </c>
      <c r="Q91" s="63">
        <f>VALUE(點數BO!K5)</f>
        <v>1</v>
      </c>
      <c r="R91" s="63">
        <f>VALUE(點數BO!L5)</f>
        <v>0</v>
      </c>
      <c r="S91" s="63">
        <f>VALUE(點數BO!M5)</f>
        <v>0</v>
      </c>
      <c r="T91" s="63">
        <f>VALUE(點數BO!N5)</f>
        <v>0</v>
      </c>
      <c r="U91" s="63">
        <f>VALUE(點數BO!O5)</f>
        <v>1</v>
      </c>
      <c r="V91" s="63">
        <f>VALUE(點數BO!P5)</f>
        <v>2</v>
      </c>
      <c r="W91" s="63">
        <f>VALUE(點數BO!Q5)</f>
        <v>1</v>
      </c>
      <c r="X91" s="63">
        <f>VALUE(點數BO!R5)</f>
        <v>3</v>
      </c>
      <c r="Y91" s="63">
        <f>VALUE(點數BO!S5)</f>
        <v>0</v>
      </c>
      <c r="Z91" s="63">
        <f>VALUE(點數BO!T5)</f>
        <v>1</v>
      </c>
      <c r="AA91" s="63">
        <f>VALUE(點數BO!U5)</f>
        <v>1</v>
      </c>
      <c r="AB91" s="63">
        <f>VALUE(點數BO!V5)</f>
        <v>0</v>
      </c>
      <c r="AC91" s="63">
        <f>VALUE(點數BO!W5)</f>
        <v>2</v>
      </c>
      <c r="AD91" s="63">
        <f>VALUE(點數BO!X5)</f>
        <v>0</v>
      </c>
      <c r="AE91" s="63">
        <f>VALUE(點數BO!Y5)</f>
        <v>3</v>
      </c>
      <c r="AF91" s="63">
        <f>VALUE(點數BO!Z5)</f>
        <v>0</v>
      </c>
      <c r="AG91" s="63">
        <f>VALUE(點數BO!AA5)</f>
        <v>4</v>
      </c>
      <c r="AH91" s="63">
        <f>VALUE(點數BO!AB5)</f>
        <v>3</v>
      </c>
      <c r="AI91" s="63">
        <f>VALUE(點數BO!AC5)</f>
        <v>2</v>
      </c>
      <c r="AJ91" s="63">
        <f>VALUE(點數BO!AD5)</f>
        <v>1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31</v>
      </c>
    </row>
    <row r="92" spans="1:41" s="35" customFormat="1" ht="21.95" customHeight="1">
      <c r="A92" s="540" t="s">
        <v>14</v>
      </c>
      <c r="B92" s="541"/>
      <c r="C92" s="541"/>
      <c r="D92" s="314">
        <f>HLOOKUP(MONTH(日期!$C$2),去年月推移!$D$1:$O$200,148,TRUE)</f>
        <v>157</v>
      </c>
      <c r="E92" s="64" t="s">
        <v>45</v>
      </c>
      <c r="F92" s="64" t="s">
        <v>45</v>
      </c>
      <c r="G92" s="530">
        <f>當年月推移!P150</f>
        <v>329</v>
      </c>
      <c r="H92" s="531"/>
      <c r="I92" s="63">
        <f>VALUE(點數BO!C6)</f>
        <v>0</v>
      </c>
      <c r="J92" s="63">
        <f>VALUE(點數BO!D6)</f>
        <v>1</v>
      </c>
      <c r="K92" s="63">
        <f>VALUE(點數BO!E6)</f>
        <v>0</v>
      </c>
      <c r="L92" s="63">
        <f>VALUE(點數BO!F6)</f>
        <v>14</v>
      </c>
      <c r="M92" s="63">
        <f>VALUE(點數BO!G6)</f>
        <v>19</v>
      </c>
      <c r="N92" s="63">
        <f>VALUE(點數BO!H6)</f>
        <v>3</v>
      </c>
      <c r="O92" s="63">
        <f>VALUE(點數BO!I6)</f>
        <v>0</v>
      </c>
      <c r="P92" s="63">
        <f>VALUE(點數BO!J6)</f>
        <v>14</v>
      </c>
      <c r="Q92" s="63">
        <f>VALUE(點數BO!K6)</f>
        <v>4</v>
      </c>
      <c r="R92" s="63">
        <f>VALUE(點數BO!L6)</f>
        <v>0</v>
      </c>
      <c r="S92" s="63">
        <f>VALUE(點數BO!M6)</f>
        <v>14</v>
      </c>
      <c r="T92" s="63">
        <f>VALUE(點數BO!N6)</f>
        <v>8</v>
      </c>
      <c r="U92" s="63">
        <f>VALUE(點數BO!O6)</f>
        <v>10</v>
      </c>
      <c r="V92" s="63">
        <f>VALUE(點數BO!P6)</f>
        <v>6</v>
      </c>
      <c r="W92" s="63">
        <f>VALUE(點數BO!Q6)</f>
        <v>11</v>
      </c>
      <c r="X92" s="63">
        <f>VALUE(點數BO!R6)</f>
        <v>2</v>
      </c>
      <c r="Y92" s="63">
        <f>VALUE(點數BO!S6)</f>
        <v>0</v>
      </c>
      <c r="Z92" s="63">
        <f>VALUE(點數BO!T6)</f>
        <v>10</v>
      </c>
      <c r="AA92" s="63">
        <f>VALUE(點數BO!U6)</f>
        <v>11</v>
      </c>
      <c r="AB92" s="63">
        <f>VALUE(點數BO!V6)</f>
        <v>4</v>
      </c>
      <c r="AC92" s="63">
        <f>VALUE(點數BO!W6)</f>
        <v>4</v>
      </c>
      <c r="AD92" s="63">
        <f>VALUE(點數BO!X6)</f>
        <v>9</v>
      </c>
      <c r="AE92" s="63">
        <f>VALUE(點數BO!Y6)</f>
        <v>3</v>
      </c>
      <c r="AF92" s="63">
        <f>VALUE(點數BO!Z6)</f>
        <v>0</v>
      </c>
      <c r="AG92" s="63">
        <f>VALUE(點數BO!AA6)</f>
        <v>11</v>
      </c>
      <c r="AH92" s="63">
        <f>VALUE(點數BO!AB6)</f>
        <v>7</v>
      </c>
      <c r="AI92" s="63">
        <f>VALUE(點數BO!AC6)</f>
        <v>4</v>
      </c>
      <c r="AJ92" s="63">
        <f>VALUE(點數BO!AD6)</f>
        <v>5</v>
      </c>
      <c r="AK92" s="63">
        <f>VALUE(點數BO!AE6)</f>
        <v>2</v>
      </c>
      <c r="AL92" s="63">
        <f>VALUE(點數BO!AF6)</f>
        <v>0</v>
      </c>
      <c r="AM92" s="63">
        <f>VALUE(點數BO!AG6)</f>
        <v>0</v>
      </c>
      <c r="AN92" s="480">
        <f>VALUE(點數BO!AH6)</f>
        <v>189</v>
      </c>
    </row>
    <row r="93" spans="1:41" s="35" customFormat="1" ht="21.95" customHeight="1">
      <c r="A93" s="540" t="s">
        <v>56</v>
      </c>
      <c r="B93" s="541"/>
      <c r="C93" s="541"/>
      <c r="D93" s="314">
        <f>HLOOKUP(MONTH(日期!$C$2),去年月推移!$D$1:$O$200,149,TRUE)</f>
        <v>640</v>
      </c>
      <c r="E93" s="64" t="s">
        <v>45</v>
      </c>
      <c r="F93" s="64" t="s">
        <v>45</v>
      </c>
      <c r="G93" s="530">
        <f>當年月推移!P151</f>
        <v>646</v>
      </c>
      <c r="H93" s="531"/>
      <c r="I93" s="63">
        <f>VALUE(點數BO!C20)</f>
        <v>0</v>
      </c>
      <c r="J93" s="63">
        <f>VALUE(點數BO!D20)</f>
        <v>20</v>
      </c>
      <c r="K93" s="63">
        <f>VALUE(點數BO!E20)</f>
        <v>0</v>
      </c>
      <c r="L93" s="63">
        <f>VALUE(點數BO!F20)</f>
        <v>39</v>
      </c>
      <c r="M93" s="63">
        <f>VALUE(點數BO!G20)</f>
        <v>31</v>
      </c>
      <c r="N93" s="63">
        <f>VALUE(點數BO!H20)</f>
        <v>49</v>
      </c>
      <c r="O93" s="63">
        <f>VALUE(點數BO!I20)</f>
        <v>0</v>
      </c>
      <c r="P93" s="63">
        <f>VALUE(點數BO!J20)</f>
        <v>30</v>
      </c>
      <c r="Q93" s="63">
        <f>VALUE(點數BO!K20)</f>
        <v>25</v>
      </c>
      <c r="R93" s="63">
        <f>VALUE(點數BO!L20)</f>
        <v>0</v>
      </c>
      <c r="S93" s="63">
        <f>VALUE(點數BO!M20)</f>
        <v>57</v>
      </c>
      <c r="T93" s="63">
        <f>VALUE(點數BO!N20)</f>
        <v>36</v>
      </c>
      <c r="U93" s="63">
        <f>VALUE(點數BO!O20)</f>
        <v>40</v>
      </c>
      <c r="V93" s="63">
        <f>VALUE(點數BO!P20)</f>
        <v>20</v>
      </c>
      <c r="W93" s="63">
        <f>VALUE(點數BO!Q20)</f>
        <v>16</v>
      </c>
      <c r="X93" s="63">
        <f>VALUE(點數BO!R20)</f>
        <v>21</v>
      </c>
      <c r="Y93" s="63">
        <f>VALUE(點數BO!S20)</f>
        <v>0</v>
      </c>
      <c r="Z93" s="63">
        <f>VALUE(點數BO!T20)</f>
        <v>30</v>
      </c>
      <c r="AA93" s="63">
        <f>VALUE(點數BO!U20)</f>
        <v>25</v>
      </c>
      <c r="AB93" s="63">
        <f>VALUE(點數BO!V20)</f>
        <v>19</v>
      </c>
      <c r="AC93" s="63">
        <f>VALUE(點數BO!W20)</f>
        <v>17</v>
      </c>
      <c r="AD93" s="63">
        <f>VALUE(點數BO!X20)</f>
        <v>28</v>
      </c>
      <c r="AE93" s="63">
        <f>VALUE(點數BO!Y20)</f>
        <v>35</v>
      </c>
      <c r="AF93" s="63">
        <f>VALUE(點數BO!Z20)</f>
        <v>0</v>
      </c>
      <c r="AG93" s="63">
        <f>VALUE(點數BO!AA20)</f>
        <v>50</v>
      </c>
      <c r="AH93" s="63">
        <f>VALUE(點數BO!AB20)</f>
        <v>29</v>
      </c>
      <c r="AI93" s="63">
        <f>VALUE(點數BO!AC20)</f>
        <v>41</v>
      </c>
      <c r="AJ93" s="63">
        <f>VALUE(點數BO!AD20)</f>
        <v>27</v>
      </c>
      <c r="AK93" s="63">
        <f>VALUE(點數BO!AE20)</f>
        <v>20</v>
      </c>
      <c r="AL93" s="63">
        <f>VALUE(點數BO!AF20)</f>
        <v>19</v>
      </c>
      <c r="AM93" s="63">
        <f>VALUE(點數BO!AG20)</f>
        <v>0</v>
      </c>
      <c r="AN93" s="480">
        <f>VALUE(點數BO!AH20)</f>
        <v>762</v>
      </c>
    </row>
    <row r="94" spans="1:41" s="35" customFormat="1" ht="21.95" customHeight="1">
      <c r="A94" s="540" t="s">
        <v>16</v>
      </c>
      <c r="B94" s="541"/>
      <c r="C94" s="541"/>
      <c r="D94" s="314">
        <f>HLOOKUP(MONTH(日期!$C$2),去年月推移!$D$1:$O$200,150,TRUE)</f>
        <v>218</v>
      </c>
      <c r="E94" s="64" t="s">
        <v>45</v>
      </c>
      <c r="F94" s="64" t="s">
        <v>45</v>
      </c>
      <c r="G94" s="530">
        <f>當年月推移!P152</f>
        <v>137</v>
      </c>
      <c r="H94" s="531"/>
      <c r="I94" s="63">
        <f>VALUE(點數BO!C8)</f>
        <v>0</v>
      </c>
      <c r="J94" s="63">
        <f>VALUE(點數BO!D8)</f>
        <v>0</v>
      </c>
      <c r="K94" s="63">
        <f>VALUE(點數BO!E8)</f>
        <v>0</v>
      </c>
      <c r="L94" s="63">
        <f>VALUE(點數BO!F8)</f>
        <v>1</v>
      </c>
      <c r="M94" s="63">
        <f>VALUE(點數BO!G8)</f>
        <v>0</v>
      </c>
      <c r="N94" s="63">
        <f>VALUE(點數BO!H8)</f>
        <v>5</v>
      </c>
      <c r="O94" s="63">
        <f>VALUE(點數BO!I8)</f>
        <v>0</v>
      </c>
      <c r="P94" s="63">
        <f>VALUE(點數BO!J8)</f>
        <v>7</v>
      </c>
      <c r="Q94" s="63">
        <f>VALUE(點數BO!K8)</f>
        <v>3</v>
      </c>
      <c r="R94" s="63">
        <f>VALUE(點數BO!L8)</f>
        <v>0</v>
      </c>
      <c r="S94" s="63">
        <f>VALUE(點數BO!M8)</f>
        <v>0</v>
      </c>
      <c r="T94" s="63">
        <f>VALUE(點數BO!N8)</f>
        <v>3</v>
      </c>
      <c r="U94" s="63">
        <f>VALUE(點數BO!O8)</f>
        <v>2</v>
      </c>
      <c r="V94" s="63">
        <f>VALUE(點數BO!P8)</f>
        <v>3</v>
      </c>
      <c r="W94" s="63">
        <f>VALUE(點數BO!Q8)</f>
        <v>6</v>
      </c>
      <c r="X94" s="63">
        <f>VALUE(點數BO!R8)</f>
        <v>5</v>
      </c>
      <c r="Y94" s="63">
        <f>VALUE(點數BO!S8)</f>
        <v>0</v>
      </c>
      <c r="Z94" s="63">
        <f>VALUE(點數BO!T8)</f>
        <v>1</v>
      </c>
      <c r="AA94" s="63">
        <f>VALUE(點數BO!U8)</f>
        <v>5</v>
      </c>
      <c r="AB94" s="63">
        <f>VALUE(點數BO!V8)</f>
        <v>3</v>
      </c>
      <c r="AC94" s="63">
        <f>VALUE(點數BO!W8)</f>
        <v>2</v>
      </c>
      <c r="AD94" s="63">
        <f>VALUE(點數BO!X8)</f>
        <v>1</v>
      </c>
      <c r="AE94" s="63">
        <f>VALUE(點數BO!Y8)</f>
        <v>3</v>
      </c>
      <c r="AF94" s="63">
        <f>VALUE(點數BO!Z8)</f>
        <v>0</v>
      </c>
      <c r="AG94" s="63">
        <f>VALUE(點數BO!AA8)</f>
        <v>5</v>
      </c>
      <c r="AH94" s="63">
        <f>VALUE(點數BO!AB8)</f>
        <v>3</v>
      </c>
      <c r="AI94" s="63">
        <f>VALUE(點數BO!AC8)</f>
        <v>1</v>
      </c>
      <c r="AJ94" s="63">
        <f>VALUE(點數BO!AD8)</f>
        <v>1</v>
      </c>
      <c r="AK94" s="63">
        <f>VALUE(點數BO!AE8)</f>
        <v>8</v>
      </c>
      <c r="AL94" s="63">
        <f>VALUE(點數BO!AF8)</f>
        <v>11</v>
      </c>
      <c r="AM94" s="63">
        <f>VALUE(點數BO!AG8)</f>
        <v>0</v>
      </c>
      <c r="AN94" s="480">
        <f>VALUE(點數BO!AH8)</f>
        <v>81</v>
      </c>
    </row>
    <row r="95" spans="1:41" s="35" customFormat="1" ht="21.95" customHeight="1">
      <c r="A95" s="549" t="s">
        <v>17</v>
      </c>
      <c r="B95" s="550"/>
      <c r="C95" s="550"/>
      <c r="D95" s="314">
        <f>HLOOKUP(MONTH(日期!$C$2),去年月推移!$D$1:$O$200,151,TRUE)</f>
        <v>18</v>
      </c>
      <c r="E95" s="65" t="s">
        <v>45</v>
      </c>
      <c r="F95" s="65" t="s">
        <v>45</v>
      </c>
      <c r="G95" s="530">
        <f>當年月推移!P153</f>
        <v>11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1</v>
      </c>
      <c r="R95" s="63">
        <f>VALUE(點數BO!L9)</f>
        <v>0</v>
      </c>
      <c r="S95" s="63">
        <f>VALUE(點數BO!M9)</f>
        <v>0</v>
      </c>
      <c r="T95" s="63">
        <f>VALUE(點數BO!N9)</f>
        <v>1</v>
      </c>
      <c r="U95" s="63">
        <f>VALUE(點數BO!O9)</f>
        <v>0</v>
      </c>
      <c r="V95" s="63">
        <f>VALUE(點數BO!P9)</f>
        <v>1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1</v>
      </c>
      <c r="AL95" s="63">
        <f>VALUE(點數BO!AF9)</f>
        <v>0</v>
      </c>
      <c r="AM95" s="63">
        <f>VALUE(點數BO!AG9)</f>
        <v>0</v>
      </c>
      <c r="AN95" s="480">
        <f>VALUE(點數BO!AH9)</f>
        <v>4</v>
      </c>
    </row>
    <row r="96" spans="1:41" s="35" customFormat="1" ht="21.95" customHeight="1">
      <c r="A96" s="551" t="s">
        <v>49</v>
      </c>
      <c r="B96" s="552"/>
      <c r="C96" s="553"/>
      <c r="D96" s="321">
        <f>HLOOKUP(MONTH(日期!$C$2),去年月推移!$D$1:$O$200,152,TRUE)</f>
        <v>5549</v>
      </c>
      <c r="E96" s="248"/>
      <c r="F96" s="248"/>
      <c r="G96" s="545">
        <f>當年月推移!P154</f>
        <v>6426</v>
      </c>
      <c r="H96" s="546"/>
      <c r="I96" s="249">
        <f>SUM(I89:I95)</f>
        <v>0</v>
      </c>
      <c r="J96" s="249">
        <f>SUM(J89:J95)</f>
        <v>207</v>
      </c>
      <c r="K96" s="249">
        <f>SUM(K89:K95)</f>
        <v>0</v>
      </c>
      <c r="L96" s="249">
        <f t="shared" ref="L96:AN96" si="11">SUM(L89:L95)</f>
        <v>375</v>
      </c>
      <c r="M96" s="249">
        <f t="shared" si="11"/>
        <v>304</v>
      </c>
      <c r="N96" s="249">
        <f t="shared" si="11"/>
        <v>371</v>
      </c>
      <c r="O96" s="249">
        <f t="shared" si="11"/>
        <v>0</v>
      </c>
      <c r="P96" s="249">
        <f t="shared" si="11"/>
        <v>305</v>
      </c>
      <c r="Q96" s="249">
        <f t="shared" si="11"/>
        <v>256</v>
      </c>
      <c r="R96" s="249">
        <f t="shared" si="11"/>
        <v>0</v>
      </c>
      <c r="S96" s="249">
        <f t="shared" si="11"/>
        <v>342</v>
      </c>
      <c r="T96" s="249">
        <f t="shared" si="11"/>
        <v>357</v>
      </c>
      <c r="U96" s="249">
        <f t="shared" si="11"/>
        <v>316</v>
      </c>
      <c r="V96" s="249">
        <f t="shared" si="11"/>
        <v>311</v>
      </c>
      <c r="W96" s="249">
        <f t="shared" si="11"/>
        <v>282</v>
      </c>
      <c r="X96" s="249">
        <f t="shared" si="11"/>
        <v>178</v>
      </c>
      <c r="Y96" s="249">
        <f t="shared" si="11"/>
        <v>0</v>
      </c>
      <c r="Z96" s="249">
        <f t="shared" si="11"/>
        <v>332</v>
      </c>
      <c r="AA96" s="249">
        <f t="shared" si="11"/>
        <v>311</v>
      </c>
      <c r="AB96" s="249">
        <f t="shared" si="11"/>
        <v>274</v>
      </c>
      <c r="AC96" s="249">
        <f t="shared" si="11"/>
        <v>287</v>
      </c>
      <c r="AD96" s="249">
        <f t="shared" si="11"/>
        <v>205</v>
      </c>
      <c r="AE96" s="249">
        <f t="shared" si="11"/>
        <v>182</v>
      </c>
      <c r="AF96" s="249">
        <f t="shared" si="11"/>
        <v>0</v>
      </c>
      <c r="AG96" s="249">
        <f t="shared" si="11"/>
        <v>352</v>
      </c>
      <c r="AH96" s="249">
        <f t="shared" si="11"/>
        <v>370</v>
      </c>
      <c r="AI96" s="249">
        <f t="shared" si="11"/>
        <v>234</v>
      </c>
      <c r="AJ96" s="249">
        <f t="shared" si="11"/>
        <v>254</v>
      </c>
      <c r="AK96" s="249">
        <f t="shared" si="11"/>
        <v>297</v>
      </c>
      <c r="AL96" s="249">
        <f t="shared" si="11"/>
        <v>158</v>
      </c>
      <c r="AM96" s="249">
        <f t="shared" si="11"/>
        <v>0</v>
      </c>
      <c r="AN96" s="250">
        <f t="shared" si="11"/>
        <v>7295</v>
      </c>
    </row>
    <row r="97" spans="1:41" s="35" customFormat="1" ht="21.95" customHeight="1">
      <c r="A97" s="540" t="s">
        <v>23</v>
      </c>
      <c r="B97" s="541"/>
      <c r="C97" s="541"/>
      <c r="D97" s="316">
        <f>HLOOKUP(MONTH(日期!$C$2),去年月推移!$D$1:$O$200,153,TRUE)</f>
        <v>594</v>
      </c>
      <c r="E97" s="64" t="s">
        <v>45</v>
      </c>
      <c r="F97" s="64" t="s">
        <v>45</v>
      </c>
      <c r="G97" s="530">
        <f>當年月推移!P155</f>
        <v>1130</v>
      </c>
      <c r="H97" s="531"/>
      <c r="I97" s="63">
        <f>VALUE(點數BO!C3)</f>
        <v>0</v>
      </c>
      <c r="J97" s="63">
        <f>VALUE(點數BO!D3)</f>
        <v>18</v>
      </c>
      <c r="K97" s="63">
        <f>VALUE(點數BO!E3)</f>
        <v>0</v>
      </c>
      <c r="L97" s="63">
        <f>VALUE(點數BO!F3)</f>
        <v>43</v>
      </c>
      <c r="M97" s="63">
        <f>VALUE(點數BO!G3)</f>
        <v>47</v>
      </c>
      <c r="N97" s="63">
        <f>VALUE(點數BO!H3)</f>
        <v>36</v>
      </c>
      <c r="O97" s="63">
        <f>VALUE(點數BO!I3)</f>
        <v>0</v>
      </c>
      <c r="P97" s="63">
        <f>VALUE(點數BO!J3)</f>
        <v>39</v>
      </c>
      <c r="Q97" s="63">
        <f>VALUE(點數BO!K3)</f>
        <v>32</v>
      </c>
      <c r="R97" s="63">
        <f>VALUE(點數BO!L3)</f>
        <v>0</v>
      </c>
      <c r="S97" s="63">
        <f>VALUE(點數BO!M3)</f>
        <v>40</v>
      </c>
      <c r="T97" s="63">
        <f>VALUE(點數BO!N3)</f>
        <v>38</v>
      </c>
      <c r="U97" s="63">
        <f>VALUE(點數BO!O3)</f>
        <v>36</v>
      </c>
      <c r="V97" s="63">
        <f>VALUE(點數BO!P3)</f>
        <v>44</v>
      </c>
      <c r="W97" s="63">
        <f>VALUE(點數BO!Q3)</f>
        <v>37</v>
      </c>
      <c r="X97" s="63">
        <f>VALUE(點數BO!R3)</f>
        <v>22</v>
      </c>
      <c r="Y97" s="63">
        <f>VALUE(點數BO!S3)</f>
        <v>0</v>
      </c>
      <c r="Z97" s="63">
        <f>VALUE(點數BO!T3)</f>
        <v>31</v>
      </c>
      <c r="AA97" s="63">
        <f>VALUE(點數BO!U3)</f>
        <v>29</v>
      </c>
      <c r="AB97" s="63">
        <f>VALUE(點數BO!V3)</f>
        <v>25</v>
      </c>
      <c r="AC97" s="63">
        <f>VALUE(點數BO!W3)</f>
        <v>33</v>
      </c>
      <c r="AD97" s="63">
        <f>VALUE(點數BO!X3)</f>
        <v>33</v>
      </c>
      <c r="AE97" s="63">
        <f>VALUE(點數BO!Y3)</f>
        <v>16</v>
      </c>
      <c r="AF97" s="63">
        <f>VALUE(點數BO!Z3)</f>
        <v>0</v>
      </c>
      <c r="AG97" s="63">
        <f>VALUE(點數BO!AA3)</f>
        <v>46</v>
      </c>
      <c r="AH97" s="63">
        <f>VALUE(點數BO!AB3)</f>
        <v>35</v>
      </c>
      <c r="AI97" s="63">
        <f>VALUE(點數BO!AC3)</f>
        <v>36</v>
      </c>
      <c r="AJ97" s="63">
        <f>VALUE(點數BO!AD3)</f>
        <v>35</v>
      </c>
      <c r="AK97" s="63">
        <f>VALUE(點數BO!AE3)</f>
        <v>36</v>
      </c>
      <c r="AL97" s="63">
        <f>VALUE(點數BO!AF3)</f>
        <v>17</v>
      </c>
      <c r="AM97" s="63">
        <f>VALUE(點數BO!AG3)</f>
        <v>0</v>
      </c>
      <c r="AN97" s="480">
        <f>VALUE(點數BO!AH3)</f>
        <v>839</v>
      </c>
    </row>
    <row r="98" spans="1:41" s="35" customFormat="1" ht="21.95" customHeight="1">
      <c r="A98" s="542" t="s">
        <v>24</v>
      </c>
      <c r="B98" s="543"/>
      <c r="C98" s="544"/>
      <c r="D98" s="314">
        <f>HLOOKUP(MONTH(日期!$C$2),去年月推移!$D$1:$O$200,154,TRUE)</f>
        <v>2</v>
      </c>
      <c r="E98" s="65"/>
      <c r="F98" s="65"/>
      <c r="G98" s="530">
        <f>當年月推移!P156</f>
        <v>1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542" t="s">
        <v>25</v>
      </c>
      <c r="B99" s="543"/>
      <c r="C99" s="544"/>
      <c r="D99" s="314">
        <f>HLOOKUP(MONTH(日期!$C$2),去年月推移!$D$1:$O$200,155,TRUE)</f>
        <v>51</v>
      </c>
      <c r="E99" s="65"/>
      <c r="F99" s="65"/>
      <c r="G99" s="530">
        <f>當年月推移!P157</f>
        <v>22</v>
      </c>
      <c r="H99" s="531"/>
      <c r="I99" s="63">
        <f>VALUE(點數BO!C11)</f>
        <v>0</v>
      </c>
      <c r="J99" s="63">
        <f>VALUE(點數BO!D11)</f>
        <v>0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0</v>
      </c>
      <c r="S99" s="63">
        <f>VALUE(點數BO!M11)</f>
        <v>1</v>
      </c>
      <c r="T99" s="63">
        <f>VALUE(點數BO!N11)</f>
        <v>1</v>
      </c>
      <c r="U99" s="63">
        <f>VALUE(點數BO!O11)</f>
        <v>0</v>
      </c>
      <c r="V99" s="63">
        <f>VALUE(點數BO!P11)</f>
        <v>1</v>
      </c>
      <c r="W99" s="63">
        <f>VALUE(點數BO!Q11)</f>
        <v>1</v>
      </c>
      <c r="X99" s="63">
        <f>VALUE(點數BO!R11)</f>
        <v>3</v>
      </c>
      <c r="Y99" s="63">
        <f>VALUE(點數BO!S11)</f>
        <v>0</v>
      </c>
      <c r="Z99" s="63">
        <f>VALUE(點數BO!T11)</f>
        <v>5</v>
      </c>
      <c r="AA99" s="63">
        <f>VALUE(點數BO!U11)</f>
        <v>5</v>
      </c>
      <c r="AB99" s="63">
        <f>VALUE(點數BO!V11)</f>
        <v>5</v>
      </c>
      <c r="AC99" s="63">
        <f>VALUE(點數BO!W11)</f>
        <v>4</v>
      </c>
      <c r="AD99" s="63">
        <f>VALUE(點數BO!X11)</f>
        <v>3</v>
      </c>
      <c r="AE99" s="63">
        <f>VALUE(點數BO!Y11)</f>
        <v>1</v>
      </c>
      <c r="AF99" s="63">
        <f>VALUE(點數BO!Z11)</f>
        <v>0</v>
      </c>
      <c r="AG99" s="63">
        <f>VALUE(點數BO!AA11)</f>
        <v>4</v>
      </c>
      <c r="AH99" s="63">
        <f>VALUE(點數BO!AB11)</f>
        <v>3</v>
      </c>
      <c r="AI99" s="63">
        <f>VALUE(點數BO!AC11)</f>
        <v>5</v>
      </c>
      <c r="AJ99" s="63">
        <f>VALUE(點數BO!AD11)</f>
        <v>3</v>
      </c>
      <c r="AK99" s="63">
        <f>VALUE(點數BO!AE11)</f>
        <v>4</v>
      </c>
      <c r="AL99" s="63">
        <f>VALUE(點數BO!AF11)</f>
        <v>0</v>
      </c>
      <c r="AM99" s="63">
        <f>VALUE(點數BO!AG11)</f>
        <v>0</v>
      </c>
      <c r="AN99" s="480">
        <f>VALUE(點數BO!AH11)</f>
        <v>50</v>
      </c>
    </row>
    <row r="100" spans="1:41" s="35" customFormat="1" ht="21.95" customHeight="1">
      <c r="A100" s="542" t="s">
        <v>26</v>
      </c>
      <c r="B100" s="543"/>
      <c r="C100" s="544"/>
      <c r="D100" s="314">
        <f>HLOOKUP(MONTH(日期!$C$2),去年月推移!$D$1:$O$200,156,TRUE)</f>
        <v>203</v>
      </c>
      <c r="E100" s="65"/>
      <c r="F100" s="65"/>
      <c r="G100" s="530">
        <f>當年月推移!P158</f>
        <v>277</v>
      </c>
      <c r="H100" s="531"/>
      <c r="I100" s="63">
        <f>VALUE(點數BO!C12)</f>
        <v>0</v>
      </c>
      <c r="J100" s="63">
        <f>VALUE(點數BO!D12)</f>
        <v>5</v>
      </c>
      <c r="K100" s="63">
        <f>VALUE(點數BO!E12)</f>
        <v>0</v>
      </c>
      <c r="L100" s="63">
        <f>VALUE(點數BO!F12)</f>
        <v>11</v>
      </c>
      <c r="M100" s="63">
        <f>VALUE(點數BO!G12)</f>
        <v>12</v>
      </c>
      <c r="N100" s="63">
        <f>VALUE(點數BO!H12)</f>
        <v>18</v>
      </c>
      <c r="O100" s="63">
        <f>VALUE(點數BO!I12)</f>
        <v>0</v>
      </c>
      <c r="P100" s="63">
        <f>VALUE(點數BO!J12)</f>
        <v>11</v>
      </c>
      <c r="Q100" s="63">
        <f>VALUE(點數BO!K12)</f>
        <v>14</v>
      </c>
      <c r="R100" s="63">
        <f>VALUE(點數BO!L12)</f>
        <v>0</v>
      </c>
      <c r="S100" s="63">
        <f>VALUE(點數BO!M12)</f>
        <v>14</v>
      </c>
      <c r="T100" s="63">
        <f>VALUE(點數BO!N12)</f>
        <v>7</v>
      </c>
      <c r="U100" s="63">
        <f>VALUE(點數BO!O12)</f>
        <v>17</v>
      </c>
      <c r="V100" s="63">
        <f>VALUE(點數BO!P12)</f>
        <v>9</v>
      </c>
      <c r="W100" s="63">
        <f>VALUE(點數BO!Q12)</f>
        <v>14</v>
      </c>
      <c r="X100" s="63">
        <f>VALUE(點數BO!R12)</f>
        <v>7</v>
      </c>
      <c r="Y100" s="63">
        <f>VALUE(點數BO!S12)</f>
        <v>0</v>
      </c>
      <c r="Z100" s="63">
        <f>VALUE(點數BO!T12)</f>
        <v>15</v>
      </c>
      <c r="AA100" s="63">
        <f>VALUE(點數BO!U12)</f>
        <v>11</v>
      </c>
      <c r="AB100" s="63">
        <f>VALUE(點數BO!V12)</f>
        <v>3</v>
      </c>
      <c r="AC100" s="63">
        <f>VALUE(點數BO!W12)</f>
        <v>10</v>
      </c>
      <c r="AD100" s="63">
        <f>VALUE(點數BO!X12)</f>
        <v>11</v>
      </c>
      <c r="AE100" s="63">
        <f>VALUE(點數BO!Y12)</f>
        <v>5</v>
      </c>
      <c r="AF100" s="63">
        <f>VALUE(點數BO!Z12)</f>
        <v>0</v>
      </c>
      <c r="AG100" s="63">
        <f>VALUE(點數BO!AA12)</f>
        <v>5</v>
      </c>
      <c r="AH100" s="63">
        <f>VALUE(點數BO!AB12)</f>
        <v>8</v>
      </c>
      <c r="AI100" s="63">
        <f>VALUE(點數BO!AC12)</f>
        <v>11</v>
      </c>
      <c r="AJ100" s="63">
        <f>VALUE(點數BO!AD12)</f>
        <v>12</v>
      </c>
      <c r="AK100" s="63">
        <f>VALUE(點數BO!AE12)</f>
        <v>10</v>
      </c>
      <c r="AL100" s="63">
        <f>VALUE(點數BO!AF12)</f>
        <v>4</v>
      </c>
      <c r="AM100" s="63">
        <f>VALUE(點數BO!AG12)</f>
        <v>0</v>
      </c>
      <c r="AN100" s="480">
        <f>VALUE(點數BO!AH12)</f>
        <v>260</v>
      </c>
    </row>
    <row r="101" spans="1:41" s="35" customFormat="1" ht="21.95" customHeight="1">
      <c r="A101" s="542" t="s">
        <v>27</v>
      </c>
      <c r="B101" s="543"/>
      <c r="C101" s="544"/>
      <c r="D101" s="314">
        <f>HLOOKUP(MONTH(日期!$C$2),去年月推移!$D$1:$O$200,157,TRUE)</f>
        <v>68</v>
      </c>
      <c r="E101" s="65" t="s">
        <v>45</v>
      </c>
      <c r="F101" s="65" t="s">
        <v>45</v>
      </c>
      <c r="G101" s="530">
        <f>當年月推移!P159</f>
        <v>86</v>
      </c>
      <c r="H101" s="531"/>
      <c r="I101" s="63">
        <f>VALUE(點數BO!C13)</f>
        <v>0</v>
      </c>
      <c r="J101" s="63">
        <f>VALUE(點數BO!D13)</f>
        <v>7</v>
      </c>
      <c r="K101" s="63">
        <f>VALUE(點數BO!E13)</f>
        <v>0</v>
      </c>
      <c r="L101" s="63">
        <f>VALUE(點數BO!F13)</f>
        <v>4</v>
      </c>
      <c r="M101" s="63">
        <f>VALUE(點數BO!G13)</f>
        <v>12</v>
      </c>
      <c r="N101" s="63">
        <f>VALUE(點數BO!H13)</f>
        <v>6</v>
      </c>
      <c r="O101" s="63">
        <f>VALUE(點數BO!I13)</f>
        <v>0</v>
      </c>
      <c r="P101" s="63">
        <f>VALUE(點數BO!J13)</f>
        <v>3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1</v>
      </c>
      <c r="U101" s="63">
        <f>VALUE(點數BO!O13)</f>
        <v>3</v>
      </c>
      <c r="V101" s="63">
        <f>VALUE(點數BO!P13)</f>
        <v>0</v>
      </c>
      <c r="W101" s="63">
        <f>VALUE(點數BO!Q13)</f>
        <v>1</v>
      </c>
      <c r="X101" s="63">
        <f>VALUE(點數BO!R13)</f>
        <v>6</v>
      </c>
      <c r="Y101" s="63">
        <f>VALUE(點數BO!S13)</f>
        <v>0</v>
      </c>
      <c r="Z101" s="63">
        <f>VALUE(點數BO!T13)</f>
        <v>4</v>
      </c>
      <c r="AA101" s="63">
        <f>VALUE(點數BO!U13)</f>
        <v>7</v>
      </c>
      <c r="AB101" s="63">
        <f>VALUE(點數BO!V13)</f>
        <v>5</v>
      </c>
      <c r="AC101" s="63">
        <f>VALUE(點數BO!W13)</f>
        <v>5</v>
      </c>
      <c r="AD101" s="63">
        <f>VALUE(點數BO!X13)</f>
        <v>4</v>
      </c>
      <c r="AE101" s="63">
        <f>VALUE(點數BO!Y13)</f>
        <v>7</v>
      </c>
      <c r="AF101" s="63">
        <f>VALUE(點數BO!Z13)</f>
        <v>0</v>
      </c>
      <c r="AG101" s="63">
        <f>VALUE(點數BO!AA13)</f>
        <v>1</v>
      </c>
      <c r="AH101" s="63">
        <f>VALUE(點數BO!AB13)</f>
        <v>3</v>
      </c>
      <c r="AI101" s="63">
        <f>VALUE(點數BO!AC13)</f>
        <v>3</v>
      </c>
      <c r="AJ101" s="63">
        <f>VALUE(點數BO!AD13)</f>
        <v>4</v>
      </c>
      <c r="AK101" s="63">
        <f>VALUE(點數BO!AE13)</f>
        <v>4</v>
      </c>
      <c r="AL101" s="63">
        <f>VALUE(點數BO!AF13)</f>
        <v>3</v>
      </c>
      <c r="AM101" s="63">
        <f>VALUE(點數BO!AG13)</f>
        <v>0</v>
      </c>
      <c r="AN101" s="480">
        <f>VALUE(點數BO!AH13)</f>
        <v>98</v>
      </c>
    </row>
    <row r="102" spans="1:41" s="35" customFormat="1" ht="21.95" customHeight="1">
      <c r="A102" s="542" t="s">
        <v>28</v>
      </c>
      <c r="B102" s="543"/>
      <c r="C102" s="544"/>
      <c r="D102" s="315">
        <f>HLOOKUP(MONTH(日期!$C$2),去年月推移!$D$1:$O$200,158,TRUE)</f>
        <v>0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1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1</v>
      </c>
    </row>
    <row r="103" spans="1:41" s="67" customFormat="1" ht="21.95" customHeight="1" thickBot="1">
      <c r="A103" s="547" t="s">
        <v>50</v>
      </c>
      <c r="B103" s="548"/>
      <c r="C103" s="548"/>
      <c r="D103" s="66">
        <f>HLOOKUP(MONTH(日期!$C$2),去年月推移!$D$1:$O$200,159,TRUE)</f>
        <v>918</v>
      </c>
      <c r="E103" s="66" t="s">
        <v>45</v>
      </c>
      <c r="F103" s="66" t="s">
        <v>45</v>
      </c>
      <c r="G103" s="532">
        <f>當年月推移!P161</f>
        <v>1516</v>
      </c>
      <c r="H103" s="533"/>
      <c r="I103" s="66">
        <f>SUM(I97:I102)</f>
        <v>0</v>
      </c>
      <c r="J103" s="66">
        <f>SUM(J97:J102)</f>
        <v>30</v>
      </c>
      <c r="K103" s="66">
        <f t="shared" ref="K103:AN103" si="12">SUM(K97:K102)</f>
        <v>0</v>
      </c>
      <c r="L103" s="66">
        <f t="shared" si="12"/>
        <v>58</v>
      </c>
      <c r="M103" s="66">
        <f t="shared" si="12"/>
        <v>71</v>
      </c>
      <c r="N103" s="66">
        <f t="shared" si="12"/>
        <v>60</v>
      </c>
      <c r="O103" s="66">
        <f t="shared" si="12"/>
        <v>0</v>
      </c>
      <c r="P103" s="66">
        <f t="shared" si="12"/>
        <v>53</v>
      </c>
      <c r="Q103" s="66">
        <f t="shared" si="12"/>
        <v>46</v>
      </c>
      <c r="R103" s="66">
        <f t="shared" si="12"/>
        <v>0</v>
      </c>
      <c r="S103" s="66">
        <f t="shared" si="12"/>
        <v>55</v>
      </c>
      <c r="T103" s="66">
        <f t="shared" si="12"/>
        <v>47</v>
      </c>
      <c r="U103" s="66">
        <f t="shared" si="12"/>
        <v>56</v>
      </c>
      <c r="V103" s="66">
        <f t="shared" si="12"/>
        <v>54</v>
      </c>
      <c r="W103" s="66">
        <f t="shared" si="12"/>
        <v>53</v>
      </c>
      <c r="X103" s="66">
        <f t="shared" si="12"/>
        <v>38</v>
      </c>
      <c r="Y103" s="66">
        <f t="shared" si="12"/>
        <v>0</v>
      </c>
      <c r="Z103" s="66">
        <f t="shared" si="12"/>
        <v>55</v>
      </c>
      <c r="AA103" s="66">
        <f t="shared" si="12"/>
        <v>52</v>
      </c>
      <c r="AB103" s="66">
        <f t="shared" si="12"/>
        <v>38</v>
      </c>
      <c r="AC103" s="66">
        <f t="shared" si="12"/>
        <v>52</v>
      </c>
      <c r="AD103" s="66">
        <f t="shared" si="12"/>
        <v>51</v>
      </c>
      <c r="AE103" s="66">
        <f t="shared" si="12"/>
        <v>29</v>
      </c>
      <c r="AF103" s="66">
        <f t="shared" si="12"/>
        <v>0</v>
      </c>
      <c r="AG103" s="66">
        <f t="shared" si="12"/>
        <v>56</v>
      </c>
      <c r="AH103" s="66">
        <f t="shared" si="12"/>
        <v>49</v>
      </c>
      <c r="AI103" s="66">
        <f t="shared" si="12"/>
        <v>55</v>
      </c>
      <c r="AJ103" s="66">
        <f t="shared" si="12"/>
        <v>55</v>
      </c>
      <c r="AK103" s="66">
        <f t="shared" si="12"/>
        <v>54</v>
      </c>
      <c r="AL103" s="66">
        <f t="shared" si="12"/>
        <v>24</v>
      </c>
      <c r="AM103" s="66">
        <f t="shared" si="12"/>
        <v>0</v>
      </c>
      <c r="AN103" s="218">
        <f t="shared" si="12"/>
        <v>1248</v>
      </c>
      <c r="AO103" s="16">
        <f>SUM(I103:AM103)</f>
        <v>1191</v>
      </c>
    </row>
    <row r="104" spans="1:41" s="67" customFormat="1" ht="21.95" customHeight="1">
      <c r="A104" s="534" t="s">
        <v>31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37" t="s">
        <v>32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37" t="s">
        <v>33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37" t="s">
        <v>34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37" t="s">
        <v>35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25" t="s">
        <v>30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AG6" activePane="bottomRight" state="frozen"/>
      <selection pane="bottomRight" activeCell="AK4" sqref="AK4:AK9"/>
      <selection pane="bottomLeft" activeCell="A6" sqref="A6"/>
      <selection pane="topRight" activeCell="D1" sqref="D1"/>
    </sheetView>
  </sheetViews>
  <sheetFormatPr defaultRowHeight="16.5"/>
  <cols>
    <col min="1" max="2" width="9" style="74"/>
    <col min="3" max="3" width="18.125" style="74" bestFit="1" customWidth="1"/>
    <col min="4" max="4" width="18.375" style="73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2026年5月</v>
      </c>
      <c r="D4" s="508" t="str">
        <f>日期!C2</f>
        <v>2026/05/01</v>
      </c>
      <c r="E4" s="508" t="str">
        <f>日期!D2</f>
        <v>2026/05/02</v>
      </c>
      <c r="F4" s="508" t="str">
        <f>日期!E2</f>
        <v>2026/05/03</v>
      </c>
      <c r="G4" s="508" t="str">
        <f>日期!F2</f>
        <v>2026/05/04</v>
      </c>
      <c r="H4" s="508" t="str">
        <f>日期!G2</f>
        <v>2026/05/05</v>
      </c>
      <c r="I4" s="508" t="str">
        <f>日期!H2</f>
        <v>2026/05/06</v>
      </c>
      <c r="J4" s="508" t="str">
        <f>日期!I2</f>
        <v>2026/05/07</v>
      </c>
      <c r="K4" s="508" t="str">
        <f>日期!J2</f>
        <v>2026/05/08</v>
      </c>
      <c r="L4" s="508" t="str">
        <f>日期!K2</f>
        <v>2026/05/09</v>
      </c>
      <c r="M4" s="508" t="str">
        <f>日期!L2</f>
        <v>2026/05/10</v>
      </c>
      <c r="N4" s="508" t="str">
        <f>日期!M2</f>
        <v>2026/05/11</v>
      </c>
      <c r="O4" s="508" t="str">
        <f>日期!N2</f>
        <v>2026/05/12</v>
      </c>
      <c r="P4" s="508" t="str">
        <f>日期!O2</f>
        <v>2026/05/13</v>
      </c>
      <c r="Q4" s="508" t="str">
        <f>日期!P2</f>
        <v>2026/05/14</v>
      </c>
      <c r="R4" s="508" t="str">
        <f>日期!Q2</f>
        <v>2026/05/15</v>
      </c>
      <c r="S4" s="508" t="str">
        <f>日期!R2</f>
        <v>2026/05/16</v>
      </c>
      <c r="T4" s="508" t="str">
        <f>日期!S2</f>
        <v>2026/05/17</v>
      </c>
      <c r="U4" s="508" t="str">
        <f>日期!T2</f>
        <v>2026/05/18</v>
      </c>
      <c r="V4" s="508" t="str">
        <f>日期!U2</f>
        <v>2026/05/19</v>
      </c>
      <c r="W4" s="508" t="str">
        <f>日期!V2</f>
        <v>2026/05/20</v>
      </c>
      <c r="X4" s="508" t="str">
        <f>日期!W2</f>
        <v>2026/05/21</v>
      </c>
      <c r="Y4" s="508" t="str">
        <f>日期!X2</f>
        <v>2026/05/22</v>
      </c>
      <c r="Z4" s="508" t="str">
        <f>日期!Y2</f>
        <v>2026/05/23</v>
      </c>
      <c r="AA4" s="508" t="str">
        <f>日期!Z2</f>
        <v>2026/05/24</v>
      </c>
      <c r="AB4" s="508" t="str">
        <f>日期!AA2</f>
        <v>2026/05/25</v>
      </c>
      <c r="AC4" s="508" t="str">
        <f>日期!AB2</f>
        <v>2026/05/26</v>
      </c>
      <c r="AD4" s="508" t="str">
        <f>日期!AC2</f>
        <v>2026/05/27</v>
      </c>
      <c r="AE4" s="508" t="str">
        <f>日期!AD2</f>
        <v>2026/05/28</v>
      </c>
      <c r="AF4" s="508" t="str">
        <f>日期!AE2</f>
        <v>2026/05/29</v>
      </c>
      <c r="AG4" s="508" t="str">
        <f>日期!AF2</f>
        <v>2026/05/30</v>
      </c>
      <c r="AH4" s="508" t="str">
        <f>日期!AG2</f>
        <v>2026/05/31</v>
      </c>
      <c r="AI4" s="642" t="s">
        <v>68</v>
      </c>
      <c r="AJ4" s="642" t="s">
        <v>69</v>
      </c>
      <c r="AK4" s="507" t="str">
        <f>YEAR(日期!C2)&amp;"年"&amp;MONTH(日期!C2)+1&amp;"月"</f>
        <v>2026年6月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Fri</v>
      </c>
      <c r="E5" s="510" t="str">
        <f>日期!D3</f>
        <v>Sat</v>
      </c>
      <c r="F5" s="510" t="str">
        <f>日期!E3</f>
        <v>Sun</v>
      </c>
      <c r="G5" s="510" t="str">
        <f>日期!F3</f>
        <v>Mon</v>
      </c>
      <c r="H5" s="510" t="str">
        <f>日期!G3</f>
        <v>Tue</v>
      </c>
      <c r="I5" s="510" t="str">
        <f>日期!H3</f>
        <v>Wed</v>
      </c>
      <c r="J5" s="510" t="str">
        <f>日期!I3</f>
        <v>Thu</v>
      </c>
      <c r="K5" s="510" t="str">
        <f>日期!J3</f>
        <v>Fri</v>
      </c>
      <c r="L5" s="510" t="str">
        <f>日期!K3</f>
        <v>Sat</v>
      </c>
      <c r="M5" s="510" t="str">
        <f>日期!L3</f>
        <v>Sun</v>
      </c>
      <c r="N5" s="510" t="str">
        <f>日期!M3</f>
        <v>Mon</v>
      </c>
      <c r="O5" s="510" t="str">
        <f>日期!N3</f>
        <v>Tue</v>
      </c>
      <c r="P5" s="510" t="str">
        <f>日期!O3</f>
        <v>Wed</v>
      </c>
      <c r="Q5" s="510" t="str">
        <f>日期!P3</f>
        <v>Thu</v>
      </c>
      <c r="R5" s="510" t="str">
        <f>日期!Q3</f>
        <v>Fri</v>
      </c>
      <c r="S5" s="510" t="str">
        <f>日期!R3</f>
        <v>Sat</v>
      </c>
      <c r="T5" s="510" t="str">
        <f>日期!S3</f>
        <v>Sun</v>
      </c>
      <c r="U5" s="510" t="str">
        <f>日期!T3</f>
        <v>Mon</v>
      </c>
      <c r="V5" s="510" t="str">
        <f>日期!U3</f>
        <v>Tue</v>
      </c>
      <c r="W5" s="510" t="str">
        <f>日期!V3</f>
        <v>Wed</v>
      </c>
      <c r="X5" s="510" t="str">
        <f>日期!W3</f>
        <v>Thu</v>
      </c>
      <c r="Y5" s="510" t="str">
        <f>日期!X3</f>
        <v>Fri</v>
      </c>
      <c r="Z5" s="510" t="str">
        <f>日期!Y3</f>
        <v>Sat</v>
      </c>
      <c r="AA5" s="510" t="str">
        <f>日期!Z3</f>
        <v>Sun</v>
      </c>
      <c r="AB5" s="510" t="str">
        <f>日期!AA3</f>
        <v>Mon</v>
      </c>
      <c r="AC5" s="510" t="str">
        <f>日期!AB3</f>
        <v>Tue</v>
      </c>
      <c r="AD5" s="510" t="str">
        <f>日期!AC3</f>
        <v>Wed</v>
      </c>
      <c r="AE5" s="510" t="str">
        <f>日期!AD3</f>
        <v>Thu</v>
      </c>
      <c r="AF5" s="510" t="str">
        <f>日期!AE3</f>
        <v>Fri</v>
      </c>
      <c r="AG5" s="510" t="str">
        <f>日期!AF3</f>
        <v>Sat</v>
      </c>
      <c r="AH5" s="510" t="str">
        <f>日期!AG3</f>
        <v>Sun</v>
      </c>
      <c r="AI5" s="643"/>
      <c r="AJ5" s="643"/>
      <c r="AK5" s="511" t="s">
        <v>71</v>
      </c>
    </row>
    <row r="6" spans="1:37" ht="18">
      <c r="A6" s="64" t="s">
        <v>72</v>
      </c>
      <c r="B6" s="64">
        <v>1</v>
      </c>
      <c r="C6" s="82">
        <f>HLOOKUP(MONTH(日期!$C$2),A類各進口別庫存金額目標!$B$2:$M$7,4,TRUE)</f>
        <v>144860270.46340305</v>
      </c>
      <c r="D6" s="88">
        <f>VALUE(庫存金額A類!C2)</f>
        <v>154025789</v>
      </c>
      <c r="E6" s="88">
        <f>VALUE(庫存金額A類!D2)</f>
        <v>150488037</v>
      </c>
      <c r="F6" s="88">
        <f>VALUE(庫存金額A類!E2)</f>
        <v>150476106</v>
      </c>
      <c r="G6" s="88">
        <f>VALUE(庫存金額A類!F2)</f>
        <v>149733175</v>
      </c>
      <c r="H6" s="88">
        <f>VALUE(庫存金額A類!G2)</f>
        <v>149134901</v>
      </c>
      <c r="I6" s="88">
        <f>VALUE(庫存金額A類!H2)</f>
        <v>148273695</v>
      </c>
      <c r="J6" s="88">
        <f>VALUE(庫存金額A類!I2)</f>
        <v>148515267</v>
      </c>
      <c r="K6" s="88">
        <f>VALUE(庫存金額A類!J2)</f>
        <v>147686059</v>
      </c>
      <c r="L6" s="88">
        <f>VALUE(庫存金額A類!K2)</f>
        <v>145482860</v>
      </c>
      <c r="M6" s="88">
        <f>VALUE(庫存金額A類!L2)</f>
        <v>145482451</v>
      </c>
      <c r="N6" s="88">
        <f>VALUE(庫存金額A類!M2)</f>
        <v>144887732</v>
      </c>
      <c r="O6" s="88">
        <f>VALUE(庫存金額A類!N2)</f>
        <v>143491725</v>
      </c>
      <c r="P6" s="88">
        <f>VALUE(庫存金額A類!O2)</f>
        <v>143649688</v>
      </c>
      <c r="Q6" s="88">
        <f>VALUE(庫存金額A類!P2)</f>
        <v>144770585</v>
      </c>
      <c r="R6" s="88">
        <f>VALUE(庫存金額A類!Q2)</f>
        <v>147320560</v>
      </c>
      <c r="S6" s="88">
        <f>VALUE(庫存金額A類!R2)</f>
        <v>144248908</v>
      </c>
      <c r="T6" s="88">
        <f>VALUE(庫存金額A類!S2)</f>
        <v>146987936</v>
      </c>
      <c r="U6" s="88">
        <f>VALUE(庫存金額A類!T2)</f>
        <v>148817428</v>
      </c>
      <c r="V6" s="88">
        <f>VALUE(庫存金額A類!U2)</f>
        <v>148448830</v>
      </c>
      <c r="W6" s="88">
        <f>VALUE(庫存金額A類!V2)</f>
        <v>148112334</v>
      </c>
      <c r="X6" s="88">
        <f>VALUE(庫存金額A類!W2)</f>
        <v>149521535</v>
      </c>
      <c r="Y6" s="88">
        <f>VALUE(庫存金額A類!X2)</f>
        <v>150994843</v>
      </c>
      <c r="Z6" s="88">
        <f>VALUE(庫存金額A類!Y2)</f>
        <v>148064037</v>
      </c>
      <c r="AA6" s="88">
        <f>VALUE(庫存金額A類!Z2)</f>
        <v>148056589</v>
      </c>
      <c r="AB6" s="88">
        <f>VALUE(庫存金額A類!AA2)</f>
        <v>148691037</v>
      </c>
      <c r="AC6" s="88">
        <f>VALUE(庫存金額A類!AB2)</f>
        <v>148772541</v>
      </c>
      <c r="AD6" s="88">
        <f>VALUE(庫存金額A類!AC2)</f>
        <v>148754481</v>
      </c>
      <c r="AE6" s="88">
        <f>VALUE(庫存金額A類!AD2)</f>
        <v>149576186</v>
      </c>
      <c r="AF6" s="88">
        <f>VALUE(庫存金額A類!AE2)</f>
        <v>146507396</v>
      </c>
      <c r="AG6" s="88">
        <f>VALUE(庫存金額A類!AF2)</f>
        <v>143889393</v>
      </c>
      <c r="AH6" s="88">
        <f>VALUE(庫存金額A類!AG2)</f>
        <v>144496562</v>
      </c>
      <c r="AI6" s="88">
        <f>VALUE(庫存金額A類!AH2)</f>
        <v>147656731.16</v>
      </c>
      <c r="AJ6" s="512">
        <f>AI6/AI9</f>
        <v>0.48717257310356105</v>
      </c>
      <c r="AK6" s="82">
        <f>HLOOKUP(MONTH(日期!$C$2)+1,A類各進口別庫存金額目標!$B$2:$M$7,4,TRUE)</f>
        <v>141605002.78633192</v>
      </c>
    </row>
    <row r="7" spans="1:37" ht="18">
      <c r="A7" s="64" t="s">
        <v>72</v>
      </c>
      <c r="B7" s="64">
        <v>3</v>
      </c>
      <c r="C7" s="82">
        <f>HLOOKUP(MONTH(日期!$C$2),A類各進口別庫存金額目標!$B$2:$M$7,5,TRUE)</f>
        <v>118750567.96497598</v>
      </c>
      <c r="D7" s="88">
        <f>VALUE(庫存金額A類!C3)</f>
        <v>114384004</v>
      </c>
      <c r="E7" s="88">
        <f>VALUE(庫存金額A類!D3)</f>
        <v>111435102</v>
      </c>
      <c r="F7" s="88">
        <f>VALUE(庫存金額A類!E3)</f>
        <v>111424576</v>
      </c>
      <c r="G7" s="88">
        <f>VALUE(庫存金額A類!F3)</f>
        <v>111548628</v>
      </c>
      <c r="H7" s="88">
        <f>VALUE(庫存金額A類!G3)</f>
        <v>111358778</v>
      </c>
      <c r="I7" s="88">
        <f>VALUE(庫存金額A類!H3)</f>
        <v>112435256</v>
      </c>
      <c r="J7" s="88">
        <f>VALUE(庫存金額A類!I3)</f>
        <v>112998295</v>
      </c>
      <c r="K7" s="88">
        <f>VALUE(庫存金額A類!J3)</f>
        <v>112970492</v>
      </c>
      <c r="L7" s="88">
        <f>VALUE(庫存金額A類!K3)</f>
        <v>112571260</v>
      </c>
      <c r="M7" s="88">
        <f>VALUE(庫存金額A類!L3)</f>
        <v>112557182</v>
      </c>
      <c r="N7" s="88">
        <f>VALUE(庫存金額A類!M3)</f>
        <v>113232099</v>
      </c>
      <c r="O7" s="88">
        <f>VALUE(庫存金額A類!N3)</f>
        <v>113378858</v>
      </c>
      <c r="P7" s="88">
        <f>VALUE(庫存金額A類!O3)</f>
        <v>115311666</v>
      </c>
      <c r="Q7" s="88">
        <f>VALUE(庫存金額A類!P3)</f>
        <v>116604721</v>
      </c>
      <c r="R7" s="88">
        <f>VALUE(庫存金額A類!Q3)</f>
        <v>117529666</v>
      </c>
      <c r="S7" s="88">
        <f>VALUE(庫存金額A類!R3)</f>
        <v>115136821</v>
      </c>
      <c r="T7" s="88">
        <f>VALUE(庫存金額A類!S3)</f>
        <v>116400967</v>
      </c>
      <c r="U7" s="88">
        <f>VALUE(庫存金額A類!T3)</f>
        <v>116897433</v>
      </c>
      <c r="V7" s="88">
        <f>VALUE(庫存金額A類!U3)</f>
        <v>115073690</v>
      </c>
      <c r="W7" s="88">
        <f>VALUE(庫存金額A類!V3)</f>
        <v>115761047</v>
      </c>
      <c r="X7" s="88">
        <f>VALUE(庫存金額A類!W3)</f>
        <v>117235195</v>
      </c>
      <c r="Y7" s="88">
        <f>VALUE(庫存金額A類!X3)</f>
        <v>114893845</v>
      </c>
      <c r="Z7" s="88">
        <f>VALUE(庫存金額A類!Y3)</f>
        <v>112957374</v>
      </c>
      <c r="AA7" s="88">
        <f>VALUE(庫存金額A類!Z3)</f>
        <v>112957374</v>
      </c>
      <c r="AB7" s="88">
        <f>VALUE(庫存金額A類!AA3)</f>
        <v>112985085</v>
      </c>
      <c r="AC7" s="88">
        <f>VALUE(庫存金額A類!AB3)</f>
        <v>112699255</v>
      </c>
      <c r="AD7" s="88">
        <f>VALUE(庫存金額A類!AC3)</f>
        <v>112330614</v>
      </c>
      <c r="AE7" s="88">
        <f>VALUE(庫存金額A類!AD3)</f>
        <v>113524099</v>
      </c>
      <c r="AF7" s="88">
        <f>VALUE(庫存金額A類!AE3)</f>
        <v>112408741</v>
      </c>
      <c r="AG7" s="88">
        <f>VALUE(庫存金額A類!AF3)</f>
        <v>113354933</v>
      </c>
      <c r="AH7" s="88">
        <f>VALUE(庫存金額A類!AG3)</f>
        <v>114227045</v>
      </c>
      <c r="AI7" s="88">
        <f>VALUE(庫存金額A類!AH3)</f>
        <v>113825293.58</v>
      </c>
      <c r="AJ7" s="512">
        <f>AI7/AI9</f>
        <v>0.37555051315302901</v>
      </c>
      <c r="AK7" s="82">
        <f>HLOOKUP(MONTH(日期!$C$2)+1,A類各進口別庫存金額目標!$B$2:$M$7,5,TRUE)</f>
        <v>119044552.87511206</v>
      </c>
    </row>
    <row r="8" spans="1:37" ht="18">
      <c r="A8" s="64" t="s">
        <v>72</v>
      </c>
      <c r="B8" s="64">
        <v>4</v>
      </c>
      <c r="C8" s="82">
        <f>HLOOKUP(MONTH(日期!$C$2),A類各進口別庫存金額目標!$B$2:$M$7,6,TRUE)</f>
        <v>37589401.822726712</v>
      </c>
      <c r="D8" s="88">
        <f>VALUE(庫存金額A類!C4)</f>
        <v>39489003</v>
      </c>
      <c r="E8" s="88">
        <f>VALUE(庫存金額A類!D4)</f>
        <v>38088767</v>
      </c>
      <c r="F8" s="88">
        <f>VALUE(庫存金額A類!E4)</f>
        <v>38088767</v>
      </c>
      <c r="G8" s="88">
        <f>VALUE(庫存金額A類!F4)</f>
        <v>38710195</v>
      </c>
      <c r="H8" s="88">
        <f>VALUE(庫存金額A類!G4)</f>
        <v>41753727</v>
      </c>
      <c r="I8" s="88">
        <f>VALUE(庫存金額A類!H4)</f>
        <v>44568701</v>
      </c>
      <c r="J8" s="88">
        <f>VALUE(庫存金額A類!I4)</f>
        <v>46319511</v>
      </c>
      <c r="K8" s="88">
        <f>VALUE(庫存金額A類!J4)</f>
        <v>47240926</v>
      </c>
      <c r="L8" s="88">
        <f>VALUE(庫存金額A類!K4)</f>
        <v>46390697</v>
      </c>
      <c r="M8" s="88">
        <f>VALUE(庫存金額A類!L4)</f>
        <v>46370826</v>
      </c>
      <c r="N8" s="88">
        <f>VALUE(庫存金額A類!M4)</f>
        <v>46387845</v>
      </c>
      <c r="O8" s="88">
        <f>VALUE(庫存金額A類!N4)</f>
        <v>45726589</v>
      </c>
      <c r="P8" s="88">
        <f>VALUE(庫存金額A類!O4)</f>
        <v>45241532</v>
      </c>
      <c r="Q8" s="88">
        <f>VALUE(庫存金額A類!P4)</f>
        <v>44917234</v>
      </c>
      <c r="R8" s="88">
        <f>VALUE(庫存金額A類!Q4)</f>
        <v>44573315</v>
      </c>
      <c r="S8" s="88">
        <f>VALUE(庫存金額A類!R4)</f>
        <v>43718795</v>
      </c>
      <c r="T8" s="88">
        <f>VALUE(庫存金額A類!S4)</f>
        <v>43736106</v>
      </c>
      <c r="U8" s="88">
        <f>VALUE(庫存金額A類!T4)</f>
        <v>42978636</v>
      </c>
      <c r="V8" s="88">
        <f>VALUE(庫存金額A類!U4)</f>
        <v>41774237</v>
      </c>
      <c r="W8" s="88">
        <f>VALUE(庫存金額A類!V4)</f>
        <v>41714570</v>
      </c>
      <c r="X8" s="88">
        <f>VALUE(庫存金額A類!W4)</f>
        <v>42282827</v>
      </c>
      <c r="Y8" s="88">
        <f>VALUE(庫存金額A類!X4)</f>
        <v>41638527</v>
      </c>
      <c r="Z8" s="88">
        <f>VALUE(庫存金額A類!Y4)</f>
        <v>40597185</v>
      </c>
      <c r="AA8" s="88">
        <f>VALUE(庫存金額A類!Z4)</f>
        <v>40597185</v>
      </c>
      <c r="AB8" s="88">
        <f>VALUE(庫存金額A類!AA4)</f>
        <v>39333706</v>
      </c>
      <c r="AC8" s="88">
        <f>VALUE(庫存金額A類!AB4)</f>
        <v>38325819</v>
      </c>
      <c r="AD8" s="88">
        <f>VALUE(庫存金額A類!AC4)</f>
        <v>37250352</v>
      </c>
      <c r="AE8" s="88">
        <f>VALUE(庫存金額A類!AD4)</f>
        <v>36328112</v>
      </c>
      <c r="AF8" s="88">
        <f>VALUE(庫存金額A類!AE4)</f>
        <v>35896715</v>
      </c>
      <c r="AG8" s="88">
        <f>VALUE(庫存金額A類!AF4)</f>
        <v>34869334</v>
      </c>
      <c r="AH8" s="88">
        <f>VALUE(庫存金額A類!AG4)</f>
        <v>34911783</v>
      </c>
      <c r="AI8" s="88">
        <f>VALUE(庫存金額A類!AH4)</f>
        <v>41607145.939999998</v>
      </c>
      <c r="AJ8" s="512">
        <f>AI8/AI9</f>
        <v>0.13727691374340989</v>
      </c>
      <c r="AK8" s="82">
        <f>HLOOKUP(MONTH(日期!$C$2)+1,A類各進口別庫存金額目標!$B$2:$M$7,6,TRUE)</f>
        <v>35801468.9443966</v>
      </c>
    </row>
    <row r="9" spans="1:37" ht="19.5">
      <c r="A9" s="652" t="s">
        <v>73</v>
      </c>
      <c r="B9" s="652"/>
      <c r="C9" s="83">
        <f>SUM(C6:C8)</f>
        <v>301200240.25110573</v>
      </c>
      <c r="D9" s="84">
        <f t="shared" ref="D9:AH9" si="0">SUM(D6:D8)</f>
        <v>307898796</v>
      </c>
      <c r="E9" s="84">
        <f t="shared" si="0"/>
        <v>300011906</v>
      </c>
      <c r="F9" s="84">
        <f t="shared" si="0"/>
        <v>299989449</v>
      </c>
      <c r="G9" s="84">
        <f t="shared" si="0"/>
        <v>299991998</v>
      </c>
      <c r="H9" s="84">
        <f t="shared" si="0"/>
        <v>302247406</v>
      </c>
      <c r="I9" s="84">
        <f t="shared" si="0"/>
        <v>305277652</v>
      </c>
      <c r="J9" s="84">
        <f t="shared" si="0"/>
        <v>307833073</v>
      </c>
      <c r="K9" s="84">
        <f t="shared" si="0"/>
        <v>307897477</v>
      </c>
      <c r="L9" s="84">
        <f t="shared" si="0"/>
        <v>304444817</v>
      </c>
      <c r="M9" s="84">
        <f t="shared" si="0"/>
        <v>304410459</v>
      </c>
      <c r="N9" s="84">
        <f t="shared" si="0"/>
        <v>304507676</v>
      </c>
      <c r="O9" s="84">
        <f t="shared" si="0"/>
        <v>302597172</v>
      </c>
      <c r="P9" s="84">
        <f t="shared" si="0"/>
        <v>304202886</v>
      </c>
      <c r="Q9" s="84">
        <f>SUM(Q6:Q8)</f>
        <v>306292540</v>
      </c>
      <c r="R9" s="84">
        <f t="shared" si="0"/>
        <v>309423541</v>
      </c>
      <c r="S9" s="84">
        <f t="shared" si="0"/>
        <v>303104524</v>
      </c>
      <c r="T9" s="84">
        <f t="shared" si="0"/>
        <v>307125009</v>
      </c>
      <c r="U9" s="84">
        <f t="shared" si="0"/>
        <v>308693497</v>
      </c>
      <c r="V9" s="84">
        <f t="shared" si="0"/>
        <v>305296757</v>
      </c>
      <c r="W9" s="84">
        <f t="shared" si="0"/>
        <v>305587951</v>
      </c>
      <c r="X9" s="84">
        <f t="shared" si="0"/>
        <v>309039557</v>
      </c>
      <c r="Y9" s="84">
        <f t="shared" si="0"/>
        <v>307527215</v>
      </c>
      <c r="Z9" s="84">
        <f t="shared" si="0"/>
        <v>301618596</v>
      </c>
      <c r="AA9" s="84">
        <f t="shared" si="0"/>
        <v>301611148</v>
      </c>
      <c r="AB9" s="84">
        <f>SUM(AB6:AB8)</f>
        <v>301009828</v>
      </c>
      <c r="AC9" s="84">
        <f t="shared" si="0"/>
        <v>299797615</v>
      </c>
      <c r="AD9" s="84">
        <f t="shared" si="0"/>
        <v>298335447</v>
      </c>
      <c r="AE9" s="84">
        <f t="shared" si="0"/>
        <v>299428397</v>
      </c>
      <c r="AF9" s="84">
        <f t="shared" si="0"/>
        <v>294812852</v>
      </c>
      <c r="AG9" s="84">
        <f t="shared" si="0"/>
        <v>292113660</v>
      </c>
      <c r="AH9" s="84">
        <f t="shared" si="0"/>
        <v>293635390</v>
      </c>
      <c r="AI9" s="84">
        <f>SUM(AI6:AI8)</f>
        <v>303089170.68000001</v>
      </c>
      <c r="AJ9" s="513">
        <f>AI9/AI$9</f>
        <v>1</v>
      </c>
      <c r="AK9" s="83">
        <f>SUM(AK6:AK8)</f>
        <v>296451024.60584056</v>
      </c>
    </row>
    <row r="10" spans="1:37">
      <c r="AI10" s="98">
        <f>AI9-C9</f>
        <v>1888930.4288942814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50" t="s">
        <v>68</v>
      </c>
      <c r="AJ14" s="640" t="s">
        <v>69</v>
      </c>
    </row>
    <row r="15" spans="1:37" s="77" customFormat="1" ht="18.75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51"/>
      <c r="AJ15" s="641"/>
    </row>
    <row r="16" spans="1:37" ht="18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8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8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50" t="s">
        <v>68</v>
      </c>
      <c r="AJ24" s="640" t="s">
        <v>69</v>
      </c>
    </row>
    <row r="25" spans="1:36" s="77" customFormat="1" ht="18.75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51"/>
      <c r="AJ25" s="641"/>
    </row>
    <row r="26" spans="1:36" ht="18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8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8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.75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8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8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8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.75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8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8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8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6.5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">
      <c r="A1" s="72" t="s">
        <v>235</v>
      </c>
      <c r="B1" s="97"/>
      <c r="I1"/>
      <c r="AG1" s="99"/>
      <c r="AH1" s="100"/>
    </row>
    <row r="3" spans="1:35" ht="17.25" thickBot="1"/>
    <row r="4" spans="1:35" s="77" customFormat="1" ht="18.75" thickBot="1">
      <c r="A4" s="655" t="s">
        <v>1</v>
      </c>
      <c r="B4" s="657" t="s">
        <v>67</v>
      </c>
      <c r="C4" s="491" t="str">
        <f>日期!C2</f>
        <v>2026/05/01</v>
      </c>
      <c r="D4" s="491" t="str">
        <f>日期!D2</f>
        <v>2026/05/02</v>
      </c>
      <c r="E4" s="491" t="str">
        <f>日期!E2</f>
        <v>2026/05/03</v>
      </c>
      <c r="F4" s="491" t="str">
        <f>日期!F2</f>
        <v>2026/05/04</v>
      </c>
      <c r="G4" s="491" t="str">
        <f>日期!G2</f>
        <v>2026/05/05</v>
      </c>
      <c r="H4" s="491" t="str">
        <f>日期!H2</f>
        <v>2026/05/06</v>
      </c>
      <c r="I4" s="491" t="str">
        <f>日期!I2</f>
        <v>2026/05/07</v>
      </c>
      <c r="J4" s="491" t="str">
        <f>日期!J2</f>
        <v>2026/05/08</v>
      </c>
      <c r="K4" s="491" t="str">
        <f>日期!K2</f>
        <v>2026/05/09</v>
      </c>
      <c r="L4" s="491" t="str">
        <f>日期!L2</f>
        <v>2026/05/10</v>
      </c>
      <c r="M4" s="491" t="str">
        <f>日期!M2</f>
        <v>2026/05/11</v>
      </c>
      <c r="N4" s="491" t="str">
        <f>日期!N2</f>
        <v>2026/05/12</v>
      </c>
      <c r="O4" s="491" t="str">
        <f>日期!O2</f>
        <v>2026/05/13</v>
      </c>
      <c r="P4" s="491" t="str">
        <f>日期!P2</f>
        <v>2026/05/14</v>
      </c>
      <c r="Q4" s="491" t="str">
        <f>日期!Q2</f>
        <v>2026/05/15</v>
      </c>
      <c r="R4" s="491" t="str">
        <f>日期!R2</f>
        <v>2026/05/16</v>
      </c>
      <c r="S4" s="491" t="str">
        <f>日期!S2</f>
        <v>2026/05/17</v>
      </c>
      <c r="T4" s="491" t="str">
        <f>日期!T2</f>
        <v>2026/05/18</v>
      </c>
      <c r="U4" s="491" t="str">
        <f>日期!U2</f>
        <v>2026/05/19</v>
      </c>
      <c r="V4" s="491" t="str">
        <f>日期!V2</f>
        <v>2026/05/20</v>
      </c>
      <c r="W4" s="491" t="str">
        <f>日期!W2</f>
        <v>2026/05/21</v>
      </c>
      <c r="X4" s="491" t="str">
        <f>日期!X2</f>
        <v>2026/05/22</v>
      </c>
      <c r="Y4" s="491" t="str">
        <f>日期!Y2</f>
        <v>2026/05/23</v>
      </c>
      <c r="Z4" s="491" t="str">
        <f>日期!Z2</f>
        <v>2026/05/24</v>
      </c>
      <c r="AA4" s="491" t="str">
        <f>日期!AA2</f>
        <v>2026/05/25</v>
      </c>
      <c r="AB4" s="491" t="str">
        <f>日期!AB2</f>
        <v>2026/05/26</v>
      </c>
      <c r="AC4" s="491" t="str">
        <f>日期!AC2</f>
        <v>2026/05/27</v>
      </c>
      <c r="AD4" s="491" t="str">
        <f>日期!AD2</f>
        <v>2026/05/28</v>
      </c>
      <c r="AE4" s="491" t="str">
        <f>日期!AE2</f>
        <v>2026/05/29</v>
      </c>
      <c r="AF4" s="491" t="str">
        <f>日期!AF2</f>
        <v>2026/05/30</v>
      </c>
      <c r="AG4" s="491" t="str">
        <f>日期!AG2</f>
        <v>2026/05/31</v>
      </c>
      <c r="AH4" s="483" t="s">
        <v>68</v>
      </c>
      <c r="AI4" s="108" t="s">
        <v>69</v>
      </c>
    </row>
    <row r="5" spans="1:35" s="77" customFormat="1" ht="18.75" thickBot="1">
      <c r="A5" s="656"/>
      <c r="B5" s="658"/>
      <c r="C5" s="485" t="str">
        <f>日期!C3</f>
        <v>Fri</v>
      </c>
      <c r="D5" s="485" t="str">
        <f>日期!D3</f>
        <v>Sat</v>
      </c>
      <c r="E5" s="485" t="str">
        <f>日期!E3</f>
        <v>Sun</v>
      </c>
      <c r="F5" s="485" t="str">
        <f>日期!F3</f>
        <v>Mon</v>
      </c>
      <c r="G5" s="485" t="str">
        <f>日期!G3</f>
        <v>Tue</v>
      </c>
      <c r="H5" s="485" t="str">
        <f>日期!H3</f>
        <v>Wed</v>
      </c>
      <c r="I5" s="485" t="str">
        <f>日期!I3</f>
        <v>Thu</v>
      </c>
      <c r="J5" s="485" t="str">
        <f>日期!J3</f>
        <v>Fri</v>
      </c>
      <c r="K5" s="485" t="str">
        <f>日期!K3</f>
        <v>Sat</v>
      </c>
      <c r="L5" s="485" t="str">
        <f>日期!L3</f>
        <v>Sun</v>
      </c>
      <c r="M5" s="485" t="str">
        <f>日期!M3</f>
        <v>Mon</v>
      </c>
      <c r="N5" s="485" t="str">
        <f>日期!N3</f>
        <v>Tue</v>
      </c>
      <c r="O5" s="485" t="str">
        <f>日期!O3</f>
        <v>Wed</v>
      </c>
      <c r="P5" s="485" t="str">
        <f>日期!P3</f>
        <v>Thu</v>
      </c>
      <c r="Q5" s="485" t="str">
        <f>日期!Q3</f>
        <v>Fri</v>
      </c>
      <c r="R5" s="485" t="str">
        <f>日期!R3</f>
        <v>Sat</v>
      </c>
      <c r="S5" s="485" t="str">
        <f>日期!S3</f>
        <v>Sun</v>
      </c>
      <c r="T5" s="485" t="str">
        <f>日期!T3</f>
        <v>Mon</v>
      </c>
      <c r="U5" s="485" t="str">
        <f>日期!U3</f>
        <v>Tue</v>
      </c>
      <c r="V5" s="485" t="str">
        <f>日期!V3</f>
        <v>Wed</v>
      </c>
      <c r="W5" s="485" t="str">
        <f>日期!W3</f>
        <v>Thu</v>
      </c>
      <c r="X5" s="485" t="str">
        <f>日期!X3</f>
        <v>Fri</v>
      </c>
      <c r="Y5" s="485" t="str">
        <f>日期!Y3</f>
        <v>Sat</v>
      </c>
      <c r="Z5" s="485" t="str">
        <f>日期!Z3</f>
        <v>Sun</v>
      </c>
      <c r="AA5" s="485" t="str">
        <f>日期!AA3</f>
        <v>Mon</v>
      </c>
      <c r="AB5" s="485" t="str">
        <f>日期!AB3</f>
        <v>Tue</v>
      </c>
      <c r="AC5" s="485" t="str">
        <f>日期!AC3</f>
        <v>Wed</v>
      </c>
      <c r="AD5" s="485" t="str">
        <f>日期!AD3</f>
        <v>Thu</v>
      </c>
      <c r="AE5" s="485" t="str">
        <f>日期!AE3</f>
        <v>Fri</v>
      </c>
      <c r="AF5" s="485" t="str">
        <f>日期!AF3</f>
        <v>Sat</v>
      </c>
      <c r="AG5" s="485" t="str">
        <f>日期!AG3</f>
        <v>Sun</v>
      </c>
      <c r="AH5" s="484"/>
      <c r="AI5" s="109"/>
    </row>
    <row r="6" spans="1:35" ht="18">
      <c r="A6" s="101" t="s">
        <v>72</v>
      </c>
      <c r="B6" s="102" t="s">
        <v>236</v>
      </c>
      <c r="C6" s="103">
        <f>VALUE(期貨金額!D2)</f>
        <v>24267294</v>
      </c>
      <c r="D6" s="103">
        <f>VALUE(期貨金額!E2)</f>
        <v>24274831</v>
      </c>
      <c r="E6" s="103">
        <f>VALUE(期貨金額!F2)</f>
        <v>24274831</v>
      </c>
      <c r="F6" s="103">
        <f>VALUE(期貨金額!G2)</f>
        <v>24170201</v>
      </c>
      <c r="G6" s="103">
        <f>VALUE(期貨金額!H2)</f>
        <v>22704657</v>
      </c>
      <c r="H6" s="103">
        <f>VALUE(期貨金額!I2)</f>
        <v>22172827</v>
      </c>
      <c r="I6" s="103">
        <f>VALUE(期貨金額!J2)</f>
        <v>22049223</v>
      </c>
      <c r="J6" s="103">
        <f>VALUE(期貨金額!K2)</f>
        <v>22124479</v>
      </c>
      <c r="K6" s="103">
        <f>VALUE(期貨金額!L2)</f>
        <v>22135287</v>
      </c>
      <c r="L6" s="103">
        <f>VALUE(期貨金額!M2)</f>
        <v>22135287</v>
      </c>
      <c r="M6" s="103">
        <f>VALUE(期貨金額!N2)</f>
        <v>21343801</v>
      </c>
      <c r="N6" s="103">
        <f>VALUE(期貨金額!O2)</f>
        <v>22202868</v>
      </c>
      <c r="O6" s="103">
        <f>VALUE(期貨金額!P2)</f>
        <v>22804554</v>
      </c>
      <c r="P6" s="103">
        <f>VALUE(期貨金額!Q2)</f>
        <v>23205880</v>
      </c>
      <c r="Q6" s="103">
        <f>VALUE(期貨金額!R2)</f>
        <v>23531246</v>
      </c>
      <c r="R6" s="103">
        <f>VALUE(期貨金額!S2)</f>
        <v>23532809</v>
      </c>
      <c r="S6" s="103">
        <f>VALUE(期貨金額!T2)</f>
        <v>23746185</v>
      </c>
      <c r="T6" s="103">
        <f>VALUE(期貨金額!U2)</f>
        <v>23919230</v>
      </c>
      <c r="U6" s="103">
        <f>VALUE(期貨金額!V2)</f>
        <v>23946289</v>
      </c>
      <c r="V6" s="103">
        <f>VALUE(期貨金額!W2)</f>
        <v>25208766</v>
      </c>
      <c r="W6" s="103">
        <f>VALUE(期貨金額!X2)</f>
        <v>24934837</v>
      </c>
      <c r="X6" s="103">
        <f>VALUE(期貨金額!Y2)</f>
        <v>24721943</v>
      </c>
      <c r="Y6" s="103">
        <f>VALUE(期貨金額!Z2)</f>
        <v>24726390</v>
      </c>
      <c r="Z6" s="103">
        <f>VALUE(期貨金額!AA2)</f>
        <v>24726390</v>
      </c>
      <c r="AA6" s="103">
        <f>VALUE(期貨金額!AB2)</f>
        <v>24823106</v>
      </c>
      <c r="AB6" s="103">
        <f>VALUE(期貨金額!AC2)</f>
        <v>25126458</v>
      </c>
      <c r="AC6" s="103">
        <f>VALUE(期貨金額!AD2)</f>
        <v>25304799</v>
      </c>
      <c r="AD6" s="103">
        <f>VALUE(期貨金額!AE2)</f>
        <v>23411538</v>
      </c>
      <c r="AE6" s="103">
        <f>VALUE(期貨金額!AF2)</f>
        <v>22705011</v>
      </c>
      <c r="AF6" s="103">
        <f>VALUE(期貨金額!AG2)</f>
        <v>22704823</v>
      </c>
      <c r="AG6" s="103">
        <f>VALUE(期貨金額!AH2)</f>
        <v>22767803</v>
      </c>
      <c r="AH6" s="103">
        <f>VALUE(期貨金額!AI2)</f>
        <v>23538827.190000001</v>
      </c>
      <c r="AI6" s="467">
        <f>AH6/$AH$19</f>
        <v>0.68886144221639345</v>
      </c>
    </row>
    <row r="7" spans="1:35" ht="18">
      <c r="A7" s="105" t="s">
        <v>72</v>
      </c>
      <c r="B7" s="106" t="s">
        <v>237</v>
      </c>
      <c r="C7" s="103">
        <f>VALUE(期貨金額!D3)</f>
        <v>10490320</v>
      </c>
      <c r="D7" s="103">
        <f>VALUE(期貨金額!E3)</f>
        <v>10490320</v>
      </c>
      <c r="E7" s="103">
        <f>VALUE(期貨金額!F3)</f>
        <v>10490320</v>
      </c>
      <c r="F7" s="103">
        <f>VALUE(期貨金額!G3)</f>
        <v>10458522</v>
      </c>
      <c r="G7" s="103">
        <f>VALUE(期貨金額!H3)</f>
        <v>10466705</v>
      </c>
      <c r="H7" s="103">
        <f>VALUE(期貨金額!I3)</f>
        <v>10022182</v>
      </c>
      <c r="I7" s="103">
        <f>VALUE(期貨金額!J3)</f>
        <v>10030866</v>
      </c>
      <c r="J7" s="103">
        <f>VALUE(期貨金額!K3)</f>
        <v>9884132</v>
      </c>
      <c r="K7" s="103">
        <f>VALUE(期貨金額!L3)</f>
        <v>9904243</v>
      </c>
      <c r="L7" s="103">
        <f>VALUE(期貨金額!M3)</f>
        <v>9904243</v>
      </c>
      <c r="M7" s="103">
        <f>VALUE(期貨金額!N3)</f>
        <v>9856902</v>
      </c>
      <c r="N7" s="103">
        <f>VALUE(期貨金額!O3)</f>
        <v>9721402</v>
      </c>
      <c r="O7" s="103">
        <f>VALUE(期貨金額!P3)</f>
        <v>9738810</v>
      </c>
      <c r="P7" s="103">
        <f>VALUE(期貨金額!Q3)</f>
        <v>9741194</v>
      </c>
      <c r="Q7" s="103">
        <f>VALUE(期貨金額!R3)</f>
        <v>9742468</v>
      </c>
      <c r="R7" s="103">
        <f>VALUE(期貨金額!S3)</f>
        <v>9742466</v>
      </c>
      <c r="S7" s="103">
        <f>VALUE(期貨金額!T3)</f>
        <v>9747168</v>
      </c>
      <c r="T7" s="103">
        <f>VALUE(期貨金額!U3)</f>
        <v>9542349</v>
      </c>
      <c r="U7" s="103">
        <f>VALUE(期貨金額!V3)</f>
        <v>9547617</v>
      </c>
      <c r="V7" s="103">
        <f>VALUE(期貨金額!W3)</f>
        <v>9553646</v>
      </c>
      <c r="W7" s="103">
        <f>VALUE(期貨金額!X3)</f>
        <v>9598307</v>
      </c>
      <c r="X7" s="103">
        <f>VALUE(期貨金額!Y3)</f>
        <v>11342345</v>
      </c>
      <c r="Y7" s="103">
        <f>VALUE(期貨金額!Z3)</f>
        <v>11341165</v>
      </c>
      <c r="Z7" s="103">
        <f>VALUE(期貨金額!AA3)</f>
        <v>11341165</v>
      </c>
      <c r="AA7" s="103">
        <f>VALUE(期貨金額!AB3)</f>
        <v>11368002</v>
      </c>
      <c r="AB7" s="103">
        <f>VALUE(期貨金額!AC3)</f>
        <v>11389642</v>
      </c>
      <c r="AC7" s="103">
        <f>VALUE(期貨金額!AD3)</f>
        <v>11413023</v>
      </c>
      <c r="AD7" s="103">
        <f>VALUE(期貨金額!AE3)</f>
        <v>11357341</v>
      </c>
      <c r="AE7" s="103">
        <f>VALUE(期貨金額!AF3)</f>
        <v>11227265</v>
      </c>
      <c r="AF7" s="103">
        <f>VALUE(期貨金額!AG3)</f>
        <v>11240616</v>
      </c>
      <c r="AG7" s="103">
        <f>VALUE(期貨金額!AH3)</f>
        <v>11271854</v>
      </c>
      <c r="AH7" s="103">
        <f>VALUE(期貨金額!AI3)</f>
        <v>10386019.35</v>
      </c>
      <c r="AI7" s="467">
        <f t="shared" ref="AI7:AI17" si="0">AH7/$AH$19</f>
        <v>0.30394582578726886</v>
      </c>
    </row>
    <row r="8" spans="1:35" ht="18">
      <c r="A8" s="105" t="s">
        <v>72</v>
      </c>
      <c r="B8" s="106">
        <v>4</v>
      </c>
      <c r="C8" s="103">
        <f>VALUE(期貨金額!D4)</f>
        <v>669316</v>
      </c>
      <c r="D8" s="103">
        <f>VALUE(期貨金額!E4)</f>
        <v>669316</v>
      </c>
      <c r="E8" s="103">
        <f>VALUE(期貨金額!F4)</f>
        <v>669316</v>
      </c>
      <c r="F8" s="103">
        <f>VALUE(期貨金額!G4)</f>
        <v>118176</v>
      </c>
      <c r="G8" s="103">
        <f>VALUE(期貨金額!H4)</f>
        <v>115368</v>
      </c>
      <c r="H8" s="103">
        <f>VALUE(期貨金額!I4)</f>
        <v>116408</v>
      </c>
      <c r="I8" s="103">
        <f>VALUE(期貨金額!J4)</f>
        <v>196380</v>
      </c>
      <c r="J8" s="103">
        <f>VALUE(期貨金額!K4)</f>
        <v>200590</v>
      </c>
      <c r="K8" s="103">
        <f>VALUE(期貨金額!L4)</f>
        <v>210583</v>
      </c>
      <c r="L8" s="103">
        <f>VALUE(期貨金額!M4)</f>
        <v>210583</v>
      </c>
      <c r="M8" s="103">
        <f>VALUE(期貨金額!N4)</f>
        <v>210926</v>
      </c>
      <c r="N8" s="103">
        <f>VALUE(期貨金額!O4)</f>
        <v>210973</v>
      </c>
      <c r="O8" s="103">
        <f>VALUE(期貨金額!P4)</f>
        <v>211646</v>
      </c>
      <c r="P8" s="103">
        <f>VALUE(期貨金額!Q4)</f>
        <v>218529</v>
      </c>
      <c r="Q8" s="103">
        <f>VALUE(期貨金額!R4)</f>
        <v>217538</v>
      </c>
      <c r="R8" s="103">
        <f>VALUE(期貨金額!S4)</f>
        <v>217538</v>
      </c>
      <c r="S8" s="103">
        <f>VALUE(期貨金額!T4)</f>
        <v>217538</v>
      </c>
      <c r="T8" s="103">
        <f>VALUE(期貨金額!U4)</f>
        <v>217538</v>
      </c>
      <c r="U8" s="103">
        <f>VALUE(期貨金額!V4)</f>
        <v>217538</v>
      </c>
      <c r="V8" s="103">
        <f>VALUE(期貨金額!W4)</f>
        <v>218371</v>
      </c>
      <c r="W8" s="103">
        <f>VALUE(期貨金額!X4)</f>
        <v>197595</v>
      </c>
      <c r="X8" s="103">
        <f>VALUE(期貨金額!Y4)</f>
        <v>197595</v>
      </c>
      <c r="Y8" s="103">
        <f>VALUE(期貨金額!Z4)</f>
        <v>197595</v>
      </c>
      <c r="Z8" s="103">
        <f>VALUE(期貨金額!AA4)</f>
        <v>197595</v>
      </c>
      <c r="AA8" s="103">
        <f>VALUE(期貨金額!AB4)</f>
        <v>197216</v>
      </c>
      <c r="AB8" s="103">
        <f>VALUE(期貨金額!AC4)</f>
        <v>196933</v>
      </c>
      <c r="AC8" s="103">
        <f>VALUE(期貨金額!AD4)</f>
        <v>196940</v>
      </c>
      <c r="AD8" s="103">
        <f>VALUE(期貨金額!AE4)</f>
        <v>199523</v>
      </c>
      <c r="AE8" s="103">
        <f>VALUE(期貨金額!AF4)</f>
        <v>197427</v>
      </c>
      <c r="AF8" s="103">
        <f>VALUE(期貨金額!AG4)</f>
        <v>197427</v>
      </c>
      <c r="AG8" s="103">
        <f>VALUE(期貨金額!AH4)</f>
        <v>197484</v>
      </c>
      <c r="AH8" s="103">
        <f>VALUE(期貨金額!AI4)</f>
        <v>242177.45</v>
      </c>
      <c r="AI8" s="467">
        <f t="shared" si="0"/>
        <v>7.087299045644954E-3</v>
      </c>
    </row>
    <row r="9" spans="1:35" ht="18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8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8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8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8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8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8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8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8">
      <c r="A17" s="105" t="s">
        <v>243</v>
      </c>
      <c r="B17" s="105">
        <v>3</v>
      </c>
      <c r="C17" s="103">
        <f>VALUE(期貨金額!D15)</f>
        <v>1560</v>
      </c>
      <c r="D17" s="103">
        <f>VALUE(期貨金額!E15)</f>
        <v>1560</v>
      </c>
      <c r="E17" s="103">
        <f>VALUE(期貨金額!F15)</f>
        <v>1560</v>
      </c>
      <c r="F17" s="103">
        <f>VALUE(期貨金額!G15)</f>
        <v>1560</v>
      </c>
      <c r="G17" s="103">
        <f>VALUE(期貨金額!H15)</f>
        <v>1560</v>
      </c>
      <c r="H17" s="103">
        <f>VALUE(期貨金額!I15)</f>
        <v>3996</v>
      </c>
      <c r="I17" s="103">
        <f>VALUE(期貨金額!J15)</f>
        <v>3996</v>
      </c>
      <c r="J17" s="103">
        <f>VALUE(期貨金額!K15)</f>
        <v>3996</v>
      </c>
      <c r="K17" s="103">
        <f>VALUE(期貨金額!L15)</f>
        <v>3996</v>
      </c>
      <c r="L17" s="103">
        <f>VALUE(期貨金額!M15)</f>
        <v>3996</v>
      </c>
      <c r="M17" s="103">
        <f>VALUE(期貨金額!N15)</f>
        <v>3996</v>
      </c>
      <c r="N17" s="103">
        <f>VALUE(期貨金額!O15)</f>
        <v>3996</v>
      </c>
      <c r="O17" s="103">
        <f>VALUE(期貨金額!P15)</f>
        <v>3996</v>
      </c>
      <c r="P17" s="103">
        <f>VALUE(期貨金額!Q15)</f>
        <v>3996</v>
      </c>
      <c r="Q17" s="103">
        <f>VALUE(期貨金額!R15)</f>
        <v>3995</v>
      </c>
      <c r="R17" s="103">
        <f>VALUE(期貨金額!S15)</f>
        <v>3995</v>
      </c>
      <c r="S17" s="103">
        <f>VALUE(期貨金額!T15)</f>
        <v>3995</v>
      </c>
      <c r="T17" s="103">
        <f>VALUE(期貨金額!U15)</f>
        <v>3995</v>
      </c>
      <c r="U17" s="103">
        <f>VALUE(期貨金額!V15)</f>
        <v>3995</v>
      </c>
      <c r="V17" s="103">
        <f>VALUE(期貨金額!W15)</f>
        <v>3995</v>
      </c>
      <c r="W17" s="103">
        <f>VALUE(期貨金額!X15)</f>
        <v>3995</v>
      </c>
      <c r="X17" s="103">
        <f>VALUE(期貨金額!Y15)</f>
        <v>3995</v>
      </c>
      <c r="Y17" s="103">
        <f>VALUE(期貨金額!Z15)</f>
        <v>3995</v>
      </c>
      <c r="Z17" s="103">
        <f>VALUE(期貨金額!AA15)</f>
        <v>3995</v>
      </c>
      <c r="AA17" s="103">
        <f>VALUE(期貨金額!AB15)</f>
        <v>3995</v>
      </c>
      <c r="AB17" s="103">
        <f>VALUE(期貨金額!AC15)</f>
        <v>3995</v>
      </c>
      <c r="AC17" s="103">
        <f>VALUE(期貨金額!AD15)</f>
        <v>3996</v>
      </c>
      <c r="AD17" s="103">
        <f>VALUE(期貨金額!AE15)</f>
        <v>3996</v>
      </c>
      <c r="AE17" s="103">
        <f>VALUE(期貨金額!AF15)</f>
        <v>3996</v>
      </c>
      <c r="AF17" s="103">
        <f>VALUE(期貨金額!AG15)</f>
        <v>3996</v>
      </c>
      <c r="AG17" s="103">
        <f>VALUE(期貨金額!AH15)</f>
        <v>3996</v>
      </c>
      <c r="AH17" s="103">
        <f>VALUE(期貨金額!AI15)</f>
        <v>3602.71</v>
      </c>
      <c r="AI17" s="467">
        <f t="shared" si="0"/>
        <v>1.0543295069270707E-4</v>
      </c>
    </row>
    <row r="18" spans="1:35" ht="18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35428490</v>
      </c>
      <c r="D19" s="107">
        <f t="shared" si="1"/>
        <v>35436027</v>
      </c>
      <c r="E19" s="107">
        <f t="shared" si="1"/>
        <v>35436027</v>
      </c>
      <c r="F19" s="107">
        <f t="shared" si="1"/>
        <v>34748459</v>
      </c>
      <c r="G19" s="107">
        <f t="shared" si="1"/>
        <v>33288290</v>
      </c>
      <c r="H19" s="107">
        <f t="shared" si="1"/>
        <v>32315413</v>
      </c>
      <c r="I19" s="107">
        <f t="shared" si="1"/>
        <v>32280465</v>
      </c>
      <c r="J19" s="107">
        <f t="shared" si="1"/>
        <v>32213197</v>
      </c>
      <c r="K19" s="107">
        <f t="shared" si="1"/>
        <v>32254109</v>
      </c>
      <c r="L19" s="107">
        <f t="shared" si="1"/>
        <v>32254109</v>
      </c>
      <c r="M19" s="107">
        <f t="shared" si="1"/>
        <v>31415625</v>
      </c>
      <c r="N19" s="107">
        <f t="shared" si="1"/>
        <v>32139239</v>
      </c>
      <c r="O19" s="107">
        <f t="shared" si="1"/>
        <v>32759006</v>
      </c>
      <c r="P19" s="107">
        <f t="shared" si="1"/>
        <v>33169599</v>
      </c>
      <c r="Q19" s="107">
        <f t="shared" si="1"/>
        <v>33495247</v>
      </c>
      <c r="R19" s="107">
        <f t="shared" si="1"/>
        <v>33496808</v>
      </c>
      <c r="S19" s="107">
        <f t="shared" si="1"/>
        <v>33714886</v>
      </c>
      <c r="T19" s="107">
        <f t="shared" si="1"/>
        <v>33683112</v>
      </c>
      <c r="U19" s="107">
        <f t="shared" si="1"/>
        <v>33715439</v>
      </c>
      <c r="V19" s="107">
        <f t="shared" si="1"/>
        <v>34984778</v>
      </c>
      <c r="W19" s="107">
        <f t="shared" si="1"/>
        <v>34734734</v>
      </c>
      <c r="X19" s="107">
        <f>SUM(X6:X18)</f>
        <v>36265878</v>
      </c>
      <c r="Y19" s="107">
        <f t="shared" si="1"/>
        <v>36269145</v>
      </c>
      <c r="Z19" s="107">
        <f t="shared" si="1"/>
        <v>36269145</v>
      </c>
      <c r="AA19" s="107">
        <f t="shared" si="1"/>
        <v>36392319</v>
      </c>
      <c r="AB19" s="107">
        <f t="shared" si="1"/>
        <v>36717028</v>
      </c>
      <c r="AC19" s="107">
        <f t="shared" si="1"/>
        <v>36918758</v>
      </c>
      <c r="AD19" s="107">
        <f t="shared" si="1"/>
        <v>34972398</v>
      </c>
      <c r="AE19" s="107">
        <f t="shared" si="1"/>
        <v>34133699</v>
      </c>
      <c r="AF19" s="107">
        <f t="shared" si="1"/>
        <v>34146862</v>
      </c>
      <c r="AG19" s="107">
        <f t="shared" si="1"/>
        <v>34241137</v>
      </c>
      <c r="AH19" s="107">
        <f t="shared" si="1"/>
        <v>34170626.700000003</v>
      </c>
      <c r="AI19" s="104">
        <f>AH19/AH$19</f>
        <v>1</v>
      </c>
    </row>
    <row r="20" spans="1:35" ht="18">
      <c r="A20" s="105" t="s">
        <v>245</v>
      </c>
      <c r="B20" s="106">
        <v>1</v>
      </c>
      <c r="C20" s="103">
        <f>VALUE(期貨金額!D7)</f>
        <v>3673640</v>
      </c>
      <c r="D20" s="103">
        <f>VALUE(期貨金額!E7)</f>
        <v>3673694</v>
      </c>
      <c r="E20" s="103">
        <f>VALUE(期貨金額!F7)</f>
        <v>3673694</v>
      </c>
      <c r="F20" s="103">
        <f>VALUE(期貨金額!G7)</f>
        <v>4181276</v>
      </c>
      <c r="G20" s="103">
        <f>VALUE(期貨金額!H7)</f>
        <v>4611382</v>
      </c>
      <c r="H20" s="103">
        <f>VALUE(期貨金額!I7)</f>
        <v>4781321</v>
      </c>
      <c r="I20" s="103">
        <f>VALUE(期貨金額!J7)</f>
        <v>5636521</v>
      </c>
      <c r="J20" s="103">
        <f>VALUE(期貨金額!K7)</f>
        <v>6467415</v>
      </c>
      <c r="K20" s="103">
        <f>VALUE(期貨金額!L7)</f>
        <v>6503997</v>
      </c>
      <c r="L20" s="103">
        <f>VALUE(期貨金額!M7)</f>
        <v>6503997</v>
      </c>
      <c r="M20" s="103">
        <f>VALUE(期貨金額!N7)</f>
        <v>6879403</v>
      </c>
      <c r="N20" s="103">
        <f>VALUE(期貨金額!O7)</f>
        <v>7185231</v>
      </c>
      <c r="O20" s="103">
        <f>VALUE(期貨金額!P7)</f>
        <v>7870915</v>
      </c>
      <c r="P20" s="103">
        <f>VALUE(期貨金額!Q7)</f>
        <v>8349961</v>
      </c>
      <c r="Q20" s="103">
        <f>VALUE(期貨金額!R7)</f>
        <v>8727901</v>
      </c>
      <c r="R20" s="103">
        <f>VALUE(期貨金額!S7)</f>
        <v>8728291</v>
      </c>
      <c r="S20" s="103">
        <f>VALUE(期貨金額!T7)</f>
        <v>8791372</v>
      </c>
      <c r="T20" s="103">
        <f>VALUE(期貨金額!U7)</f>
        <v>9037165</v>
      </c>
      <c r="U20" s="103">
        <f>VALUE(期貨金額!V7)</f>
        <v>9222754</v>
      </c>
      <c r="V20" s="103">
        <f>VALUE(期貨金額!W7)</f>
        <v>9413240</v>
      </c>
      <c r="W20" s="103">
        <f>VALUE(期貨金額!X7)</f>
        <v>9991860</v>
      </c>
      <c r="X20" s="103">
        <f>VALUE(期貨金額!Y7)</f>
        <v>10189032</v>
      </c>
      <c r="Y20" s="103">
        <f>VALUE(期貨金額!Z7)</f>
        <v>10189069</v>
      </c>
      <c r="Z20" s="103">
        <f>VALUE(期貨金額!AA7)</f>
        <v>10189069</v>
      </c>
      <c r="AA20" s="103">
        <f>VALUE(期貨金額!AB7)</f>
        <v>10705266</v>
      </c>
      <c r="AB20" s="103">
        <f>VALUE(期貨金額!AC7)</f>
        <v>10726353</v>
      </c>
      <c r="AC20" s="103">
        <f>VALUE(期貨金額!AD7)</f>
        <v>10754955</v>
      </c>
      <c r="AD20" s="103">
        <f>VALUE(期貨金額!AE7)</f>
        <v>10782278</v>
      </c>
      <c r="AE20" s="103">
        <f>VALUE(期貨金額!AF7)</f>
        <v>10581673</v>
      </c>
      <c r="AF20" s="103">
        <f>VALUE(期貨金額!AG7)</f>
        <v>10583672</v>
      </c>
      <c r="AG20" s="103">
        <f>VALUE(期貨金額!AH7)</f>
        <v>10586339</v>
      </c>
      <c r="AH20" s="103">
        <f>VALUE(期貨金額!AI7)</f>
        <v>8038475.3499999996</v>
      </c>
      <c r="AI20" s="467">
        <f>AH20/$AH$26</f>
        <v>1</v>
      </c>
    </row>
    <row r="21" spans="1:35" ht="18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8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8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8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8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3673640</v>
      </c>
      <c r="D26" s="107">
        <f>SUM(D20:D25)</f>
        <v>3673694</v>
      </c>
      <c r="E26" s="107">
        <f>SUM(E20:E25)</f>
        <v>3673694</v>
      </c>
      <c r="F26" s="107">
        <f t="shared" ref="F26:AH26" si="3">SUM(F20:F25)</f>
        <v>4181276</v>
      </c>
      <c r="G26" s="107">
        <f t="shared" si="3"/>
        <v>4611382</v>
      </c>
      <c r="H26" s="107">
        <f t="shared" si="3"/>
        <v>4781321</v>
      </c>
      <c r="I26" s="107">
        <f t="shared" si="3"/>
        <v>5636521</v>
      </c>
      <c r="J26" s="107">
        <f t="shared" si="3"/>
        <v>6467415</v>
      </c>
      <c r="K26" s="107">
        <f t="shared" si="3"/>
        <v>6503997</v>
      </c>
      <c r="L26" s="107">
        <f t="shared" si="3"/>
        <v>6503997</v>
      </c>
      <c r="M26" s="107">
        <f t="shared" si="3"/>
        <v>6879403</v>
      </c>
      <c r="N26" s="107">
        <f t="shared" si="3"/>
        <v>7185231</v>
      </c>
      <c r="O26" s="107">
        <f t="shared" si="3"/>
        <v>7870915</v>
      </c>
      <c r="P26" s="107">
        <f t="shared" si="3"/>
        <v>8349961</v>
      </c>
      <c r="Q26" s="107">
        <f t="shared" si="3"/>
        <v>8727901</v>
      </c>
      <c r="R26" s="107">
        <f t="shared" si="3"/>
        <v>8728291</v>
      </c>
      <c r="S26" s="107">
        <f t="shared" si="3"/>
        <v>8791372</v>
      </c>
      <c r="T26" s="107">
        <f t="shared" si="3"/>
        <v>9037165</v>
      </c>
      <c r="U26" s="107">
        <f t="shared" si="3"/>
        <v>9222754</v>
      </c>
      <c r="V26" s="107">
        <f t="shared" si="3"/>
        <v>9413240</v>
      </c>
      <c r="W26" s="107">
        <f t="shared" si="3"/>
        <v>9991860</v>
      </c>
      <c r="X26" s="107">
        <f t="shared" si="3"/>
        <v>10189032</v>
      </c>
      <c r="Y26" s="107">
        <f t="shared" si="3"/>
        <v>10189069</v>
      </c>
      <c r="Z26" s="107">
        <f t="shared" si="3"/>
        <v>10189069</v>
      </c>
      <c r="AA26" s="107">
        <f t="shared" si="3"/>
        <v>10705266</v>
      </c>
      <c r="AB26" s="107">
        <f t="shared" si="3"/>
        <v>10726353</v>
      </c>
      <c r="AC26" s="107">
        <f t="shared" si="3"/>
        <v>10754955</v>
      </c>
      <c r="AD26" s="107">
        <f t="shared" si="3"/>
        <v>10782278</v>
      </c>
      <c r="AE26" s="107">
        <f t="shared" si="3"/>
        <v>10581673</v>
      </c>
      <c r="AF26" s="107">
        <f t="shared" si="3"/>
        <v>10583672</v>
      </c>
      <c r="AG26" s="107">
        <f t="shared" si="3"/>
        <v>10586339</v>
      </c>
      <c r="AH26" s="107">
        <f t="shared" si="3"/>
        <v>8038475.3499999996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75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5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4.2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4.2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545009083</v>
      </c>
      <c r="Q3" s="492">
        <v>464677576.2836622</v>
      </c>
    </row>
    <row r="4" spans="1:17" ht="14.2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352184174</v>
      </c>
      <c r="Q4" s="493">
        <v>273032650.54556781</v>
      </c>
    </row>
    <row r="5" spans="1:17" ht="14.2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301207246</v>
      </c>
      <c r="Q5" s="494">
        <v>234369660.42638603</v>
      </c>
    </row>
    <row r="6" spans="1:17" ht="14.2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6412626</v>
      </c>
      <c r="Q6" s="494">
        <v>11732298.264378672</v>
      </c>
    </row>
    <row r="7" spans="1:17" ht="14.2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4777561</v>
      </c>
      <c r="Q7" s="494">
        <v>1014645.0529197619</v>
      </c>
    </row>
    <row r="8" spans="1:17" ht="14.2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27967341</v>
      </c>
      <c r="Q8" s="494">
        <v>18506618.52265</v>
      </c>
    </row>
    <row r="9" spans="1:17" ht="14.2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4.2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11819400</v>
      </c>
      <c r="Q10" s="494">
        <v>7409428.2792333327</v>
      </c>
    </row>
    <row r="11" spans="1:17" ht="14.2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2019290</v>
      </c>
      <c r="Q11" s="495">
        <v>13138072.522955555</v>
      </c>
    </row>
    <row r="12" spans="1:17" ht="14.2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4.2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1663365</v>
      </c>
      <c r="Q13" s="494">
        <v>1921849.43765</v>
      </c>
    </row>
    <row r="14" spans="1:17" ht="14.2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202</v>
      </c>
      <c r="Q14" s="494">
        <v>0</v>
      </c>
    </row>
    <row r="15" spans="1:17" ht="14.2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355723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190805619</v>
      </c>
      <c r="Q16" s="495">
        <v>178506853.21513885</v>
      </c>
    </row>
    <row r="17" spans="1:17" ht="14.2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180917572</v>
      </c>
      <c r="Q17" s="494">
        <v>151409196.64236107</v>
      </c>
    </row>
    <row r="18" spans="1:17" ht="14.2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1835106</v>
      </c>
      <c r="Q18" s="494">
        <v>3134492.652888889</v>
      </c>
    </row>
    <row r="19" spans="1:17" ht="14.2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4.2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4.2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7619843</v>
      </c>
      <c r="Q21" s="494">
        <v>3640844.9022222231</v>
      </c>
    </row>
    <row r="22" spans="1:17" ht="14.2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108871</v>
      </c>
      <c r="Q22" s="494">
        <v>127003.2088888889</v>
      </c>
    </row>
    <row r="23" spans="1:17" ht="14.2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147267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10567759</v>
      </c>
      <c r="Q24" s="495"/>
    </row>
    <row r="25" spans="1:17" ht="14.2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4.2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4.2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5163879</v>
      </c>
      <c r="Q27" s="494"/>
    </row>
    <row r="28" spans="1:17" ht="14.2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5403880</v>
      </c>
      <c r="Q28" s="494"/>
    </row>
    <row r="29" spans="1:17" ht="14.2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101228</v>
      </c>
      <c r="Q29" s="496"/>
    </row>
    <row r="30" spans="1:17" ht="14.2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4.2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5942912</v>
      </c>
      <c r="Q31" s="497"/>
    </row>
    <row r="32" spans="1:17" ht="15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10754563</v>
      </c>
      <c r="Q32" s="498"/>
    </row>
    <row r="33" spans="1:17" ht="14.2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5" thickBot="1">
      <c r="A35" s="112" t="s">
        <v>271</v>
      </c>
      <c r="B35" s="112"/>
      <c r="C35" s="112"/>
      <c r="Q35" s="121"/>
    </row>
    <row r="36" spans="1:17" ht="14.2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4.2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557749800</v>
      </c>
      <c r="Q37" s="121"/>
    </row>
    <row r="38" spans="1:17" ht="14.2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360084055</v>
      </c>
      <c r="Q38" s="121"/>
    </row>
    <row r="39" spans="1:17" ht="14.2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305519239</v>
      </c>
      <c r="Q39" s="121"/>
    </row>
    <row r="40" spans="1:17" ht="14.2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8003762</v>
      </c>
      <c r="Q40" s="121"/>
    </row>
    <row r="41" spans="1:17" ht="14.2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5007426</v>
      </c>
      <c r="Q41" s="121"/>
    </row>
    <row r="42" spans="1:17" ht="14.2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28762391</v>
      </c>
      <c r="Q42" s="121"/>
    </row>
    <row r="43" spans="1:17" ht="14.2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4.2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12791237</v>
      </c>
      <c r="Q44" s="121"/>
    </row>
    <row r="45" spans="1:17" ht="14.2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2155727</v>
      </c>
      <c r="Q45" s="121"/>
    </row>
    <row r="46" spans="1:17" ht="14.2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4.2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1799289</v>
      </c>
      <c r="Q47" s="121"/>
    </row>
    <row r="48" spans="1:17" ht="14.2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4.2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356438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195510018</v>
      </c>
      <c r="Q50" s="121"/>
    </row>
    <row r="51" spans="1:17" ht="14.2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185823884</v>
      </c>
      <c r="Q51" s="121"/>
    </row>
    <row r="52" spans="1:17" ht="14.2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1735849</v>
      </c>
      <c r="Q52" s="121"/>
    </row>
    <row r="53" spans="1:17" ht="14.2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4.2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4.2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7497199</v>
      </c>
      <c r="Q55" s="121"/>
    </row>
    <row r="56" spans="1:17" ht="14.2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4.2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169287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12421291</v>
      </c>
      <c r="Q58" s="121"/>
    </row>
    <row r="59" spans="1:17" ht="14.2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4.2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4.2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5596103</v>
      </c>
      <c r="Q61" s="121"/>
    </row>
    <row r="62" spans="1:17" ht="14.2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6825188</v>
      </c>
      <c r="Q62" s="121"/>
    </row>
    <row r="63" spans="1:17" ht="14.2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101933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7026661</v>
      </c>
      <c r="Q65" s="121"/>
    </row>
    <row r="66" spans="1:17" ht="15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11107531</v>
      </c>
      <c r="Q66" s="121"/>
    </row>
    <row r="67" spans="1:17" ht="14.2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4.25">
      <c r="A68" s="151"/>
      <c r="B68" s="158"/>
      <c r="C68" s="159">
        <v>7</v>
      </c>
      <c r="P68" s="338">
        <f>VALUE(月庫存金額!AB28)</f>
        <v>0</v>
      </c>
    </row>
    <row r="69" spans="1:17" ht="15" hidden="1" thickBot="1">
      <c r="A69" s="112" t="s">
        <v>272</v>
      </c>
      <c r="B69" s="112"/>
      <c r="C69" s="112"/>
      <c r="Q69" s="121"/>
    </row>
    <row r="70" spans="1:17" ht="14.2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4.2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4.2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4.2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4.2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4.2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4.2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4.2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4.2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5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4.2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4.2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4.2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4.2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4.2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4.2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4.2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4.2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4.2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4.2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4.2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4.2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5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4.25">
      <c r="A96" s="151"/>
      <c r="B96" s="158"/>
      <c r="C96" s="159"/>
    </row>
    <row r="97" spans="1:19" ht="15" thickBot="1">
      <c r="A97" s="112" t="s">
        <v>274</v>
      </c>
      <c r="B97" s="112"/>
      <c r="C97" s="112"/>
    </row>
    <row r="98" spans="1:19" ht="14.2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4.2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97.9</v>
      </c>
      <c r="Q99" s="500">
        <v>97.9</v>
      </c>
      <c r="R99" s="681"/>
      <c r="S99" s="682"/>
    </row>
    <row r="100" spans="1:19" ht="14.2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99.9</v>
      </c>
      <c r="Q100" s="500">
        <v>99</v>
      </c>
      <c r="R100" s="681"/>
      <c r="S100" s="682"/>
    </row>
    <row r="101" spans="1:19" ht="14.2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87.5</v>
      </c>
      <c r="Q101" s="500">
        <v>75</v>
      </c>
      <c r="R101" s="681"/>
      <c r="S101" s="682"/>
    </row>
    <row r="102" spans="1:19" ht="14.2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4.2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92.8</v>
      </c>
      <c r="Q103" s="500">
        <v>92</v>
      </c>
      <c r="R103" s="681"/>
      <c r="S103" s="682"/>
    </row>
    <row r="104" spans="1:19" ht="14.2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98.6</v>
      </c>
      <c r="Q104" s="500">
        <v>95</v>
      </c>
      <c r="R104" s="681"/>
      <c r="S104" s="682"/>
    </row>
    <row r="105" spans="1:19" ht="14.2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94.8</v>
      </c>
      <c r="Q105" s="500">
        <v>95</v>
      </c>
      <c r="R105" s="681"/>
      <c r="S105" s="682"/>
    </row>
    <row r="106" spans="1:19" ht="14.2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</v>
      </c>
      <c r="Q106" s="501">
        <v>97.8</v>
      </c>
      <c r="R106" s="240"/>
      <c r="S106" s="241"/>
    </row>
    <row r="107" spans="1:19" ht="14.2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97.3</v>
      </c>
      <c r="Q107" s="500">
        <v>97.8</v>
      </c>
      <c r="R107" s="240"/>
      <c r="S107" s="241"/>
    </row>
    <row r="108" spans="1:19" ht="14.2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99.8</v>
      </c>
      <c r="Q108" s="502">
        <v>99</v>
      </c>
      <c r="R108" s="240"/>
      <c r="S108" s="241"/>
    </row>
    <row r="109" spans="1:19" ht="14.2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94.5</v>
      </c>
      <c r="Q109" s="502">
        <v>75</v>
      </c>
      <c r="R109" s="240"/>
      <c r="S109" s="241"/>
    </row>
    <row r="110" spans="1:19" ht="14.2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96.7</v>
      </c>
      <c r="Q110" s="502">
        <v>98.7</v>
      </c>
      <c r="R110" s="240"/>
      <c r="S110" s="241"/>
    </row>
    <row r="111" spans="1:19" ht="14.2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94.2</v>
      </c>
      <c r="Q111" s="502">
        <v>95</v>
      </c>
      <c r="R111" s="240"/>
      <c r="S111" s="241"/>
    </row>
    <row r="112" spans="1:19" ht="14.2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5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97.1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4.2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4.2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4.2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4.2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93.8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>
      <c r="A121" s="151"/>
      <c r="R121" s="194"/>
      <c r="S121" s="194"/>
    </row>
    <row r="122" spans="1:21" ht="15" thickBot="1">
      <c r="A122" s="112" t="s">
        <v>277</v>
      </c>
      <c r="B122" s="112"/>
      <c r="C122" s="112"/>
      <c r="R122" s="194"/>
      <c r="S122" s="194"/>
    </row>
    <row r="123" spans="1:21" ht="14.2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97.8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98.4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98.2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89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94.3</v>
      </c>
      <c r="Q131" s="197"/>
      <c r="R131" s="681"/>
      <c r="S131" s="682"/>
      <c r="T131" s="114"/>
      <c r="U131" s="114"/>
    </row>
    <row r="132" spans="1:21" s="198" customFormat="1" ht="13.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98.6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97.9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99.8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95.5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97.1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94.3</v>
      </c>
      <c r="Q137" s="197"/>
      <c r="R137" s="240"/>
      <c r="S137" s="241"/>
      <c r="T137" s="114"/>
      <c r="U137" s="114"/>
    </row>
    <row r="138" spans="1:21" s="198" customFormat="1" ht="13.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4.2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>
      <c r="A144" s="151"/>
      <c r="B144" s="203"/>
      <c r="C144" s="203"/>
      <c r="R144" s="194"/>
      <c r="S144" s="194"/>
    </row>
    <row r="145" spans="1:19" ht="15" thickBot="1">
      <c r="A145" s="112" t="s">
        <v>278</v>
      </c>
      <c r="B145" s="112"/>
      <c r="C145" s="112"/>
      <c r="R145" s="194"/>
      <c r="S145" s="194"/>
    </row>
    <row r="146" spans="1:19" ht="14.2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5274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7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22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329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646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137</v>
      </c>
      <c r="R152" s="681"/>
      <c r="S152" s="682"/>
    </row>
    <row r="153" spans="1:19" ht="14.2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11</v>
      </c>
      <c r="R153" s="681"/>
      <c r="S153" s="682"/>
    </row>
    <row r="154" spans="1:19" ht="14.2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6426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1130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22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277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86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5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1516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5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5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5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75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5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4.2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4.2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4.2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4.2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4.2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4.2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4.2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4.2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4.2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4.2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4.2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4.2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4.2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4.2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4.2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4.2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4.2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4.2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4.2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5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5" thickBot="1">
      <c r="A23" s="112" t="s">
        <v>271</v>
      </c>
      <c r="B23" s="112"/>
      <c r="C23" s="112"/>
      <c r="Q23" s="121"/>
    </row>
    <row r="24" spans="1:17" ht="14.2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4.2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4.2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4.2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4.2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4.2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4.2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4.2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4.2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4.2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4.2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4.2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4.2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4.2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4.2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4.2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4.2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4.2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5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4.25">
      <c r="A44" s="151" t="s">
        <v>282</v>
      </c>
      <c r="B44" s="158"/>
      <c r="C44" s="159"/>
    </row>
    <row r="45" spans="1:17" ht="15" thickBot="1">
      <c r="A45" s="112" t="s">
        <v>272</v>
      </c>
      <c r="B45" s="112"/>
      <c r="C45" s="112"/>
      <c r="Q45" s="121"/>
    </row>
    <row r="46" spans="1:17" ht="14.2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4.2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4.2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4.2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4.2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4.2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4.2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4.2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4.2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4.2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5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4.2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75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4.2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4.2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4.2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4.2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4.2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5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4.25">
      <c r="A66" s="151" t="s">
        <v>283</v>
      </c>
      <c r="B66" s="158"/>
      <c r="C66" s="159"/>
    </row>
    <row r="67" spans="1:19" ht="15" thickBot="1">
      <c r="A67" s="112" t="s">
        <v>274</v>
      </c>
      <c r="B67" s="112"/>
      <c r="C67" s="112"/>
    </row>
    <row r="68" spans="1:19" ht="14.2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4.2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4.2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4.2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4.2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4.2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4.2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4.2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4.2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5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>
      <c r="A79" s="151" t="s">
        <v>285</v>
      </c>
      <c r="R79" s="194"/>
      <c r="S79" s="194"/>
    </row>
    <row r="80" spans="1:19" ht="15" thickBot="1">
      <c r="A80" s="112" t="s">
        <v>277</v>
      </c>
      <c r="B80" s="112"/>
      <c r="C80" s="112"/>
      <c r="R80" s="194"/>
      <c r="S80" s="194"/>
    </row>
    <row r="81" spans="1:21" ht="14.2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3.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>
      <c r="A92" s="151"/>
      <c r="B92" s="203"/>
      <c r="C92" s="203"/>
      <c r="R92" s="194"/>
      <c r="S92" s="194"/>
    </row>
    <row r="93" spans="1:21" ht="15" thickBot="1">
      <c r="A93" s="112" t="s">
        <v>278</v>
      </c>
      <c r="B93" s="112"/>
      <c r="C93" s="112"/>
      <c r="R93" s="194"/>
      <c r="S93" s="194"/>
    </row>
    <row r="94" spans="1:21" ht="14.2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4.2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5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7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5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4.2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4.2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4.2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4.2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4.2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4.2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4.2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4.2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4.2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4.2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4.2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4.2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4.2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4.2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4.2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4.2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4.2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4.2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4.2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4.2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5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4.2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4.2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4.2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4.2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4.2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5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4.2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4.2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4.2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5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5" thickBot="1">
      <c r="A35" s="342" t="s">
        <v>271</v>
      </c>
      <c r="B35" s="342"/>
      <c r="C35" s="342"/>
    </row>
    <row r="36" spans="1:240" ht="14.2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4.2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4.2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4.2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4.2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4.2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4.2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4.2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4.2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4.2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4.2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4.2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4.2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4.2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4.2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4.2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4.2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4.2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4.2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5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4.2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4.2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4.2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4.2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4.2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4.2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4.2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5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4.2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4.25">
      <c r="A95" s="151"/>
      <c r="B95" s="158"/>
      <c r="C95" s="159"/>
    </row>
    <row r="96" spans="1:240" ht="15" thickBot="1">
      <c r="A96" s="342" t="s">
        <v>274</v>
      </c>
      <c r="B96" s="342"/>
      <c r="C96" s="342"/>
    </row>
    <row r="97" spans="1:18" ht="14.2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4.2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4.2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4.2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4.2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4.2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4.2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4.2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4.2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6.5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6.5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6.5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6.5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6.5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6.5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2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6.5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4.2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4.2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4.2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4.2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4.2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>
      <c r="A119" s="151"/>
    </row>
    <row r="120" spans="1:240" ht="15" thickBot="1">
      <c r="A120" s="342" t="s">
        <v>277</v>
      </c>
      <c r="B120" s="342"/>
      <c r="C120" s="342"/>
    </row>
    <row r="121" spans="1:240" ht="14.2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3.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3.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3.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>
      <c r="A142" s="151"/>
      <c r="B142" s="203"/>
      <c r="C142" s="203"/>
    </row>
    <row r="143" spans="1:240" ht="15" thickBot="1">
      <c r="A143" s="342" t="s">
        <v>278</v>
      </c>
      <c r="B143" s="342"/>
      <c r="C143" s="342"/>
    </row>
    <row r="144" spans="1:240" ht="14.2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4.2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4.2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5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5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6.5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6.5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6.5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6.5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6.5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6.5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6.5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6.5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6.5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6.5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6.5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6.5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6.5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6.5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6.5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6.5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6.5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6.5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6.5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6.5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7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5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4.2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4.2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4.2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4.2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4.2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4.2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4.2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4.2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4.2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4.2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4.2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4.2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4.2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4.2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4.2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4.2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4.2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4.2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4.2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4.2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4.2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5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4.2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4.2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4.2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4.2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4.2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5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4.2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4.2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4.2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5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6.5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2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2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6.5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111</v>
      </c>
      <c r="D3" s="466" t="s">
        <v>112</v>
      </c>
      <c r="E3" s="466" t="s">
        <v>106</v>
      </c>
      <c r="F3" s="466" t="s">
        <v>107</v>
      </c>
      <c r="G3" s="466" t="s">
        <v>108</v>
      </c>
      <c r="H3" s="466" t="s">
        <v>109</v>
      </c>
      <c r="I3" s="466" t="s">
        <v>110</v>
      </c>
      <c r="J3" s="466" t="s">
        <v>111</v>
      </c>
      <c r="K3" s="466" t="s">
        <v>112</v>
      </c>
      <c r="L3" s="466" t="s">
        <v>106</v>
      </c>
      <c r="M3" s="466" t="s">
        <v>107</v>
      </c>
      <c r="N3" s="466" t="s">
        <v>108</v>
      </c>
      <c r="O3" s="466" t="s">
        <v>109</v>
      </c>
      <c r="P3" s="466" t="s">
        <v>110</v>
      </c>
      <c r="Q3" s="466" t="s">
        <v>111</v>
      </c>
      <c r="R3" s="466" t="s">
        <v>112</v>
      </c>
      <c r="S3" s="466" t="s">
        <v>106</v>
      </c>
      <c r="T3" s="466" t="s">
        <v>107</v>
      </c>
      <c r="U3" s="466" t="s">
        <v>108</v>
      </c>
      <c r="V3" s="466" t="s">
        <v>109</v>
      </c>
      <c r="W3" s="466" t="s">
        <v>110</v>
      </c>
      <c r="X3" s="466" t="s">
        <v>111</v>
      </c>
      <c r="Y3" s="466" t="s">
        <v>112</v>
      </c>
      <c r="Z3" s="466" t="s">
        <v>106</v>
      </c>
      <c r="AA3" s="466" t="s">
        <v>107</v>
      </c>
      <c r="AB3" s="466" t="s">
        <v>108</v>
      </c>
      <c r="AC3" s="466" t="s">
        <v>109</v>
      </c>
      <c r="AD3" s="466" t="s">
        <v>110</v>
      </c>
      <c r="AE3" s="466" t="s">
        <v>111</v>
      </c>
      <c r="AF3" s="466" t="s">
        <v>112</v>
      </c>
      <c r="AG3" s="466" t="s">
        <v>106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6.5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463</v>
      </c>
      <c r="M2" s="1" t="s">
        <v>464</v>
      </c>
      <c r="N2" s="1" t="s">
        <v>465</v>
      </c>
      <c r="O2" s="1" t="s">
        <v>466</v>
      </c>
      <c r="P2" s="1" t="s">
        <v>467</v>
      </c>
      <c r="Q2" s="1" t="s">
        <v>468</v>
      </c>
      <c r="R2" s="1" t="s">
        <v>469</v>
      </c>
      <c r="S2" s="1" t="s">
        <v>470</v>
      </c>
      <c r="T2" s="1" t="s">
        <v>471</v>
      </c>
      <c r="U2" s="1" t="s">
        <v>472</v>
      </c>
      <c r="V2" s="1" t="s">
        <v>473</v>
      </c>
      <c r="W2" s="1" t="s">
        <v>474</v>
      </c>
      <c r="X2" s="1" t="s">
        <v>475</v>
      </c>
      <c r="Y2" s="1" t="s">
        <v>476</v>
      </c>
      <c r="Z2" s="1" t="s">
        <v>477</v>
      </c>
      <c r="AA2" s="306" t="s">
        <v>478</v>
      </c>
      <c r="AB2" s="1" t="s">
        <v>479</v>
      </c>
      <c r="AC2" s="1" t="s">
        <v>480</v>
      </c>
      <c r="AD2" s="1" t="s">
        <v>481</v>
      </c>
      <c r="AE2" s="1" t="s">
        <v>482</v>
      </c>
      <c r="AF2" s="1" t="s">
        <v>483</v>
      </c>
      <c r="AG2" s="1" t="s">
        <v>484</v>
      </c>
      <c r="AH2" s="1" t="s">
        <v>485</v>
      </c>
      <c r="AI2" s="1" t="s">
        <v>486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487</v>
      </c>
      <c r="C3" s="1" t="s">
        <v>488</v>
      </c>
      <c r="D3" s="1" t="s">
        <v>489</v>
      </c>
      <c r="E3" s="1" t="s">
        <v>489</v>
      </c>
      <c r="F3" s="1" t="s">
        <v>490</v>
      </c>
      <c r="G3" s="1" t="s">
        <v>491</v>
      </c>
      <c r="H3" s="1" t="s">
        <v>492</v>
      </c>
      <c r="I3" s="1" t="s">
        <v>493</v>
      </c>
      <c r="J3" s="1" t="s">
        <v>494</v>
      </c>
      <c r="K3" s="1" t="s">
        <v>495</v>
      </c>
      <c r="L3" s="1" t="s">
        <v>496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501</v>
      </c>
      <c r="R3" s="1" t="s">
        <v>502</v>
      </c>
      <c r="S3" s="1" t="s">
        <v>503</v>
      </c>
      <c r="T3" s="1" t="s">
        <v>504</v>
      </c>
      <c r="U3" s="1" t="s">
        <v>505</v>
      </c>
      <c r="V3" s="1" t="s">
        <v>506</v>
      </c>
      <c r="W3" s="1" t="s">
        <v>507</v>
      </c>
      <c r="X3" s="1" t="s">
        <v>508</v>
      </c>
      <c r="Y3" s="1" t="s">
        <v>509</v>
      </c>
      <c r="Z3" s="1" t="s">
        <v>510</v>
      </c>
      <c r="AA3" s="1" t="s">
        <v>511</v>
      </c>
      <c r="AB3" s="1" t="s">
        <v>512</v>
      </c>
      <c r="AC3" s="1" t="s">
        <v>513</v>
      </c>
      <c r="AD3" s="1" t="s">
        <v>514</v>
      </c>
      <c r="AE3" s="1" t="s">
        <v>515</v>
      </c>
      <c r="AF3" s="1" t="s">
        <v>516</v>
      </c>
      <c r="AG3" s="1" t="s">
        <v>517</v>
      </c>
      <c r="AH3" s="1" t="s">
        <v>518</v>
      </c>
      <c r="AI3" s="1" t="s">
        <v>519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520</v>
      </c>
      <c r="C4" s="1" t="s">
        <v>521</v>
      </c>
      <c r="D4" s="1" t="s">
        <v>522</v>
      </c>
      <c r="E4" s="1" t="s">
        <v>522</v>
      </c>
      <c r="F4" s="1" t="s">
        <v>523</v>
      </c>
      <c r="G4" s="1" t="s">
        <v>524</v>
      </c>
      <c r="H4" s="1" t="s">
        <v>525</v>
      </c>
      <c r="I4" s="1" t="s">
        <v>526</v>
      </c>
      <c r="J4" s="1" t="s">
        <v>527</v>
      </c>
      <c r="K4" s="1" t="s">
        <v>528</v>
      </c>
      <c r="L4" s="1" t="s">
        <v>528</v>
      </c>
      <c r="M4" s="1" t="s">
        <v>529</v>
      </c>
      <c r="N4" s="1" t="s">
        <v>530</v>
      </c>
      <c r="O4" s="1" t="s">
        <v>531</v>
      </c>
      <c r="P4" s="1" t="s">
        <v>532</v>
      </c>
      <c r="Q4" s="1" t="s">
        <v>533</v>
      </c>
      <c r="R4" s="1" t="s">
        <v>534</v>
      </c>
      <c r="S4" s="1" t="s">
        <v>534</v>
      </c>
      <c r="T4" s="1" t="s">
        <v>535</v>
      </c>
      <c r="U4" s="1" t="s">
        <v>536</v>
      </c>
      <c r="V4" s="1" t="s">
        <v>537</v>
      </c>
      <c r="W4" s="1" t="s">
        <v>538</v>
      </c>
      <c r="X4" s="1" t="s">
        <v>539</v>
      </c>
      <c r="Y4" s="1" t="s">
        <v>540</v>
      </c>
      <c r="Z4" s="1" t="s">
        <v>540</v>
      </c>
      <c r="AA4" s="1" t="s">
        <v>541</v>
      </c>
      <c r="AB4" s="1" t="s">
        <v>542</v>
      </c>
      <c r="AC4" s="1" t="s">
        <v>543</v>
      </c>
      <c r="AD4" s="1" t="s">
        <v>544</v>
      </c>
      <c r="AE4" s="1" t="s">
        <v>545</v>
      </c>
      <c r="AF4" s="1" t="s">
        <v>546</v>
      </c>
      <c r="AG4" s="1" t="s">
        <v>546</v>
      </c>
      <c r="AH4" s="1" t="s">
        <v>547</v>
      </c>
      <c r="AI4" s="1" t="s">
        <v>548</v>
      </c>
      <c r="AJ4">
        <v>7407477</v>
      </c>
      <c r="AK4" s="465">
        <v>43056.229202361101</v>
      </c>
    </row>
    <row r="5" spans="1:37">
      <c r="A5" s="1" t="s">
        <v>417</v>
      </c>
      <c r="B5" s="1" t="s">
        <v>549</v>
      </c>
      <c r="C5" s="1" t="s">
        <v>550</v>
      </c>
      <c r="D5" s="1" t="s">
        <v>551</v>
      </c>
      <c r="E5" s="1" t="s">
        <v>551</v>
      </c>
      <c r="F5" s="1" t="s">
        <v>552</v>
      </c>
      <c r="G5" s="1" t="s">
        <v>553</v>
      </c>
      <c r="H5" s="1" t="s">
        <v>554</v>
      </c>
      <c r="I5" s="1" t="s">
        <v>555</v>
      </c>
      <c r="J5" s="1" t="s">
        <v>556</v>
      </c>
      <c r="K5" s="1" t="s">
        <v>557</v>
      </c>
      <c r="L5" s="1" t="s">
        <v>557</v>
      </c>
      <c r="M5" s="1" t="s">
        <v>558</v>
      </c>
      <c r="N5" s="1" t="s">
        <v>559</v>
      </c>
      <c r="O5" s="1" t="s">
        <v>560</v>
      </c>
      <c r="P5" s="1" t="s">
        <v>561</v>
      </c>
      <c r="Q5" s="1" t="s">
        <v>562</v>
      </c>
      <c r="R5" s="1" t="s">
        <v>563</v>
      </c>
      <c r="S5" s="1" t="s">
        <v>564</v>
      </c>
      <c r="T5" s="1" t="s">
        <v>565</v>
      </c>
      <c r="U5" s="1" t="s">
        <v>566</v>
      </c>
      <c r="V5" s="1" t="s">
        <v>567</v>
      </c>
      <c r="W5" s="1" t="s">
        <v>568</v>
      </c>
      <c r="X5" s="1" t="s">
        <v>569</v>
      </c>
      <c r="Y5" s="1" t="s">
        <v>570</v>
      </c>
      <c r="Z5" s="1" t="s">
        <v>570</v>
      </c>
      <c r="AA5" s="1" t="s">
        <v>571</v>
      </c>
      <c r="AB5" s="1" t="s">
        <v>572</v>
      </c>
      <c r="AC5" s="1" t="s">
        <v>573</v>
      </c>
      <c r="AD5" s="1" t="s">
        <v>574</v>
      </c>
      <c r="AE5" s="1" t="s">
        <v>575</v>
      </c>
      <c r="AF5" s="1" t="s">
        <v>576</v>
      </c>
      <c r="AG5" s="1" t="s">
        <v>576</v>
      </c>
      <c r="AH5" s="1" t="s">
        <v>547</v>
      </c>
      <c r="AI5" s="1" t="s">
        <v>577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578</v>
      </c>
      <c r="C6" s="1" t="s">
        <v>579</v>
      </c>
      <c r="D6" s="1" t="s">
        <v>580</v>
      </c>
      <c r="E6" s="1" t="s">
        <v>581</v>
      </c>
      <c r="F6" s="1" t="s">
        <v>582</v>
      </c>
      <c r="G6" s="1" t="s">
        <v>583</v>
      </c>
      <c r="H6" s="1" t="s">
        <v>584</v>
      </c>
      <c r="I6" s="1" t="s">
        <v>585</v>
      </c>
      <c r="J6" s="1" t="s">
        <v>586</v>
      </c>
      <c r="K6" s="1" t="s">
        <v>587</v>
      </c>
      <c r="L6" s="1" t="s">
        <v>588</v>
      </c>
      <c r="M6" s="1" t="s">
        <v>589</v>
      </c>
      <c r="N6" s="1" t="s">
        <v>590</v>
      </c>
      <c r="O6" s="1" t="s">
        <v>591</v>
      </c>
      <c r="P6" s="1" t="s">
        <v>592</v>
      </c>
      <c r="Q6" s="1" t="s">
        <v>593</v>
      </c>
      <c r="R6" s="1" t="s">
        <v>594</v>
      </c>
      <c r="S6" s="1" t="s">
        <v>595</v>
      </c>
      <c r="T6" s="1" t="s">
        <v>596</v>
      </c>
      <c r="U6" s="1" t="s">
        <v>597</v>
      </c>
      <c r="V6" s="1" t="s">
        <v>598</v>
      </c>
      <c r="W6" s="1" t="s">
        <v>599</v>
      </c>
      <c r="X6" s="1" t="s">
        <v>600</v>
      </c>
      <c r="Y6" s="1" t="s">
        <v>601</v>
      </c>
      <c r="Z6" s="1" t="s">
        <v>602</v>
      </c>
      <c r="AA6" s="1" t="s">
        <v>603</v>
      </c>
      <c r="AB6" s="1" t="s">
        <v>604</v>
      </c>
      <c r="AC6" s="1" t="s">
        <v>605</v>
      </c>
      <c r="AD6" s="1" t="s">
        <v>606</v>
      </c>
      <c r="AE6" s="1" t="s">
        <v>607</v>
      </c>
      <c r="AF6" s="1" t="s">
        <v>608</v>
      </c>
      <c r="AG6" s="1" t="s">
        <v>608</v>
      </c>
      <c r="AH6" s="1" t="s">
        <v>547</v>
      </c>
      <c r="AI6" s="1" t="s">
        <v>609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610</v>
      </c>
      <c r="C7" s="1" t="s">
        <v>547</v>
      </c>
      <c r="D7" s="1" t="s">
        <v>547</v>
      </c>
      <c r="E7" s="1" t="s">
        <v>547</v>
      </c>
      <c r="F7" s="1" t="s">
        <v>547</v>
      </c>
      <c r="G7" s="1" t="s">
        <v>547</v>
      </c>
      <c r="H7" s="1" t="s">
        <v>547</v>
      </c>
      <c r="I7" s="1" t="s">
        <v>547</v>
      </c>
      <c r="J7" s="1" t="s">
        <v>547</v>
      </c>
      <c r="K7" s="1" t="s">
        <v>547</v>
      </c>
      <c r="L7" s="1" t="s">
        <v>547</v>
      </c>
      <c r="M7" s="1" t="s">
        <v>547</v>
      </c>
      <c r="N7" s="1" t="s">
        <v>547</v>
      </c>
      <c r="O7" s="1" t="s">
        <v>547</v>
      </c>
      <c r="P7" s="1" t="s">
        <v>547</v>
      </c>
      <c r="Q7" s="1" t="s">
        <v>547</v>
      </c>
      <c r="R7" s="1" t="s">
        <v>547</v>
      </c>
      <c r="S7" s="1" t="s">
        <v>547</v>
      </c>
      <c r="T7" s="1" t="s">
        <v>547</v>
      </c>
      <c r="U7" s="1" t="s">
        <v>547</v>
      </c>
      <c r="V7" s="1" t="s">
        <v>547</v>
      </c>
      <c r="W7" s="1" t="s">
        <v>547</v>
      </c>
      <c r="X7" s="1" t="s">
        <v>547</v>
      </c>
      <c r="Y7" s="1" t="s">
        <v>547</v>
      </c>
      <c r="Z7" s="1" t="s">
        <v>547</v>
      </c>
      <c r="AA7" s="1" t="s">
        <v>547</v>
      </c>
      <c r="AB7" s="1" t="s">
        <v>547</v>
      </c>
      <c r="AC7" s="1" t="s">
        <v>547</v>
      </c>
      <c r="AD7" s="1" t="s">
        <v>547</v>
      </c>
      <c r="AE7" s="1" t="s">
        <v>547</v>
      </c>
      <c r="AF7" s="1" t="s">
        <v>547</v>
      </c>
      <c r="AG7" s="1" t="s">
        <v>547</v>
      </c>
      <c r="AH7" s="1" t="s">
        <v>547</v>
      </c>
      <c r="AI7" s="1" t="s">
        <v>547</v>
      </c>
      <c r="AJ7">
        <v>0</v>
      </c>
      <c r="AK7" s="465">
        <v>43056.229202361101</v>
      </c>
    </row>
    <row r="8" spans="1:37">
      <c r="A8" s="1" t="s">
        <v>417</v>
      </c>
      <c r="B8" s="1" t="s">
        <v>611</v>
      </c>
      <c r="C8" s="1" t="s">
        <v>612</v>
      </c>
      <c r="D8" s="1" t="s">
        <v>613</v>
      </c>
      <c r="E8" s="1" t="s">
        <v>613</v>
      </c>
      <c r="F8" s="1" t="s">
        <v>614</v>
      </c>
      <c r="G8" s="1" t="s">
        <v>615</v>
      </c>
      <c r="H8" s="1" t="s">
        <v>616</v>
      </c>
      <c r="I8" s="1" t="s">
        <v>617</v>
      </c>
      <c r="J8" s="1" t="s">
        <v>618</v>
      </c>
      <c r="K8" s="1" t="s">
        <v>619</v>
      </c>
      <c r="L8" s="1" t="s">
        <v>619</v>
      </c>
      <c r="M8" s="1" t="s">
        <v>620</v>
      </c>
      <c r="N8" s="1" t="s">
        <v>621</v>
      </c>
      <c r="O8" s="1" t="s">
        <v>622</v>
      </c>
      <c r="P8" s="1" t="s">
        <v>623</v>
      </c>
      <c r="Q8" s="1" t="s">
        <v>624</v>
      </c>
      <c r="R8" s="1" t="s">
        <v>625</v>
      </c>
      <c r="S8" s="1" t="s">
        <v>626</v>
      </c>
      <c r="T8" s="1" t="s">
        <v>627</v>
      </c>
      <c r="U8" s="1" t="s">
        <v>628</v>
      </c>
      <c r="V8" s="1" t="s">
        <v>629</v>
      </c>
      <c r="W8" s="1" t="s">
        <v>630</v>
      </c>
      <c r="X8" s="1" t="s">
        <v>631</v>
      </c>
      <c r="Y8" s="1" t="s">
        <v>632</v>
      </c>
      <c r="Z8" s="1" t="s">
        <v>633</v>
      </c>
      <c r="AA8" s="1" t="s">
        <v>634</v>
      </c>
      <c r="AB8" s="1" t="s">
        <v>635</v>
      </c>
      <c r="AC8" s="1" t="s">
        <v>636</v>
      </c>
      <c r="AD8" s="1" t="s">
        <v>637</v>
      </c>
      <c r="AE8" s="1" t="s">
        <v>638</v>
      </c>
      <c r="AF8" s="1" t="s">
        <v>639</v>
      </c>
      <c r="AG8" s="1" t="s">
        <v>639</v>
      </c>
      <c r="AH8" s="1" t="s">
        <v>547</v>
      </c>
      <c r="AI8" s="1" t="s">
        <v>640</v>
      </c>
      <c r="AJ8">
        <v>7768697</v>
      </c>
      <c r="AK8" s="465">
        <v>43056.229202361101</v>
      </c>
    </row>
    <row r="9" spans="1:37">
      <c r="A9" s="1" t="s">
        <v>417</v>
      </c>
      <c r="B9" s="1" t="s">
        <v>641</v>
      </c>
      <c r="C9" s="1" t="s">
        <v>547</v>
      </c>
      <c r="D9" s="1" t="s">
        <v>547</v>
      </c>
      <c r="E9" s="1" t="s">
        <v>547</v>
      </c>
      <c r="F9" s="1" t="s">
        <v>547</v>
      </c>
      <c r="G9" s="1" t="s">
        <v>547</v>
      </c>
      <c r="H9" s="1" t="s">
        <v>547</v>
      </c>
      <c r="I9" s="1" t="s">
        <v>547</v>
      </c>
      <c r="J9" s="1" t="s">
        <v>547</v>
      </c>
      <c r="K9" s="1" t="s">
        <v>547</v>
      </c>
      <c r="L9" s="1" t="s">
        <v>547</v>
      </c>
      <c r="M9" s="1" t="s">
        <v>547</v>
      </c>
      <c r="N9" s="1" t="s">
        <v>547</v>
      </c>
      <c r="O9" s="1" t="s">
        <v>547</v>
      </c>
      <c r="P9" s="1" t="s">
        <v>547</v>
      </c>
      <c r="Q9" s="1" t="s">
        <v>547</v>
      </c>
      <c r="R9" s="1" t="s">
        <v>547</v>
      </c>
      <c r="S9" s="1" t="s">
        <v>547</v>
      </c>
      <c r="T9" s="1" t="s">
        <v>547</v>
      </c>
      <c r="U9" s="1" t="s">
        <v>547</v>
      </c>
      <c r="V9" s="1" t="s">
        <v>547</v>
      </c>
      <c r="W9" s="1" t="s">
        <v>547</v>
      </c>
      <c r="X9" s="1" t="s">
        <v>547</v>
      </c>
      <c r="Y9" s="1" t="s">
        <v>547</v>
      </c>
      <c r="Z9" s="1" t="s">
        <v>547</v>
      </c>
      <c r="AA9" s="1" t="s">
        <v>547</v>
      </c>
      <c r="AB9" s="1" t="s">
        <v>547</v>
      </c>
      <c r="AC9" s="1" t="s">
        <v>547</v>
      </c>
      <c r="AD9" s="1" t="s">
        <v>547</v>
      </c>
      <c r="AE9" s="1" t="s">
        <v>547</v>
      </c>
      <c r="AF9" s="1" t="s">
        <v>547</v>
      </c>
      <c r="AG9" s="1" t="s">
        <v>547</v>
      </c>
      <c r="AH9" s="1" t="s">
        <v>547</v>
      </c>
      <c r="AI9" s="1" t="s">
        <v>547</v>
      </c>
      <c r="AJ9">
        <v>0</v>
      </c>
      <c r="AK9" s="465">
        <v>43056.229202361101</v>
      </c>
    </row>
    <row r="10" spans="1:37">
      <c r="A10" s="1" t="s">
        <v>417</v>
      </c>
      <c r="B10" s="1" t="s">
        <v>642</v>
      </c>
      <c r="C10" s="1" t="s">
        <v>643</v>
      </c>
      <c r="D10" s="1" t="s">
        <v>644</v>
      </c>
      <c r="E10" s="1" t="s">
        <v>644</v>
      </c>
      <c r="F10" s="1" t="s">
        <v>645</v>
      </c>
      <c r="G10" s="1" t="s">
        <v>646</v>
      </c>
      <c r="H10" s="1" t="s">
        <v>647</v>
      </c>
      <c r="I10" s="1" t="s">
        <v>648</v>
      </c>
      <c r="J10" s="1" t="s">
        <v>649</v>
      </c>
      <c r="K10" s="1" t="s">
        <v>650</v>
      </c>
      <c r="L10" s="1" t="s">
        <v>650</v>
      </c>
      <c r="M10" s="1" t="s">
        <v>651</v>
      </c>
      <c r="N10" s="1" t="s">
        <v>652</v>
      </c>
      <c r="O10" s="1" t="s">
        <v>653</v>
      </c>
      <c r="P10" s="1" t="s">
        <v>654</v>
      </c>
      <c r="Q10" s="1" t="s">
        <v>655</v>
      </c>
      <c r="R10" s="1" t="s">
        <v>656</v>
      </c>
      <c r="S10" s="1" t="s">
        <v>657</v>
      </c>
      <c r="T10" s="1" t="s">
        <v>658</v>
      </c>
      <c r="U10" s="1" t="s">
        <v>659</v>
      </c>
      <c r="V10" s="1" t="s">
        <v>660</v>
      </c>
      <c r="W10" s="1" t="s">
        <v>661</v>
      </c>
      <c r="X10" s="1" t="s">
        <v>662</v>
      </c>
      <c r="Y10" s="1" t="s">
        <v>663</v>
      </c>
      <c r="Z10" s="1" t="s">
        <v>663</v>
      </c>
      <c r="AA10" s="1" t="s">
        <v>664</v>
      </c>
      <c r="AB10" s="1" t="s">
        <v>665</v>
      </c>
      <c r="AC10" s="1" t="s">
        <v>666</v>
      </c>
      <c r="AD10" s="1" t="s">
        <v>667</v>
      </c>
      <c r="AE10" s="1" t="s">
        <v>668</v>
      </c>
      <c r="AF10" s="1" t="s">
        <v>669</v>
      </c>
      <c r="AG10" s="1" t="s">
        <v>669</v>
      </c>
      <c r="AH10" s="1" t="s">
        <v>547</v>
      </c>
      <c r="AI10" s="1" t="s">
        <v>670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671</v>
      </c>
      <c r="C11" s="1" t="s">
        <v>672</v>
      </c>
      <c r="D11" s="1" t="s">
        <v>672</v>
      </c>
      <c r="E11" s="1" t="s">
        <v>672</v>
      </c>
      <c r="F11" s="1" t="s">
        <v>672</v>
      </c>
      <c r="G11" s="1" t="s">
        <v>672</v>
      </c>
      <c r="H11" s="1" t="s">
        <v>672</v>
      </c>
      <c r="I11" s="1" t="s">
        <v>672</v>
      </c>
      <c r="J11" s="1" t="s">
        <v>672</v>
      </c>
      <c r="K11" s="1" t="s">
        <v>672</v>
      </c>
      <c r="L11" s="1" t="s">
        <v>672</v>
      </c>
      <c r="M11" s="1" t="s">
        <v>672</v>
      </c>
      <c r="N11" s="1" t="s">
        <v>672</v>
      </c>
      <c r="O11" s="1" t="s">
        <v>672</v>
      </c>
      <c r="P11" s="1" t="s">
        <v>672</v>
      </c>
      <c r="Q11" s="1" t="s">
        <v>672</v>
      </c>
      <c r="R11" s="1" t="s">
        <v>672</v>
      </c>
      <c r="S11" s="1" t="s">
        <v>672</v>
      </c>
      <c r="T11" s="1" t="s">
        <v>672</v>
      </c>
      <c r="U11" s="1" t="s">
        <v>672</v>
      </c>
      <c r="V11" s="1" t="s">
        <v>672</v>
      </c>
      <c r="W11" s="1" t="s">
        <v>672</v>
      </c>
      <c r="X11" s="1" t="s">
        <v>672</v>
      </c>
      <c r="Y11" s="1" t="s">
        <v>672</v>
      </c>
      <c r="Z11" s="1" t="s">
        <v>672</v>
      </c>
      <c r="AA11" s="1" t="s">
        <v>672</v>
      </c>
      <c r="AB11" s="1" t="s">
        <v>672</v>
      </c>
      <c r="AC11" s="1" t="s">
        <v>672</v>
      </c>
      <c r="AD11" s="1" t="s">
        <v>672</v>
      </c>
      <c r="AE11" s="1" t="s">
        <v>672</v>
      </c>
      <c r="AF11" s="1" t="s">
        <v>672</v>
      </c>
      <c r="AG11" s="1" t="s">
        <v>672</v>
      </c>
      <c r="AH11" s="1" t="s">
        <v>547</v>
      </c>
      <c r="AI11" s="1" t="s">
        <v>672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673</v>
      </c>
      <c r="C12" s="1" t="s">
        <v>547</v>
      </c>
      <c r="D12" s="1" t="s">
        <v>547</v>
      </c>
      <c r="E12" s="1" t="s">
        <v>547</v>
      </c>
      <c r="F12" s="1" t="s">
        <v>547</v>
      </c>
      <c r="G12" s="1" t="s">
        <v>547</v>
      </c>
      <c r="H12" s="1" t="s">
        <v>547</v>
      </c>
      <c r="I12" s="1" t="s">
        <v>547</v>
      </c>
      <c r="J12" s="1" t="s">
        <v>547</v>
      </c>
      <c r="K12" s="1" t="s">
        <v>547</v>
      </c>
      <c r="L12" s="1" t="s">
        <v>547</v>
      </c>
      <c r="M12" s="1" t="s">
        <v>547</v>
      </c>
      <c r="N12" s="1" t="s">
        <v>547</v>
      </c>
      <c r="O12" s="1" t="s">
        <v>547</v>
      </c>
      <c r="P12" s="1" t="s">
        <v>547</v>
      </c>
      <c r="Q12" s="1" t="s">
        <v>547</v>
      </c>
      <c r="R12" s="1" t="s">
        <v>547</v>
      </c>
      <c r="S12" s="1" t="s">
        <v>547</v>
      </c>
      <c r="T12" s="1" t="s">
        <v>547</v>
      </c>
      <c r="U12" s="1" t="s">
        <v>547</v>
      </c>
      <c r="V12" s="1" t="s">
        <v>547</v>
      </c>
      <c r="W12" s="1" t="s">
        <v>547</v>
      </c>
      <c r="X12" s="1" t="s">
        <v>547</v>
      </c>
      <c r="Y12" s="1" t="s">
        <v>547</v>
      </c>
      <c r="Z12" s="1" t="s">
        <v>547</v>
      </c>
      <c r="AA12" s="1" t="s">
        <v>547</v>
      </c>
      <c r="AB12" s="1" t="s">
        <v>547</v>
      </c>
      <c r="AC12" s="1" t="s">
        <v>547</v>
      </c>
      <c r="AD12" s="1" t="s">
        <v>547</v>
      </c>
      <c r="AE12" s="1" t="s">
        <v>547</v>
      </c>
      <c r="AF12" s="1" t="s">
        <v>547</v>
      </c>
      <c r="AG12" s="1" t="s">
        <v>547</v>
      </c>
      <c r="AH12" s="1" t="s">
        <v>547</v>
      </c>
      <c r="AI12" s="1" t="s">
        <v>547</v>
      </c>
      <c r="AJ12">
        <v>0</v>
      </c>
      <c r="AK12" s="465">
        <v>43056.229202361101</v>
      </c>
    </row>
    <row r="13" spans="1:37">
      <c r="A13" s="1" t="s">
        <v>417</v>
      </c>
      <c r="B13" s="1" t="s">
        <v>674</v>
      </c>
      <c r="C13" s="1" t="s">
        <v>675</v>
      </c>
      <c r="D13" s="1" t="s">
        <v>676</v>
      </c>
      <c r="E13" s="1" t="s">
        <v>676</v>
      </c>
      <c r="F13" s="1" t="s">
        <v>677</v>
      </c>
      <c r="G13" s="1" t="s">
        <v>678</v>
      </c>
      <c r="H13" s="1" t="s">
        <v>679</v>
      </c>
      <c r="I13" s="1" t="s">
        <v>680</v>
      </c>
      <c r="J13" s="1" t="s">
        <v>681</v>
      </c>
      <c r="K13" s="1" t="s">
        <v>682</v>
      </c>
      <c r="L13" s="1" t="s">
        <v>682</v>
      </c>
      <c r="M13" s="1" t="s">
        <v>683</v>
      </c>
      <c r="N13" s="1" t="s">
        <v>684</v>
      </c>
      <c r="O13" s="1" t="s">
        <v>685</v>
      </c>
      <c r="P13" s="1" t="s">
        <v>686</v>
      </c>
      <c r="Q13" s="1" t="s">
        <v>687</v>
      </c>
      <c r="R13" s="1" t="s">
        <v>688</v>
      </c>
      <c r="S13" s="1" t="s">
        <v>688</v>
      </c>
      <c r="T13" s="1" t="s">
        <v>689</v>
      </c>
      <c r="U13" s="1" t="s">
        <v>690</v>
      </c>
      <c r="V13" s="1" t="s">
        <v>691</v>
      </c>
      <c r="W13" s="1" t="s">
        <v>692</v>
      </c>
      <c r="X13" s="1" t="s">
        <v>693</v>
      </c>
      <c r="Y13" s="1" t="s">
        <v>694</v>
      </c>
      <c r="Z13" s="1" t="s">
        <v>694</v>
      </c>
      <c r="AA13" s="1" t="s">
        <v>695</v>
      </c>
      <c r="AB13" s="1" t="s">
        <v>696</v>
      </c>
      <c r="AC13" s="1" t="s">
        <v>697</v>
      </c>
      <c r="AD13" s="1" t="s">
        <v>698</v>
      </c>
      <c r="AE13" s="1" t="s">
        <v>699</v>
      </c>
      <c r="AF13" s="1" t="s">
        <v>700</v>
      </c>
      <c r="AG13" s="1" t="s">
        <v>700</v>
      </c>
      <c r="AH13" s="1" t="s">
        <v>547</v>
      </c>
      <c r="AI13" s="1" t="s">
        <v>701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702</v>
      </c>
      <c r="C14" s="1" t="s">
        <v>703</v>
      </c>
      <c r="D14" s="1" t="s">
        <v>704</v>
      </c>
      <c r="E14" s="1" t="s">
        <v>704</v>
      </c>
      <c r="F14" s="1" t="s">
        <v>705</v>
      </c>
      <c r="G14" s="1" t="s">
        <v>706</v>
      </c>
      <c r="H14" s="1" t="s">
        <v>707</v>
      </c>
      <c r="I14" s="1" t="s">
        <v>708</v>
      </c>
      <c r="J14" s="1" t="s">
        <v>709</v>
      </c>
      <c r="K14" s="1" t="s">
        <v>709</v>
      </c>
      <c r="L14" s="1" t="s">
        <v>709</v>
      </c>
      <c r="M14" s="1" t="s">
        <v>710</v>
      </c>
      <c r="N14" s="1" t="s">
        <v>711</v>
      </c>
      <c r="O14" s="1" t="s">
        <v>712</v>
      </c>
      <c r="P14" s="1" t="s">
        <v>713</v>
      </c>
      <c r="Q14" s="1" t="s">
        <v>714</v>
      </c>
      <c r="R14" s="1" t="s">
        <v>715</v>
      </c>
      <c r="S14" s="1" t="s">
        <v>715</v>
      </c>
      <c r="T14" s="1" t="s">
        <v>716</v>
      </c>
      <c r="U14" s="1" t="s">
        <v>717</v>
      </c>
      <c r="V14" s="1" t="s">
        <v>718</v>
      </c>
      <c r="W14" s="1" t="s">
        <v>719</v>
      </c>
      <c r="X14" s="1" t="s">
        <v>720</v>
      </c>
      <c r="Y14" s="1" t="s">
        <v>720</v>
      </c>
      <c r="Z14" s="1" t="s">
        <v>720</v>
      </c>
      <c r="AA14" s="1" t="s">
        <v>721</v>
      </c>
      <c r="AB14" s="1" t="s">
        <v>722</v>
      </c>
      <c r="AC14" s="1" t="s">
        <v>723</v>
      </c>
      <c r="AD14" s="1" t="s">
        <v>724</v>
      </c>
      <c r="AE14" s="1" t="s">
        <v>725</v>
      </c>
      <c r="AF14" s="1" t="s">
        <v>726</v>
      </c>
      <c r="AG14" s="1" t="s">
        <v>726</v>
      </c>
      <c r="AH14" s="1" t="s">
        <v>547</v>
      </c>
      <c r="AI14" s="1" t="s">
        <v>727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728</v>
      </c>
      <c r="C15" s="1" t="s">
        <v>729</v>
      </c>
      <c r="D15" s="1" t="s">
        <v>730</v>
      </c>
      <c r="E15" s="1" t="s">
        <v>730</v>
      </c>
      <c r="F15" s="1" t="s">
        <v>731</v>
      </c>
      <c r="G15" s="1" t="s">
        <v>732</v>
      </c>
      <c r="H15" s="1" t="s">
        <v>732</v>
      </c>
      <c r="I15" s="1" t="s">
        <v>733</v>
      </c>
      <c r="J15" s="1" t="s">
        <v>733</v>
      </c>
      <c r="K15" s="1" t="s">
        <v>734</v>
      </c>
      <c r="L15" s="1" t="s">
        <v>734</v>
      </c>
      <c r="M15" s="1" t="s">
        <v>734</v>
      </c>
      <c r="N15" s="1" t="s">
        <v>734</v>
      </c>
      <c r="O15" s="1" t="s">
        <v>735</v>
      </c>
      <c r="P15" s="1" t="s">
        <v>736</v>
      </c>
      <c r="Q15" s="1" t="s">
        <v>736</v>
      </c>
      <c r="R15" s="1" t="s">
        <v>737</v>
      </c>
      <c r="S15" s="1" t="s">
        <v>737</v>
      </c>
      <c r="T15" s="1" t="s">
        <v>738</v>
      </c>
      <c r="U15" s="1" t="s">
        <v>739</v>
      </c>
      <c r="V15" s="1" t="s">
        <v>740</v>
      </c>
      <c r="W15" s="1" t="s">
        <v>740</v>
      </c>
      <c r="X15" s="1" t="s">
        <v>740</v>
      </c>
      <c r="Y15" s="1" t="s">
        <v>740</v>
      </c>
      <c r="Z15" s="1" t="s">
        <v>740</v>
      </c>
      <c r="AA15" s="1" t="s">
        <v>741</v>
      </c>
      <c r="AB15" s="1" t="s">
        <v>742</v>
      </c>
      <c r="AC15" s="1" t="s">
        <v>743</v>
      </c>
      <c r="AD15" s="1" t="s">
        <v>743</v>
      </c>
      <c r="AE15" s="1" t="s">
        <v>743</v>
      </c>
      <c r="AF15" s="1" t="s">
        <v>743</v>
      </c>
      <c r="AG15" s="1" t="s">
        <v>743</v>
      </c>
      <c r="AH15" s="1" t="s">
        <v>547</v>
      </c>
      <c r="AI15" s="1" t="s">
        <v>744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745</v>
      </c>
      <c r="C16" s="1" t="s">
        <v>746</v>
      </c>
      <c r="D16" s="1" t="s">
        <v>747</v>
      </c>
      <c r="E16" s="1" t="s">
        <v>747</v>
      </c>
      <c r="F16" s="1" t="s">
        <v>748</v>
      </c>
      <c r="G16" s="1" t="s">
        <v>749</v>
      </c>
      <c r="H16" s="1" t="s">
        <v>750</v>
      </c>
      <c r="I16" s="1" t="s">
        <v>751</v>
      </c>
      <c r="J16" s="1" t="s">
        <v>752</v>
      </c>
      <c r="K16" s="1" t="s">
        <v>753</v>
      </c>
      <c r="L16" s="1" t="s">
        <v>753</v>
      </c>
      <c r="M16" s="1" t="s">
        <v>754</v>
      </c>
      <c r="N16" s="1" t="s">
        <v>755</v>
      </c>
      <c r="O16" s="1" t="s">
        <v>756</v>
      </c>
      <c r="P16" s="1" t="s">
        <v>757</v>
      </c>
      <c r="Q16" s="1" t="s">
        <v>758</v>
      </c>
      <c r="R16" s="1" t="s">
        <v>759</v>
      </c>
      <c r="S16" s="1" t="s">
        <v>759</v>
      </c>
      <c r="T16" s="1" t="s">
        <v>760</v>
      </c>
      <c r="U16" s="1" t="s">
        <v>761</v>
      </c>
      <c r="V16" s="1" t="s">
        <v>762</v>
      </c>
      <c r="W16" s="1" t="s">
        <v>763</v>
      </c>
      <c r="X16" s="1" t="s">
        <v>764</v>
      </c>
      <c r="Y16" s="1" t="s">
        <v>765</v>
      </c>
      <c r="Z16" s="1" t="s">
        <v>765</v>
      </c>
      <c r="AA16" s="1" t="s">
        <v>766</v>
      </c>
      <c r="AB16" s="1" t="s">
        <v>767</v>
      </c>
      <c r="AC16" s="1" t="s">
        <v>768</v>
      </c>
      <c r="AD16" s="1" t="s">
        <v>769</v>
      </c>
      <c r="AE16" s="1" t="s">
        <v>770</v>
      </c>
      <c r="AF16" s="1" t="s">
        <v>771</v>
      </c>
      <c r="AG16" s="1" t="s">
        <v>771</v>
      </c>
      <c r="AH16" s="1" t="s">
        <v>547</v>
      </c>
      <c r="AI16" s="1" t="s">
        <v>772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773</v>
      </c>
      <c r="C17" s="1" t="s">
        <v>774</v>
      </c>
      <c r="D17" s="1" t="s">
        <v>775</v>
      </c>
      <c r="E17" s="1" t="s">
        <v>775</v>
      </c>
      <c r="F17" s="1" t="s">
        <v>776</v>
      </c>
      <c r="G17" s="1" t="s">
        <v>777</v>
      </c>
      <c r="H17" s="1" t="s">
        <v>778</v>
      </c>
      <c r="I17" s="1" t="s">
        <v>779</v>
      </c>
      <c r="J17" s="1" t="s">
        <v>780</v>
      </c>
      <c r="K17" s="1" t="s">
        <v>781</v>
      </c>
      <c r="L17" s="1" t="s">
        <v>781</v>
      </c>
      <c r="M17" s="1" t="s">
        <v>782</v>
      </c>
      <c r="N17" s="1" t="s">
        <v>783</v>
      </c>
      <c r="O17" s="1" t="s">
        <v>784</v>
      </c>
      <c r="P17" s="1" t="s">
        <v>785</v>
      </c>
      <c r="Q17" s="1" t="s">
        <v>786</v>
      </c>
      <c r="R17" s="1" t="s">
        <v>787</v>
      </c>
      <c r="S17" s="1" t="s">
        <v>788</v>
      </c>
      <c r="T17" s="1" t="s">
        <v>789</v>
      </c>
      <c r="U17" s="1" t="s">
        <v>790</v>
      </c>
      <c r="V17" s="1" t="s">
        <v>791</v>
      </c>
      <c r="W17" s="1" t="s">
        <v>792</v>
      </c>
      <c r="X17" s="1" t="s">
        <v>793</v>
      </c>
      <c r="Y17" s="1" t="s">
        <v>794</v>
      </c>
      <c r="Z17" s="1" t="s">
        <v>794</v>
      </c>
      <c r="AA17" s="1" t="s">
        <v>795</v>
      </c>
      <c r="AB17" s="1" t="s">
        <v>796</v>
      </c>
      <c r="AC17" s="1" t="s">
        <v>797</v>
      </c>
      <c r="AD17" s="1" t="s">
        <v>798</v>
      </c>
      <c r="AE17" s="1" t="s">
        <v>799</v>
      </c>
      <c r="AF17" s="1" t="s">
        <v>800</v>
      </c>
      <c r="AG17" s="1" t="s">
        <v>800</v>
      </c>
      <c r="AH17" s="1" t="s">
        <v>547</v>
      </c>
      <c r="AI17" s="1" t="s">
        <v>801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802</v>
      </c>
      <c r="C18" s="1" t="s">
        <v>803</v>
      </c>
      <c r="D18" s="1" t="s">
        <v>804</v>
      </c>
      <c r="E18" s="1" t="s">
        <v>804</v>
      </c>
      <c r="F18" s="1" t="s">
        <v>805</v>
      </c>
      <c r="G18" s="1" t="s">
        <v>806</v>
      </c>
      <c r="H18" s="1" t="s">
        <v>807</v>
      </c>
      <c r="I18" s="1" t="s">
        <v>808</v>
      </c>
      <c r="J18" s="1" t="s">
        <v>809</v>
      </c>
      <c r="K18" s="1" t="s">
        <v>810</v>
      </c>
      <c r="L18" s="1" t="s">
        <v>810</v>
      </c>
      <c r="M18" s="1" t="s">
        <v>811</v>
      </c>
      <c r="N18" s="1" t="s">
        <v>812</v>
      </c>
      <c r="O18" s="1" t="s">
        <v>813</v>
      </c>
      <c r="P18" s="1" t="s">
        <v>814</v>
      </c>
      <c r="Q18" s="1" t="s">
        <v>815</v>
      </c>
      <c r="R18" s="1" t="s">
        <v>816</v>
      </c>
      <c r="S18" s="1" t="s">
        <v>817</v>
      </c>
      <c r="T18" s="1" t="s">
        <v>818</v>
      </c>
      <c r="U18" s="1" t="s">
        <v>819</v>
      </c>
      <c r="V18" s="1" t="s">
        <v>820</v>
      </c>
      <c r="W18" s="1" t="s">
        <v>821</v>
      </c>
      <c r="X18" s="1" t="s">
        <v>822</v>
      </c>
      <c r="Y18" s="1" t="s">
        <v>823</v>
      </c>
      <c r="Z18" s="1" t="s">
        <v>823</v>
      </c>
      <c r="AA18" s="1" t="s">
        <v>824</v>
      </c>
      <c r="AB18" s="1" t="s">
        <v>825</v>
      </c>
      <c r="AC18" s="1" t="s">
        <v>826</v>
      </c>
      <c r="AD18" s="1" t="s">
        <v>827</v>
      </c>
      <c r="AE18" s="1" t="s">
        <v>828</v>
      </c>
      <c r="AF18" s="1" t="s">
        <v>829</v>
      </c>
      <c r="AG18" s="1" t="s">
        <v>829</v>
      </c>
      <c r="AH18" s="1" t="s">
        <v>547</v>
      </c>
      <c r="AI18" s="1" t="s">
        <v>830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831</v>
      </c>
      <c r="C19" s="1" t="s">
        <v>832</v>
      </c>
      <c r="D19" s="1" t="s">
        <v>832</v>
      </c>
      <c r="E19" s="1" t="s">
        <v>832</v>
      </c>
      <c r="F19" s="1" t="s">
        <v>832</v>
      </c>
      <c r="G19" s="1" t="s">
        <v>832</v>
      </c>
      <c r="H19" s="1" t="s">
        <v>832</v>
      </c>
      <c r="I19" s="1" t="s">
        <v>832</v>
      </c>
      <c r="J19" s="1" t="s">
        <v>832</v>
      </c>
      <c r="K19" s="1" t="s">
        <v>832</v>
      </c>
      <c r="L19" s="1" t="s">
        <v>832</v>
      </c>
      <c r="M19" s="1" t="s">
        <v>832</v>
      </c>
      <c r="N19" s="1" t="s">
        <v>832</v>
      </c>
      <c r="O19" s="1" t="s">
        <v>832</v>
      </c>
      <c r="P19" s="1" t="s">
        <v>832</v>
      </c>
      <c r="Q19" s="1" t="s">
        <v>832</v>
      </c>
      <c r="R19" s="1" t="s">
        <v>832</v>
      </c>
      <c r="S19" s="1" t="s">
        <v>832</v>
      </c>
      <c r="T19" s="1" t="s">
        <v>832</v>
      </c>
      <c r="U19" s="1" t="s">
        <v>832</v>
      </c>
      <c r="V19" s="1" t="s">
        <v>832</v>
      </c>
      <c r="W19" s="1" t="s">
        <v>832</v>
      </c>
      <c r="X19" s="1" t="s">
        <v>832</v>
      </c>
      <c r="Y19" s="1" t="s">
        <v>832</v>
      </c>
      <c r="Z19" s="1" t="s">
        <v>832</v>
      </c>
      <c r="AA19" s="1" t="s">
        <v>832</v>
      </c>
      <c r="AB19" s="1" t="s">
        <v>832</v>
      </c>
      <c r="AC19" s="1" t="s">
        <v>832</v>
      </c>
      <c r="AD19" s="1" t="s">
        <v>832</v>
      </c>
      <c r="AE19" s="1" t="s">
        <v>832</v>
      </c>
      <c r="AF19" s="1" t="s">
        <v>832</v>
      </c>
      <c r="AG19" s="1" t="s">
        <v>832</v>
      </c>
      <c r="AH19" s="1" t="s">
        <v>547</v>
      </c>
      <c r="AI19" s="1" t="s">
        <v>832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833</v>
      </c>
      <c r="C20" s="1" t="s">
        <v>834</v>
      </c>
      <c r="D20" s="1" t="s">
        <v>834</v>
      </c>
      <c r="E20" s="1" t="s">
        <v>834</v>
      </c>
      <c r="F20" s="1" t="s">
        <v>834</v>
      </c>
      <c r="G20" s="1" t="s">
        <v>834</v>
      </c>
      <c r="H20" s="1" t="s">
        <v>834</v>
      </c>
      <c r="I20" s="1" t="s">
        <v>834</v>
      </c>
      <c r="J20" s="1" t="s">
        <v>834</v>
      </c>
      <c r="K20" s="1" t="s">
        <v>834</v>
      </c>
      <c r="L20" s="1" t="s">
        <v>834</v>
      </c>
      <c r="M20" s="1" t="s">
        <v>834</v>
      </c>
      <c r="N20" s="1" t="s">
        <v>834</v>
      </c>
      <c r="O20" s="1" t="s">
        <v>834</v>
      </c>
      <c r="P20" s="1" t="s">
        <v>834</v>
      </c>
      <c r="Q20" s="1" t="s">
        <v>834</v>
      </c>
      <c r="R20" s="1" t="s">
        <v>834</v>
      </c>
      <c r="S20" s="1" t="s">
        <v>834</v>
      </c>
      <c r="T20" s="1" t="s">
        <v>834</v>
      </c>
      <c r="U20" s="1" t="s">
        <v>834</v>
      </c>
      <c r="V20" s="1" t="s">
        <v>834</v>
      </c>
      <c r="W20" s="1" t="s">
        <v>834</v>
      </c>
      <c r="X20" s="1" t="s">
        <v>834</v>
      </c>
      <c r="Y20" s="1" t="s">
        <v>834</v>
      </c>
      <c r="Z20" s="1" t="s">
        <v>834</v>
      </c>
      <c r="AA20" s="1" t="s">
        <v>834</v>
      </c>
      <c r="AB20" s="1" t="s">
        <v>834</v>
      </c>
      <c r="AC20" s="1" t="s">
        <v>834</v>
      </c>
      <c r="AD20" s="1" t="s">
        <v>834</v>
      </c>
      <c r="AE20" s="1" t="s">
        <v>834</v>
      </c>
      <c r="AF20" s="1" t="s">
        <v>834</v>
      </c>
      <c r="AG20" s="1" t="s">
        <v>834</v>
      </c>
      <c r="AH20" s="1" t="s">
        <v>547</v>
      </c>
      <c r="AI20" s="1" t="s">
        <v>834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835</v>
      </c>
      <c r="C21" s="1" t="s">
        <v>836</v>
      </c>
      <c r="D21" s="1" t="s">
        <v>836</v>
      </c>
      <c r="E21" s="1" t="s">
        <v>836</v>
      </c>
      <c r="F21" s="1" t="s">
        <v>837</v>
      </c>
      <c r="G21" s="1" t="s">
        <v>837</v>
      </c>
      <c r="H21" s="1" t="s">
        <v>837</v>
      </c>
      <c r="I21" s="1" t="s">
        <v>837</v>
      </c>
      <c r="J21" s="1" t="s">
        <v>837</v>
      </c>
      <c r="K21" s="1" t="s">
        <v>837</v>
      </c>
      <c r="L21" s="1" t="s">
        <v>837</v>
      </c>
      <c r="M21" s="1" t="s">
        <v>837</v>
      </c>
      <c r="N21" s="1" t="s">
        <v>837</v>
      </c>
      <c r="O21" s="1" t="s">
        <v>837</v>
      </c>
      <c r="P21" s="1" t="s">
        <v>837</v>
      </c>
      <c r="Q21" s="1" t="s">
        <v>837</v>
      </c>
      <c r="R21" s="1" t="s">
        <v>837</v>
      </c>
      <c r="S21" s="1" t="s">
        <v>837</v>
      </c>
      <c r="T21" s="1" t="s">
        <v>837</v>
      </c>
      <c r="U21" s="1" t="s">
        <v>838</v>
      </c>
      <c r="V21" s="1" t="s">
        <v>838</v>
      </c>
      <c r="W21" s="1" t="s">
        <v>839</v>
      </c>
      <c r="X21" s="1" t="s">
        <v>839</v>
      </c>
      <c r="Y21" s="1" t="s">
        <v>839</v>
      </c>
      <c r="Z21" s="1" t="s">
        <v>839</v>
      </c>
      <c r="AA21" s="1" t="s">
        <v>839</v>
      </c>
      <c r="AB21" s="1" t="s">
        <v>840</v>
      </c>
      <c r="AC21" s="1" t="s">
        <v>840</v>
      </c>
      <c r="AD21" s="1" t="s">
        <v>840</v>
      </c>
      <c r="AE21" s="1" t="s">
        <v>840</v>
      </c>
      <c r="AF21" s="1" t="s">
        <v>840</v>
      </c>
      <c r="AG21" s="1" t="s">
        <v>840</v>
      </c>
      <c r="AH21" s="1" t="s">
        <v>547</v>
      </c>
      <c r="AI21" s="1" t="s">
        <v>841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842</v>
      </c>
      <c r="C22" s="1" t="s">
        <v>547</v>
      </c>
      <c r="D22" s="1" t="s">
        <v>547</v>
      </c>
      <c r="E22" s="1" t="s">
        <v>547</v>
      </c>
      <c r="F22" s="1" t="s">
        <v>547</v>
      </c>
      <c r="G22" s="1" t="s">
        <v>547</v>
      </c>
      <c r="H22" s="1" t="s">
        <v>547</v>
      </c>
      <c r="I22" s="1" t="s">
        <v>547</v>
      </c>
      <c r="J22" s="1" t="s">
        <v>547</v>
      </c>
      <c r="K22" s="1" t="s">
        <v>547</v>
      </c>
      <c r="L22" s="1" t="s">
        <v>547</v>
      </c>
      <c r="M22" s="1" t="s">
        <v>547</v>
      </c>
      <c r="N22" s="1" t="s">
        <v>547</v>
      </c>
      <c r="O22" s="1" t="s">
        <v>547</v>
      </c>
      <c r="P22" s="1" t="s">
        <v>547</v>
      </c>
      <c r="Q22" s="1" t="s">
        <v>547</v>
      </c>
      <c r="R22" s="1" t="s">
        <v>547</v>
      </c>
      <c r="S22" s="1" t="s">
        <v>547</v>
      </c>
      <c r="T22" s="1" t="s">
        <v>547</v>
      </c>
      <c r="U22" s="1" t="s">
        <v>547</v>
      </c>
      <c r="V22" s="1" t="s">
        <v>547</v>
      </c>
      <c r="W22" s="1" t="s">
        <v>547</v>
      </c>
      <c r="X22" s="1" t="s">
        <v>547</v>
      </c>
      <c r="Y22" s="1" t="s">
        <v>547</v>
      </c>
      <c r="Z22" s="1" t="s">
        <v>547</v>
      </c>
      <c r="AA22" s="1" t="s">
        <v>547</v>
      </c>
      <c r="AB22" s="1" t="s">
        <v>547</v>
      </c>
      <c r="AC22" s="1" t="s">
        <v>547</v>
      </c>
      <c r="AD22" s="1" t="s">
        <v>547</v>
      </c>
      <c r="AE22" s="1" t="s">
        <v>547</v>
      </c>
      <c r="AF22" s="1" t="s">
        <v>547</v>
      </c>
      <c r="AG22" s="1" t="s">
        <v>547</v>
      </c>
      <c r="AH22" s="1" t="s">
        <v>547</v>
      </c>
      <c r="AI22" s="1" t="s">
        <v>547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843</v>
      </c>
      <c r="C23" s="1" t="s">
        <v>547</v>
      </c>
      <c r="D23" s="1" t="s">
        <v>547</v>
      </c>
      <c r="E23" s="1" t="s">
        <v>547</v>
      </c>
      <c r="F23" s="1" t="s">
        <v>547</v>
      </c>
      <c r="G23" s="1" t="s">
        <v>547</v>
      </c>
      <c r="H23" s="1" t="s">
        <v>547</v>
      </c>
      <c r="I23" s="1" t="s">
        <v>547</v>
      </c>
      <c r="J23" s="1" t="s">
        <v>547</v>
      </c>
      <c r="K23" s="1" t="s">
        <v>547</v>
      </c>
      <c r="L23" s="1" t="s">
        <v>547</v>
      </c>
      <c r="M23" s="1" t="s">
        <v>547</v>
      </c>
      <c r="N23" s="1" t="s">
        <v>547</v>
      </c>
      <c r="O23" s="1" t="s">
        <v>547</v>
      </c>
      <c r="P23" s="1" t="s">
        <v>547</v>
      </c>
      <c r="Q23" s="1" t="s">
        <v>547</v>
      </c>
      <c r="R23" s="1" t="s">
        <v>547</v>
      </c>
      <c r="S23" s="1" t="s">
        <v>547</v>
      </c>
      <c r="T23" s="1" t="s">
        <v>547</v>
      </c>
      <c r="U23" s="1" t="s">
        <v>547</v>
      </c>
      <c r="V23" s="1" t="s">
        <v>547</v>
      </c>
      <c r="W23" s="1" t="s">
        <v>547</v>
      </c>
      <c r="X23" s="1" t="s">
        <v>547</v>
      </c>
      <c r="Y23" s="1" t="s">
        <v>547</v>
      </c>
      <c r="Z23" s="1" t="s">
        <v>547</v>
      </c>
      <c r="AA23" s="1" t="s">
        <v>547</v>
      </c>
      <c r="AB23" s="1" t="s">
        <v>547</v>
      </c>
      <c r="AC23" s="1" t="s">
        <v>547</v>
      </c>
      <c r="AD23" s="1" t="s">
        <v>547</v>
      </c>
      <c r="AE23" s="1" t="s">
        <v>547</v>
      </c>
      <c r="AF23" s="1" t="s">
        <v>547</v>
      </c>
      <c r="AG23" s="1" t="s">
        <v>547</v>
      </c>
      <c r="AH23" s="1" t="s">
        <v>547</v>
      </c>
      <c r="AI23" s="1" t="s">
        <v>547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844</v>
      </c>
      <c r="C24" s="1" t="s">
        <v>845</v>
      </c>
      <c r="D24" s="1" t="s">
        <v>846</v>
      </c>
      <c r="E24" s="1" t="s">
        <v>846</v>
      </c>
      <c r="F24" s="1" t="s">
        <v>847</v>
      </c>
      <c r="G24" s="1" t="s">
        <v>848</v>
      </c>
      <c r="H24" s="1" t="s">
        <v>849</v>
      </c>
      <c r="I24" s="1" t="s">
        <v>850</v>
      </c>
      <c r="J24" s="1" t="s">
        <v>851</v>
      </c>
      <c r="K24" s="1" t="s">
        <v>852</v>
      </c>
      <c r="L24" s="1" t="s">
        <v>852</v>
      </c>
      <c r="M24" s="1" t="s">
        <v>853</v>
      </c>
      <c r="N24" s="1" t="s">
        <v>854</v>
      </c>
      <c r="O24" s="1" t="s">
        <v>855</v>
      </c>
      <c r="P24" s="1" t="s">
        <v>856</v>
      </c>
      <c r="Q24" s="1" t="s">
        <v>857</v>
      </c>
      <c r="R24" s="1" t="s">
        <v>858</v>
      </c>
      <c r="S24" s="1" t="s">
        <v>859</v>
      </c>
      <c r="T24" s="1" t="s">
        <v>860</v>
      </c>
      <c r="U24" s="1" t="s">
        <v>861</v>
      </c>
      <c r="V24" s="1" t="s">
        <v>862</v>
      </c>
      <c r="W24" s="1" t="s">
        <v>863</v>
      </c>
      <c r="X24" s="1" t="s">
        <v>864</v>
      </c>
      <c r="Y24" s="1" t="s">
        <v>865</v>
      </c>
      <c r="Z24" s="1" t="s">
        <v>865</v>
      </c>
      <c r="AA24" s="1" t="s">
        <v>866</v>
      </c>
      <c r="AB24" s="1" t="s">
        <v>867</v>
      </c>
      <c r="AC24" s="1" t="s">
        <v>868</v>
      </c>
      <c r="AD24" s="1" t="s">
        <v>869</v>
      </c>
      <c r="AE24" s="1" t="s">
        <v>870</v>
      </c>
      <c r="AF24" s="1" t="s">
        <v>871</v>
      </c>
      <c r="AG24" s="1" t="s">
        <v>871</v>
      </c>
      <c r="AH24" s="1" t="s">
        <v>547</v>
      </c>
      <c r="AI24" s="1" t="s">
        <v>872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873</v>
      </c>
      <c r="C25" s="1" t="s">
        <v>874</v>
      </c>
      <c r="D25" s="1" t="s">
        <v>875</v>
      </c>
      <c r="E25" s="1" t="s">
        <v>875</v>
      </c>
      <c r="F25" s="1" t="s">
        <v>876</v>
      </c>
      <c r="G25" s="1" t="s">
        <v>877</v>
      </c>
      <c r="H25" s="1" t="s">
        <v>878</v>
      </c>
      <c r="I25" s="1" t="s">
        <v>879</v>
      </c>
      <c r="J25" s="1" t="s">
        <v>880</v>
      </c>
      <c r="K25" s="1" t="s">
        <v>881</v>
      </c>
      <c r="L25" s="1" t="s">
        <v>881</v>
      </c>
      <c r="M25" s="1" t="s">
        <v>882</v>
      </c>
      <c r="N25" s="1" t="s">
        <v>883</v>
      </c>
      <c r="O25" s="1" t="s">
        <v>884</v>
      </c>
      <c r="P25" s="1" t="s">
        <v>885</v>
      </c>
      <c r="Q25" s="1" t="s">
        <v>886</v>
      </c>
      <c r="R25" s="1" t="s">
        <v>887</v>
      </c>
      <c r="S25" s="1" t="s">
        <v>887</v>
      </c>
      <c r="T25" s="1" t="s">
        <v>888</v>
      </c>
      <c r="U25" s="1" t="s">
        <v>889</v>
      </c>
      <c r="V25" s="1" t="s">
        <v>890</v>
      </c>
      <c r="W25" s="1" t="s">
        <v>891</v>
      </c>
      <c r="X25" s="1" t="s">
        <v>892</v>
      </c>
      <c r="Y25" s="1" t="s">
        <v>893</v>
      </c>
      <c r="Z25" s="1" t="s">
        <v>893</v>
      </c>
      <c r="AA25" s="1" t="s">
        <v>894</v>
      </c>
      <c r="AB25" s="1" t="s">
        <v>895</v>
      </c>
      <c r="AC25" s="1" t="s">
        <v>896</v>
      </c>
      <c r="AD25" s="1" t="s">
        <v>897</v>
      </c>
      <c r="AE25" s="1" t="s">
        <v>898</v>
      </c>
      <c r="AF25" s="1" t="s">
        <v>899</v>
      </c>
      <c r="AG25" s="1" t="s">
        <v>899</v>
      </c>
      <c r="AH25" s="1" t="s">
        <v>547</v>
      </c>
      <c r="AI25" s="1" t="s">
        <v>900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6.5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901</v>
      </c>
    </row>
    <row r="2" spans="1:35">
      <c r="A2" s="1" t="s">
        <v>417</v>
      </c>
      <c r="B2" s="285" t="s">
        <v>453</v>
      </c>
      <c r="C2" s="1" t="s">
        <v>356</v>
      </c>
      <c r="D2" s="1" t="s">
        <v>290</v>
      </c>
      <c r="E2" s="1" t="s">
        <v>356</v>
      </c>
      <c r="F2" s="1" t="s">
        <v>332</v>
      </c>
      <c r="G2" s="1" t="s">
        <v>321</v>
      </c>
      <c r="H2" s="1" t="s">
        <v>370</v>
      </c>
      <c r="I2" s="1" t="s">
        <v>345</v>
      </c>
      <c r="J2" s="1" t="s">
        <v>340</v>
      </c>
      <c r="K2" s="1" t="s">
        <v>342</v>
      </c>
      <c r="L2" s="1" t="s">
        <v>356</v>
      </c>
      <c r="M2" s="1" t="s">
        <v>333</v>
      </c>
      <c r="N2" s="1" t="s">
        <v>322</v>
      </c>
      <c r="O2" s="1" t="s">
        <v>332</v>
      </c>
      <c r="P2" s="1" t="s">
        <v>370</v>
      </c>
      <c r="Q2" s="1" t="s">
        <v>322</v>
      </c>
      <c r="R2" s="1" t="s">
        <v>289</v>
      </c>
      <c r="S2" s="1" t="s">
        <v>356</v>
      </c>
      <c r="T2" s="1" t="s">
        <v>346</v>
      </c>
      <c r="U2" s="1" t="s">
        <v>333</v>
      </c>
      <c r="V2" s="1" t="s">
        <v>333</v>
      </c>
      <c r="W2" s="1" t="s">
        <v>323</v>
      </c>
      <c r="X2" s="1" t="s">
        <v>330</v>
      </c>
      <c r="Y2" s="1" t="s">
        <v>330</v>
      </c>
      <c r="Z2" s="1" t="s">
        <v>356</v>
      </c>
      <c r="AA2" s="1" t="s">
        <v>346</v>
      </c>
      <c r="AB2" s="1" t="s">
        <v>322</v>
      </c>
      <c r="AC2" s="1" t="s">
        <v>330</v>
      </c>
      <c r="AD2" s="1" t="s">
        <v>333</v>
      </c>
      <c r="AE2" s="1" t="s">
        <v>323</v>
      </c>
      <c r="AF2" s="1" t="s">
        <v>289</v>
      </c>
      <c r="AG2" s="1" t="s">
        <v>356</v>
      </c>
      <c r="AH2" s="1" t="s">
        <v>332</v>
      </c>
      <c r="AI2" s="465">
        <v>44412.229194178202</v>
      </c>
    </row>
    <row r="3" spans="1:35">
      <c r="A3" s="1" t="s">
        <v>417</v>
      </c>
      <c r="B3" s="285" t="s">
        <v>487</v>
      </c>
      <c r="C3" s="1" t="s">
        <v>356</v>
      </c>
      <c r="D3" s="1" t="s">
        <v>288</v>
      </c>
      <c r="E3" s="1" t="s">
        <v>356</v>
      </c>
      <c r="F3" s="1" t="s">
        <v>332</v>
      </c>
      <c r="G3" s="1" t="s">
        <v>287</v>
      </c>
      <c r="H3" s="1" t="s">
        <v>331</v>
      </c>
      <c r="I3" s="1" t="s">
        <v>286</v>
      </c>
      <c r="J3" s="1" t="s">
        <v>333</v>
      </c>
      <c r="K3" s="1" t="s">
        <v>332</v>
      </c>
      <c r="L3" s="1" t="s">
        <v>356</v>
      </c>
      <c r="M3" s="1" t="s">
        <v>290</v>
      </c>
      <c r="N3" s="1" t="s">
        <v>287</v>
      </c>
      <c r="O3" s="1" t="s">
        <v>286</v>
      </c>
      <c r="P3" s="1" t="s">
        <v>332</v>
      </c>
      <c r="Q3" s="1" t="s">
        <v>321</v>
      </c>
      <c r="R3" s="1" t="s">
        <v>289</v>
      </c>
      <c r="S3" s="1" t="s">
        <v>356</v>
      </c>
      <c r="T3" s="1" t="s">
        <v>286</v>
      </c>
      <c r="U3" s="1" t="s">
        <v>341</v>
      </c>
      <c r="V3" s="1" t="s">
        <v>341</v>
      </c>
      <c r="W3" s="1" t="s">
        <v>330</v>
      </c>
      <c r="X3" s="1" t="s">
        <v>330</v>
      </c>
      <c r="Y3" s="1" t="s">
        <v>320</v>
      </c>
      <c r="Z3" s="1" t="s">
        <v>356</v>
      </c>
      <c r="AA3" s="1" t="s">
        <v>346</v>
      </c>
      <c r="AB3" s="1" t="s">
        <v>286</v>
      </c>
      <c r="AC3" s="1" t="s">
        <v>289</v>
      </c>
      <c r="AD3" s="1" t="s">
        <v>321</v>
      </c>
      <c r="AE3" s="1" t="s">
        <v>332</v>
      </c>
      <c r="AF3" s="1" t="s">
        <v>330</v>
      </c>
      <c r="AG3" s="1" t="s">
        <v>356</v>
      </c>
      <c r="AH3" s="1" t="s">
        <v>330</v>
      </c>
      <c r="AI3" s="465">
        <v>44412.229194178202</v>
      </c>
    </row>
    <row r="4" spans="1:35">
      <c r="A4" s="1" t="s">
        <v>417</v>
      </c>
      <c r="B4" s="285" t="s">
        <v>520</v>
      </c>
      <c r="C4" s="1" t="s">
        <v>356</v>
      </c>
      <c r="D4" s="1" t="s">
        <v>293</v>
      </c>
      <c r="E4" s="1" t="s">
        <v>356</v>
      </c>
      <c r="F4" s="1" t="s">
        <v>293</v>
      </c>
      <c r="G4" s="1" t="s">
        <v>293</v>
      </c>
      <c r="H4" s="1" t="s">
        <v>293</v>
      </c>
      <c r="I4" s="1" t="s">
        <v>293</v>
      </c>
      <c r="J4" s="1" t="s">
        <v>293</v>
      </c>
      <c r="K4" s="1" t="s">
        <v>358</v>
      </c>
      <c r="L4" s="1" t="s">
        <v>356</v>
      </c>
      <c r="M4" s="1" t="s">
        <v>293</v>
      </c>
      <c r="N4" s="1" t="s">
        <v>304</v>
      </c>
      <c r="O4" s="1" t="s">
        <v>340</v>
      </c>
      <c r="P4" s="1" t="s">
        <v>293</v>
      </c>
      <c r="Q4" s="1" t="s">
        <v>293</v>
      </c>
      <c r="R4" s="1" t="s">
        <v>293</v>
      </c>
      <c r="S4" s="1" t="s">
        <v>356</v>
      </c>
      <c r="T4" s="1" t="s">
        <v>293</v>
      </c>
      <c r="U4" s="1" t="s">
        <v>293</v>
      </c>
      <c r="V4" s="1" t="s">
        <v>293</v>
      </c>
      <c r="W4" s="1" t="s">
        <v>293</v>
      </c>
      <c r="X4" s="1" t="s">
        <v>293</v>
      </c>
      <c r="Y4" s="1" t="s">
        <v>335</v>
      </c>
      <c r="Z4" s="1" t="s">
        <v>356</v>
      </c>
      <c r="AA4" s="1" t="s">
        <v>293</v>
      </c>
      <c r="AB4" s="1" t="s">
        <v>335</v>
      </c>
      <c r="AC4" s="1" t="s">
        <v>293</v>
      </c>
      <c r="AD4" s="1" t="s">
        <v>293</v>
      </c>
      <c r="AE4" s="1" t="s">
        <v>293</v>
      </c>
      <c r="AF4" s="1" t="s">
        <v>293</v>
      </c>
      <c r="AG4" s="1" t="s">
        <v>356</v>
      </c>
      <c r="AH4" s="1" t="s">
        <v>336</v>
      </c>
      <c r="AI4" s="465">
        <v>44412.229194178202</v>
      </c>
    </row>
    <row r="5" spans="1:35">
      <c r="A5" s="1" t="s">
        <v>417</v>
      </c>
      <c r="B5" s="285" t="s">
        <v>549</v>
      </c>
      <c r="C5" s="1" t="s">
        <v>356</v>
      </c>
      <c r="D5" s="1" t="s">
        <v>293</v>
      </c>
      <c r="E5" s="1" t="s">
        <v>356</v>
      </c>
      <c r="F5" s="1" t="s">
        <v>902</v>
      </c>
      <c r="G5" s="1" t="s">
        <v>903</v>
      </c>
      <c r="H5" s="1" t="s">
        <v>293</v>
      </c>
      <c r="I5" s="1" t="s">
        <v>904</v>
      </c>
      <c r="J5" s="1" t="s">
        <v>293</v>
      </c>
      <c r="K5" s="1" t="s">
        <v>905</v>
      </c>
      <c r="L5" s="1" t="s">
        <v>356</v>
      </c>
      <c r="M5" s="1" t="s">
        <v>293</v>
      </c>
      <c r="N5" s="1" t="s">
        <v>293</v>
      </c>
      <c r="O5" s="1" t="s">
        <v>906</v>
      </c>
      <c r="P5" s="1" t="s">
        <v>907</v>
      </c>
      <c r="Q5" s="1" t="s">
        <v>902</v>
      </c>
      <c r="R5" s="1" t="s">
        <v>904</v>
      </c>
      <c r="S5" s="1" t="s">
        <v>356</v>
      </c>
      <c r="T5" s="1" t="s">
        <v>902</v>
      </c>
      <c r="U5" s="1" t="s">
        <v>902</v>
      </c>
      <c r="V5" s="1" t="s">
        <v>293</v>
      </c>
      <c r="W5" s="1" t="s">
        <v>357</v>
      </c>
      <c r="X5" s="1" t="s">
        <v>293</v>
      </c>
      <c r="Y5" s="1" t="s">
        <v>356</v>
      </c>
      <c r="Z5" s="1" t="s">
        <v>356</v>
      </c>
      <c r="AA5" s="1" t="s">
        <v>903</v>
      </c>
      <c r="AB5" s="1" t="s">
        <v>357</v>
      </c>
      <c r="AC5" s="1" t="s">
        <v>908</v>
      </c>
      <c r="AD5" s="1" t="s">
        <v>909</v>
      </c>
      <c r="AE5" s="1" t="s">
        <v>293</v>
      </c>
      <c r="AF5" s="1" t="s">
        <v>293</v>
      </c>
      <c r="AG5" s="1" t="s">
        <v>356</v>
      </c>
      <c r="AH5" s="1" t="s">
        <v>910</v>
      </c>
      <c r="AI5" s="465">
        <v>44412.229194178202</v>
      </c>
    </row>
    <row r="6" spans="1:35">
      <c r="A6" s="1" t="s">
        <v>417</v>
      </c>
      <c r="B6" s="285" t="s">
        <v>578</v>
      </c>
      <c r="C6" s="1" t="s">
        <v>356</v>
      </c>
      <c r="D6" s="1" t="s">
        <v>292</v>
      </c>
      <c r="E6" s="1" t="s">
        <v>356</v>
      </c>
      <c r="F6" s="1" t="s">
        <v>307</v>
      </c>
      <c r="G6" s="1" t="s">
        <v>358</v>
      </c>
      <c r="H6" s="1" t="s">
        <v>336</v>
      </c>
      <c r="I6" s="1" t="s">
        <v>307</v>
      </c>
      <c r="J6" s="1" t="s">
        <v>307</v>
      </c>
      <c r="K6" s="1" t="s">
        <v>304</v>
      </c>
      <c r="L6" s="1" t="s">
        <v>356</v>
      </c>
      <c r="M6" s="1" t="s">
        <v>308</v>
      </c>
      <c r="N6" s="1" t="s">
        <v>306</v>
      </c>
      <c r="O6" s="1" t="s">
        <v>308</v>
      </c>
      <c r="P6" s="1" t="s">
        <v>335</v>
      </c>
      <c r="Q6" s="1" t="s">
        <v>308</v>
      </c>
      <c r="R6" s="1" t="s">
        <v>336</v>
      </c>
      <c r="S6" s="1" t="s">
        <v>356</v>
      </c>
      <c r="T6" s="1" t="s">
        <v>306</v>
      </c>
      <c r="U6" s="1" t="s">
        <v>308</v>
      </c>
      <c r="V6" s="1" t="s">
        <v>304</v>
      </c>
      <c r="W6" s="1" t="s">
        <v>304</v>
      </c>
      <c r="X6" s="1" t="s">
        <v>306</v>
      </c>
      <c r="Y6" s="1" t="s">
        <v>336</v>
      </c>
      <c r="Z6" s="1" t="s">
        <v>356</v>
      </c>
      <c r="AA6" s="1" t="s">
        <v>306</v>
      </c>
      <c r="AB6" s="1" t="s">
        <v>335</v>
      </c>
      <c r="AC6" s="1" t="s">
        <v>304</v>
      </c>
      <c r="AD6" s="1" t="s">
        <v>304</v>
      </c>
      <c r="AE6" s="1" t="s">
        <v>336</v>
      </c>
      <c r="AF6" s="1" t="s">
        <v>293</v>
      </c>
      <c r="AG6" s="1" t="s">
        <v>356</v>
      </c>
      <c r="AH6" s="1" t="s">
        <v>335</v>
      </c>
      <c r="AI6" s="465">
        <v>44412.229194178202</v>
      </c>
    </row>
    <row r="7" spans="1:35">
      <c r="A7" s="1" t="s">
        <v>417</v>
      </c>
      <c r="B7" s="285" t="s">
        <v>610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611</v>
      </c>
      <c r="C8" s="1" t="s">
        <v>356</v>
      </c>
      <c r="D8" s="1" t="s">
        <v>293</v>
      </c>
      <c r="E8" s="1" t="s">
        <v>356</v>
      </c>
      <c r="F8" s="1" t="s">
        <v>304</v>
      </c>
      <c r="G8" s="1" t="s">
        <v>293</v>
      </c>
      <c r="H8" s="1" t="s">
        <v>331</v>
      </c>
      <c r="I8" s="1" t="s">
        <v>308</v>
      </c>
      <c r="J8" s="1" t="s">
        <v>320</v>
      </c>
      <c r="K8" s="1" t="s">
        <v>305</v>
      </c>
      <c r="L8" s="1" t="s">
        <v>356</v>
      </c>
      <c r="M8" s="1" t="s">
        <v>293</v>
      </c>
      <c r="N8" s="1" t="s">
        <v>291</v>
      </c>
      <c r="O8" s="1" t="s">
        <v>306</v>
      </c>
      <c r="P8" s="1" t="s">
        <v>305</v>
      </c>
      <c r="Q8" s="1" t="s">
        <v>326</v>
      </c>
      <c r="R8" s="1" t="s">
        <v>341</v>
      </c>
      <c r="S8" s="1" t="s">
        <v>356</v>
      </c>
      <c r="T8" s="1" t="s">
        <v>304</v>
      </c>
      <c r="U8" s="1" t="s">
        <v>320</v>
      </c>
      <c r="V8" s="1" t="s">
        <v>358</v>
      </c>
      <c r="W8" s="1" t="s">
        <v>308</v>
      </c>
      <c r="X8" s="1" t="s">
        <v>335</v>
      </c>
      <c r="Y8" s="1" t="s">
        <v>305</v>
      </c>
      <c r="Z8" s="1" t="s">
        <v>356</v>
      </c>
      <c r="AA8" s="1" t="s">
        <v>318</v>
      </c>
      <c r="AB8" s="1" t="s">
        <v>358</v>
      </c>
      <c r="AC8" s="1" t="s">
        <v>304</v>
      </c>
      <c r="AD8" s="1" t="s">
        <v>304</v>
      </c>
      <c r="AE8" s="1" t="s">
        <v>290</v>
      </c>
      <c r="AF8" s="1" t="s">
        <v>322</v>
      </c>
      <c r="AG8" s="1" t="s">
        <v>356</v>
      </c>
      <c r="AH8" s="1" t="s">
        <v>305</v>
      </c>
      <c r="AI8" s="465">
        <v>44412.229194178202</v>
      </c>
    </row>
    <row r="9" spans="1:35">
      <c r="A9" s="1" t="s">
        <v>417</v>
      </c>
      <c r="B9" s="285" t="s">
        <v>911</v>
      </c>
      <c r="C9" s="1" t="s">
        <v>356</v>
      </c>
      <c r="D9" s="1" t="s">
        <v>293</v>
      </c>
      <c r="E9" s="1" t="s">
        <v>356</v>
      </c>
      <c r="F9" s="1" t="s">
        <v>293</v>
      </c>
      <c r="G9" s="1" t="s">
        <v>293</v>
      </c>
      <c r="H9" s="1" t="s">
        <v>293</v>
      </c>
      <c r="I9" s="1" t="s">
        <v>293</v>
      </c>
      <c r="J9" s="1" t="s">
        <v>293</v>
      </c>
      <c r="K9" s="1" t="s">
        <v>328</v>
      </c>
      <c r="L9" s="1" t="s">
        <v>356</v>
      </c>
      <c r="M9" s="1" t="s">
        <v>293</v>
      </c>
      <c r="N9" s="1" t="s">
        <v>328</v>
      </c>
      <c r="O9" s="1" t="s">
        <v>293</v>
      </c>
      <c r="P9" s="1" t="s">
        <v>909</v>
      </c>
      <c r="Q9" s="1" t="s">
        <v>293</v>
      </c>
      <c r="R9" s="1" t="s">
        <v>293</v>
      </c>
      <c r="S9" s="1" t="s">
        <v>356</v>
      </c>
      <c r="T9" s="1" t="s">
        <v>293</v>
      </c>
      <c r="U9" s="1" t="s">
        <v>293</v>
      </c>
      <c r="V9" s="1" t="s">
        <v>293</v>
      </c>
      <c r="W9" s="1" t="s">
        <v>293</v>
      </c>
      <c r="X9" s="1" t="s">
        <v>293</v>
      </c>
      <c r="Y9" s="1" t="s">
        <v>293</v>
      </c>
      <c r="Z9" s="1" t="s">
        <v>356</v>
      </c>
      <c r="AA9" s="1" t="s">
        <v>293</v>
      </c>
      <c r="AB9" s="1" t="s">
        <v>293</v>
      </c>
      <c r="AC9" s="1" t="s">
        <v>293</v>
      </c>
      <c r="AD9" s="1" t="s">
        <v>293</v>
      </c>
      <c r="AE9" s="1" t="s">
        <v>912</v>
      </c>
      <c r="AF9" s="1" t="s">
        <v>293</v>
      </c>
      <c r="AG9" s="1" t="s">
        <v>356</v>
      </c>
      <c r="AH9" s="1" t="s">
        <v>319</v>
      </c>
      <c r="AI9" s="465">
        <v>44412.229194178202</v>
      </c>
    </row>
    <row r="10" spans="1:35">
      <c r="A10" s="1" t="s">
        <v>417</v>
      </c>
      <c r="B10" s="285" t="s">
        <v>913</v>
      </c>
      <c r="C10" s="1" t="s">
        <v>356</v>
      </c>
      <c r="D10" s="1" t="s">
        <v>326</v>
      </c>
      <c r="E10" s="1" t="s">
        <v>356</v>
      </c>
      <c r="F10" s="1" t="s">
        <v>290</v>
      </c>
      <c r="G10" s="1" t="s">
        <v>289</v>
      </c>
      <c r="H10" s="1" t="s">
        <v>340</v>
      </c>
      <c r="I10" s="1" t="s">
        <v>342</v>
      </c>
      <c r="J10" s="1" t="s">
        <v>332</v>
      </c>
      <c r="K10" s="1" t="s">
        <v>346</v>
      </c>
      <c r="L10" s="1" t="s">
        <v>356</v>
      </c>
      <c r="M10" s="1" t="s">
        <v>290</v>
      </c>
      <c r="N10" s="1" t="s">
        <v>332</v>
      </c>
      <c r="O10" s="1" t="s">
        <v>333</v>
      </c>
      <c r="P10" s="1" t="s">
        <v>346</v>
      </c>
      <c r="Q10" s="1" t="s">
        <v>333</v>
      </c>
      <c r="R10" s="1" t="s">
        <v>286</v>
      </c>
      <c r="S10" s="1" t="s">
        <v>356</v>
      </c>
      <c r="T10" s="1" t="s">
        <v>290</v>
      </c>
      <c r="U10" s="1" t="s">
        <v>321</v>
      </c>
      <c r="V10" s="1" t="s">
        <v>289</v>
      </c>
      <c r="W10" s="1" t="s">
        <v>333</v>
      </c>
      <c r="X10" s="1" t="s">
        <v>326</v>
      </c>
      <c r="Y10" s="1" t="s">
        <v>286</v>
      </c>
      <c r="Z10" s="1" t="s">
        <v>356</v>
      </c>
      <c r="AA10" s="1" t="s">
        <v>333</v>
      </c>
      <c r="AB10" s="1" t="s">
        <v>332</v>
      </c>
      <c r="AC10" s="1" t="s">
        <v>330</v>
      </c>
      <c r="AD10" s="1" t="s">
        <v>289</v>
      </c>
      <c r="AE10" s="1" t="s">
        <v>332</v>
      </c>
      <c r="AF10" s="1" t="s">
        <v>286</v>
      </c>
      <c r="AG10" s="1" t="s">
        <v>356</v>
      </c>
      <c r="AH10" s="1" t="s">
        <v>321</v>
      </c>
      <c r="AI10" s="465">
        <v>44412.229194178202</v>
      </c>
    </row>
    <row r="11" spans="1:35">
      <c r="A11" s="1" t="s">
        <v>417</v>
      </c>
      <c r="B11" s="285" t="s">
        <v>914</v>
      </c>
      <c r="C11" s="1" t="s">
        <v>356</v>
      </c>
      <c r="D11" s="1" t="s">
        <v>293</v>
      </c>
      <c r="E11" s="1" t="s">
        <v>356</v>
      </c>
      <c r="F11" s="1" t="s">
        <v>293</v>
      </c>
      <c r="G11" s="1" t="s">
        <v>293</v>
      </c>
      <c r="H11" s="1" t="s">
        <v>293</v>
      </c>
      <c r="I11" s="1" t="s">
        <v>293</v>
      </c>
      <c r="J11" s="1" t="s">
        <v>293</v>
      </c>
      <c r="K11" s="1" t="s">
        <v>293</v>
      </c>
      <c r="L11" s="1" t="s">
        <v>356</v>
      </c>
      <c r="M11" s="1" t="s">
        <v>293</v>
      </c>
      <c r="N11" s="1" t="s">
        <v>293</v>
      </c>
      <c r="O11" s="1" t="s">
        <v>293</v>
      </c>
      <c r="P11" s="1" t="s">
        <v>293</v>
      </c>
      <c r="Q11" s="1" t="s">
        <v>293</v>
      </c>
      <c r="R11" s="1" t="s">
        <v>293</v>
      </c>
      <c r="S11" s="1" t="s">
        <v>356</v>
      </c>
      <c r="T11" s="1" t="s">
        <v>293</v>
      </c>
      <c r="U11" s="1" t="s">
        <v>293</v>
      </c>
      <c r="V11" s="1" t="s">
        <v>293</v>
      </c>
      <c r="W11" s="1" t="s">
        <v>293</v>
      </c>
      <c r="X11" s="1" t="s">
        <v>293</v>
      </c>
      <c r="Y11" s="1" t="s">
        <v>293</v>
      </c>
      <c r="Z11" s="1" t="s">
        <v>356</v>
      </c>
      <c r="AA11" s="1" t="s">
        <v>293</v>
      </c>
      <c r="AB11" s="1" t="s">
        <v>293</v>
      </c>
      <c r="AC11" s="1" t="s">
        <v>293</v>
      </c>
      <c r="AD11" s="1" t="s">
        <v>293</v>
      </c>
      <c r="AE11" s="1" t="s">
        <v>293</v>
      </c>
      <c r="AF11" s="1" t="s">
        <v>293</v>
      </c>
      <c r="AG11" s="1" t="s">
        <v>356</v>
      </c>
      <c r="AH11" s="1" t="s">
        <v>293</v>
      </c>
      <c r="AI11" s="465">
        <v>44412.229194178202</v>
      </c>
    </row>
    <row r="12" spans="1:35">
      <c r="A12" s="1" t="s">
        <v>417</v>
      </c>
      <c r="B12" s="285" t="s">
        <v>915</v>
      </c>
      <c r="C12" s="1" t="s">
        <v>356</v>
      </c>
      <c r="D12" s="1" t="s">
        <v>293</v>
      </c>
      <c r="E12" s="1" t="s">
        <v>356</v>
      </c>
      <c r="F12" s="1" t="s">
        <v>293</v>
      </c>
      <c r="G12" s="1" t="s">
        <v>293</v>
      </c>
      <c r="H12" s="1" t="s">
        <v>293</v>
      </c>
      <c r="I12" s="1" t="s">
        <v>368</v>
      </c>
      <c r="J12" s="1" t="s">
        <v>293</v>
      </c>
      <c r="K12" s="1" t="s">
        <v>293</v>
      </c>
      <c r="L12" s="1" t="s">
        <v>356</v>
      </c>
      <c r="M12" s="1" t="s">
        <v>916</v>
      </c>
      <c r="N12" s="1" t="s">
        <v>337</v>
      </c>
      <c r="O12" s="1" t="s">
        <v>293</v>
      </c>
      <c r="P12" s="1" t="s">
        <v>917</v>
      </c>
      <c r="Q12" s="1" t="s">
        <v>909</v>
      </c>
      <c r="R12" s="1" t="s">
        <v>918</v>
      </c>
      <c r="S12" s="1" t="s">
        <v>356</v>
      </c>
      <c r="T12" s="1" t="s">
        <v>919</v>
      </c>
      <c r="U12" s="1" t="s">
        <v>920</v>
      </c>
      <c r="V12" s="1" t="s">
        <v>921</v>
      </c>
      <c r="W12" s="1" t="s">
        <v>922</v>
      </c>
      <c r="X12" s="1" t="s">
        <v>918</v>
      </c>
      <c r="Y12" s="1" t="s">
        <v>906</v>
      </c>
      <c r="Z12" s="1" t="s">
        <v>356</v>
      </c>
      <c r="AA12" s="1" t="s">
        <v>923</v>
      </c>
      <c r="AB12" s="1" t="s">
        <v>902</v>
      </c>
      <c r="AC12" s="1" t="s">
        <v>924</v>
      </c>
      <c r="AD12" s="1" t="s">
        <v>925</v>
      </c>
      <c r="AE12" s="1" t="s">
        <v>926</v>
      </c>
      <c r="AF12" s="1" t="s">
        <v>293</v>
      </c>
      <c r="AG12" s="1" t="s">
        <v>356</v>
      </c>
      <c r="AH12" s="1" t="s">
        <v>927</v>
      </c>
      <c r="AI12" s="465">
        <v>44412.229194178202</v>
      </c>
    </row>
    <row r="13" spans="1:35">
      <c r="A13" s="1" t="s">
        <v>417</v>
      </c>
      <c r="B13" s="285" t="s">
        <v>928</v>
      </c>
      <c r="C13" s="1" t="s">
        <v>356</v>
      </c>
      <c r="D13" s="1" t="s">
        <v>341</v>
      </c>
      <c r="E13" s="1" t="s">
        <v>356</v>
      </c>
      <c r="F13" s="1" t="s">
        <v>342</v>
      </c>
      <c r="G13" s="1" t="s">
        <v>345</v>
      </c>
      <c r="H13" s="1" t="s">
        <v>344</v>
      </c>
      <c r="I13" s="1" t="s">
        <v>339</v>
      </c>
      <c r="J13" s="1" t="s">
        <v>370</v>
      </c>
      <c r="K13" s="1" t="s">
        <v>334</v>
      </c>
      <c r="L13" s="1" t="s">
        <v>356</v>
      </c>
      <c r="M13" s="1" t="s">
        <v>325</v>
      </c>
      <c r="N13" s="1" t="s">
        <v>287</v>
      </c>
      <c r="O13" s="1" t="s">
        <v>348</v>
      </c>
      <c r="P13" s="1" t="s">
        <v>346</v>
      </c>
      <c r="Q13" s="1" t="s">
        <v>338</v>
      </c>
      <c r="R13" s="1" t="s">
        <v>289</v>
      </c>
      <c r="S13" s="1" t="s">
        <v>356</v>
      </c>
      <c r="T13" s="1" t="s">
        <v>311</v>
      </c>
      <c r="U13" s="1" t="s">
        <v>370</v>
      </c>
      <c r="V13" s="1" t="s">
        <v>358</v>
      </c>
      <c r="W13" s="1" t="s">
        <v>342</v>
      </c>
      <c r="X13" s="1" t="s">
        <v>342</v>
      </c>
      <c r="Y13" s="1" t="s">
        <v>331</v>
      </c>
      <c r="Z13" s="1" t="s">
        <v>356</v>
      </c>
      <c r="AA13" s="1" t="s">
        <v>288</v>
      </c>
      <c r="AB13" s="1" t="s">
        <v>287</v>
      </c>
      <c r="AC13" s="1" t="s">
        <v>338</v>
      </c>
      <c r="AD13" s="1" t="s">
        <v>325</v>
      </c>
      <c r="AE13" s="1" t="s">
        <v>322</v>
      </c>
      <c r="AF13" s="1" t="s">
        <v>288</v>
      </c>
      <c r="AG13" s="1" t="s">
        <v>356</v>
      </c>
      <c r="AH13" s="1" t="s">
        <v>323</v>
      </c>
      <c r="AI13" s="465">
        <v>44412.229194178202</v>
      </c>
    </row>
    <row r="14" spans="1:35">
      <c r="A14" s="1" t="s">
        <v>417</v>
      </c>
      <c r="B14" s="285" t="s">
        <v>929</v>
      </c>
      <c r="C14" s="1" t="s">
        <v>356</v>
      </c>
      <c r="D14" s="1" t="s">
        <v>295</v>
      </c>
      <c r="E14" s="1" t="s">
        <v>356</v>
      </c>
      <c r="F14" s="1" t="s">
        <v>930</v>
      </c>
      <c r="G14" s="1" t="s">
        <v>931</v>
      </c>
      <c r="H14" s="1" t="s">
        <v>364</v>
      </c>
      <c r="I14" s="1" t="s">
        <v>932</v>
      </c>
      <c r="J14" s="1" t="s">
        <v>374</v>
      </c>
      <c r="K14" s="1" t="s">
        <v>293</v>
      </c>
      <c r="L14" s="1" t="s">
        <v>356</v>
      </c>
      <c r="M14" s="1" t="s">
        <v>293</v>
      </c>
      <c r="N14" s="1" t="s">
        <v>330</v>
      </c>
      <c r="O14" s="1" t="s">
        <v>343</v>
      </c>
      <c r="P14" s="1" t="s">
        <v>293</v>
      </c>
      <c r="Q14" s="1" t="s">
        <v>290</v>
      </c>
      <c r="R14" s="1" t="s">
        <v>933</v>
      </c>
      <c r="S14" s="1" t="s">
        <v>356</v>
      </c>
      <c r="T14" s="1" t="s">
        <v>352</v>
      </c>
      <c r="U14" s="1" t="s">
        <v>934</v>
      </c>
      <c r="V14" s="1" t="s">
        <v>935</v>
      </c>
      <c r="W14" s="1" t="s">
        <v>936</v>
      </c>
      <c r="X14" s="1" t="s">
        <v>937</v>
      </c>
      <c r="Y14" s="1" t="s">
        <v>938</v>
      </c>
      <c r="Z14" s="1" t="s">
        <v>356</v>
      </c>
      <c r="AA14" s="1" t="s">
        <v>286</v>
      </c>
      <c r="AB14" s="1" t="s">
        <v>329</v>
      </c>
      <c r="AC14" s="1" t="s">
        <v>352</v>
      </c>
      <c r="AD14" s="1" t="s">
        <v>360</v>
      </c>
      <c r="AE14" s="1" t="s">
        <v>939</v>
      </c>
      <c r="AF14" s="1" t="s">
        <v>315</v>
      </c>
      <c r="AG14" s="1" t="s">
        <v>356</v>
      </c>
      <c r="AH14" s="1" t="s">
        <v>360</v>
      </c>
      <c r="AI14" s="465">
        <v>44412.229194178202</v>
      </c>
    </row>
    <row r="15" spans="1:35">
      <c r="A15" s="1" t="s">
        <v>417</v>
      </c>
      <c r="B15" s="285" t="s">
        <v>940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941</v>
      </c>
      <c r="C16" s="1" t="s">
        <v>356</v>
      </c>
      <c r="D16" s="1" t="s">
        <v>326</v>
      </c>
      <c r="E16" s="1" t="s">
        <v>356</v>
      </c>
      <c r="F16" s="1" t="s">
        <v>340</v>
      </c>
      <c r="G16" s="1" t="s">
        <v>346</v>
      </c>
      <c r="H16" s="1" t="s">
        <v>321</v>
      </c>
      <c r="I16" s="1" t="s">
        <v>290</v>
      </c>
      <c r="J16" s="1" t="s">
        <v>332</v>
      </c>
      <c r="K16" s="1" t="s">
        <v>346</v>
      </c>
      <c r="L16" s="1" t="s">
        <v>356</v>
      </c>
      <c r="M16" s="1" t="s">
        <v>332</v>
      </c>
      <c r="N16" s="1" t="s">
        <v>287</v>
      </c>
      <c r="O16" s="1" t="s">
        <v>290</v>
      </c>
      <c r="P16" s="1" t="s">
        <v>333</v>
      </c>
      <c r="Q16" s="1" t="s">
        <v>333</v>
      </c>
      <c r="R16" s="1" t="s">
        <v>332</v>
      </c>
      <c r="S16" s="1" t="s">
        <v>356</v>
      </c>
      <c r="T16" s="1" t="s">
        <v>332</v>
      </c>
      <c r="U16" s="1" t="s">
        <v>330</v>
      </c>
      <c r="V16" s="1" t="s">
        <v>331</v>
      </c>
      <c r="W16" s="1" t="s">
        <v>333</v>
      </c>
      <c r="X16" s="1" t="s">
        <v>290</v>
      </c>
      <c r="Y16" s="1" t="s">
        <v>330</v>
      </c>
      <c r="Z16" s="1" t="s">
        <v>356</v>
      </c>
      <c r="AA16" s="1" t="s">
        <v>332</v>
      </c>
      <c r="AB16" s="1" t="s">
        <v>287</v>
      </c>
      <c r="AC16" s="1" t="s">
        <v>346</v>
      </c>
      <c r="AD16" s="1" t="s">
        <v>340</v>
      </c>
      <c r="AE16" s="1" t="s">
        <v>322</v>
      </c>
      <c r="AF16" s="1" t="s">
        <v>330</v>
      </c>
      <c r="AG16" s="1" t="s">
        <v>356</v>
      </c>
      <c r="AH16" s="1" t="s">
        <v>290</v>
      </c>
      <c r="AI16" s="465">
        <v>44412.229194178202</v>
      </c>
    </row>
    <row r="17" spans="1:35">
      <c r="A17" s="1" t="s">
        <v>417</v>
      </c>
      <c r="B17" s="275" t="s">
        <v>942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943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944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945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946</v>
      </c>
      <c r="C21" s="1" t="s">
        <v>356</v>
      </c>
      <c r="D21" s="1" t="s">
        <v>293</v>
      </c>
      <c r="E21" s="1" t="s">
        <v>356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293</v>
      </c>
      <c r="L21" s="1" t="s">
        <v>356</v>
      </c>
      <c r="M21" s="1" t="s">
        <v>293</v>
      </c>
      <c r="N21" s="1" t="s">
        <v>293</v>
      </c>
      <c r="O21" s="1" t="s">
        <v>293</v>
      </c>
      <c r="P21" s="1" t="s">
        <v>293</v>
      </c>
      <c r="Q21" s="1" t="s">
        <v>293</v>
      </c>
      <c r="R21" s="1" t="s">
        <v>293</v>
      </c>
      <c r="S21" s="1" t="s">
        <v>356</v>
      </c>
      <c r="T21" s="1" t="s">
        <v>293</v>
      </c>
      <c r="U21" s="1" t="s">
        <v>293</v>
      </c>
      <c r="V21" s="1" t="s">
        <v>293</v>
      </c>
      <c r="W21" s="1" t="s">
        <v>293</v>
      </c>
      <c r="X21" s="1" t="s">
        <v>293</v>
      </c>
      <c r="Y21" s="1" t="s">
        <v>293</v>
      </c>
      <c r="Z21" s="1" t="s">
        <v>356</v>
      </c>
      <c r="AA21" s="1" t="s">
        <v>293</v>
      </c>
      <c r="AB21" s="1" t="s">
        <v>293</v>
      </c>
      <c r="AC21" s="1" t="s">
        <v>293</v>
      </c>
      <c r="AD21" s="1" t="s">
        <v>293</v>
      </c>
      <c r="AE21" s="1" t="s">
        <v>293</v>
      </c>
      <c r="AF21" s="1" t="s">
        <v>293</v>
      </c>
      <c r="AG21" s="1" t="s">
        <v>356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947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948</v>
      </c>
      <c r="C23" s="466" t="s">
        <v>356</v>
      </c>
      <c r="D23" s="466" t="s">
        <v>349</v>
      </c>
      <c r="E23" s="466" t="s">
        <v>356</v>
      </c>
      <c r="F23" s="466" t="s">
        <v>933</v>
      </c>
      <c r="G23" s="466" t="s">
        <v>909</v>
      </c>
      <c r="H23" s="466" t="s">
        <v>949</v>
      </c>
      <c r="I23" s="466" t="s">
        <v>950</v>
      </c>
      <c r="J23" s="466" t="s">
        <v>313</v>
      </c>
      <c r="K23" s="466" t="s">
        <v>360</v>
      </c>
      <c r="L23" s="466" t="s">
        <v>356</v>
      </c>
      <c r="M23" s="466" t="s">
        <v>951</v>
      </c>
      <c r="N23" s="466" t="s">
        <v>952</v>
      </c>
      <c r="O23" s="466" t="s">
        <v>953</v>
      </c>
      <c r="P23" s="466" t="s">
        <v>917</v>
      </c>
      <c r="Q23" s="466" t="s">
        <v>348</v>
      </c>
      <c r="R23" s="466" t="s">
        <v>309</v>
      </c>
      <c r="S23" s="466" t="s">
        <v>356</v>
      </c>
      <c r="T23" s="466" t="s">
        <v>932</v>
      </c>
      <c r="U23" s="466" t="s">
        <v>314</v>
      </c>
      <c r="V23" s="466" t="s">
        <v>317</v>
      </c>
      <c r="W23" s="466" t="s">
        <v>310</v>
      </c>
      <c r="X23" s="466" t="s">
        <v>912</v>
      </c>
      <c r="Y23" s="466" t="s">
        <v>362</v>
      </c>
      <c r="Z23" s="466" t="s">
        <v>356</v>
      </c>
      <c r="AA23" s="466" t="s">
        <v>951</v>
      </c>
      <c r="AB23" s="466" t="s">
        <v>355</v>
      </c>
      <c r="AC23" s="466" t="s">
        <v>951</v>
      </c>
      <c r="AD23" s="466" t="s">
        <v>932</v>
      </c>
      <c r="AE23" s="466" t="s">
        <v>343</v>
      </c>
      <c r="AF23" s="466" t="s">
        <v>337</v>
      </c>
      <c r="AG23" s="466" t="s">
        <v>356</v>
      </c>
      <c r="AH23" s="466" t="s">
        <v>355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6.5"/>
  <sheetData>
    <row r="1" spans="1:36">
      <c r="A1" s="1" t="s">
        <v>383</v>
      </c>
      <c r="B1" s="1" t="s">
        <v>450</v>
      </c>
      <c r="C1" s="1" t="s">
        <v>954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901</v>
      </c>
    </row>
    <row r="2" spans="1:36">
      <c r="A2" s="1" t="s">
        <v>417</v>
      </c>
      <c r="B2" s="275" t="s">
        <v>453</v>
      </c>
      <c r="C2" s="1" t="s">
        <v>236</v>
      </c>
      <c r="D2" s="1" t="s">
        <v>356</v>
      </c>
      <c r="E2" s="1" t="s">
        <v>333</v>
      </c>
      <c r="F2" s="1" t="s">
        <v>356</v>
      </c>
      <c r="G2" s="1" t="s">
        <v>322</v>
      </c>
      <c r="H2" s="1" t="s">
        <v>333</v>
      </c>
      <c r="I2" s="1" t="s">
        <v>345</v>
      </c>
      <c r="J2" s="1" t="s">
        <v>955</v>
      </c>
      <c r="K2" s="1" t="s">
        <v>322</v>
      </c>
      <c r="L2" s="1" t="s">
        <v>322</v>
      </c>
      <c r="M2" s="1" t="s">
        <v>356</v>
      </c>
      <c r="N2" s="1" t="s">
        <v>333</v>
      </c>
      <c r="O2" s="1" t="s">
        <v>345</v>
      </c>
      <c r="P2" s="1" t="s">
        <v>340</v>
      </c>
      <c r="Q2" s="1" t="s">
        <v>370</v>
      </c>
      <c r="R2" s="1" t="s">
        <v>322</v>
      </c>
      <c r="S2" s="1" t="s">
        <v>290</v>
      </c>
      <c r="T2" s="1" t="s">
        <v>356</v>
      </c>
      <c r="U2" s="1" t="s">
        <v>345</v>
      </c>
      <c r="V2" s="1" t="s">
        <v>346</v>
      </c>
      <c r="W2" s="1" t="s">
        <v>323</v>
      </c>
      <c r="X2" s="1" t="s">
        <v>371</v>
      </c>
      <c r="Y2" s="1" t="s">
        <v>286</v>
      </c>
      <c r="Z2" s="1" t="s">
        <v>330</v>
      </c>
      <c r="AA2" s="1" t="s">
        <v>356</v>
      </c>
      <c r="AB2" s="1" t="s">
        <v>346</v>
      </c>
      <c r="AC2" s="1" t="s">
        <v>333</v>
      </c>
      <c r="AD2" s="1" t="s">
        <v>330</v>
      </c>
      <c r="AE2" s="1" t="s">
        <v>289</v>
      </c>
      <c r="AF2" s="1" t="s">
        <v>342</v>
      </c>
      <c r="AG2" s="1" t="s">
        <v>286</v>
      </c>
      <c r="AH2" s="1" t="s">
        <v>356</v>
      </c>
      <c r="AI2" s="1" t="s">
        <v>340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356</v>
      </c>
      <c r="E3" s="1" t="s">
        <v>333</v>
      </c>
      <c r="F3" s="1" t="s">
        <v>356</v>
      </c>
      <c r="G3" s="1" t="s">
        <v>321</v>
      </c>
      <c r="H3" s="1" t="s">
        <v>287</v>
      </c>
      <c r="I3" s="1" t="s">
        <v>321</v>
      </c>
      <c r="J3" s="1" t="s">
        <v>332</v>
      </c>
      <c r="K3" s="1" t="s">
        <v>340</v>
      </c>
      <c r="L3" s="1" t="s">
        <v>370</v>
      </c>
      <c r="M3" s="1" t="s">
        <v>356</v>
      </c>
      <c r="N3" s="1" t="s">
        <v>333</v>
      </c>
      <c r="O3" s="1" t="s">
        <v>321</v>
      </c>
      <c r="P3" s="1" t="s">
        <v>333</v>
      </c>
      <c r="Q3" s="1" t="s">
        <v>340</v>
      </c>
      <c r="R3" s="1" t="s">
        <v>332</v>
      </c>
      <c r="S3" s="1" t="s">
        <v>321</v>
      </c>
      <c r="T3" s="1" t="s">
        <v>356</v>
      </c>
      <c r="U3" s="1" t="s">
        <v>288</v>
      </c>
      <c r="V3" s="1" t="s">
        <v>287</v>
      </c>
      <c r="W3" s="1" t="s">
        <v>287</v>
      </c>
      <c r="X3" s="1" t="s">
        <v>287</v>
      </c>
      <c r="Y3" s="1" t="s">
        <v>326</v>
      </c>
      <c r="Z3" s="1" t="s">
        <v>286</v>
      </c>
      <c r="AA3" s="1" t="s">
        <v>356</v>
      </c>
      <c r="AB3" s="1" t="s">
        <v>333</v>
      </c>
      <c r="AC3" s="1" t="s">
        <v>346</v>
      </c>
      <c r="AD3" s="1" t="s">
        <v>287</v>
      </c>
      <c r="AE3" s="1" t="s">
        <v>333</v>
      </c>
      <c r="AF3" s="1" t="s">
        <v>286</v>
      </c>
      <c r="AG3" s="1" t="s">
        <v>332</v>
      </c>
      <c r="AH3" s="1" t="s">
        <v>356</v>
      </c>
      <c r="AI3" s="1" t="s">
        <v>321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956</v>
      </c>
      <c r="D4" s="1" t="s">
        <v>356</v>
      </c>
      <c r="E4" s="1" t="s">
        <v>305</v>
      </c>
      <c r="F4" s="1" t="s">
        <v>356</v>
      </c>
      <c r="G4" s="1" t="s">
        <v>319</v>
      </c>
      <c r="H4" s="1" t="s">
        <v>291</v>
      </c>
      <c r="I4" s="1" t="s">
        <v>287</v>
      </c>
      <c r="J4" s="1" t="s">
        <v>305</v>
      </c>
      <c r="K4" s="1" t="s">
        <v>307</v>
      </c>
      <c r="L4" s="1" t="s">
        <v>288</v>
      </c>
      <c r="M4" s="1" t="s">
        <v>356</v>
      </c>
      <c r="N4" s="1" t="s">
        <v>308</v>
      </c>
      <c r="O4" s="1" t="s">
        <v>318</v>
      </c>
      <c r="P4" s="1" t="s">
        <v>308</v>
      </c>
      <c r="Q4" s="1" t="s">
        <v>358</v>
      </c>
      <c r="R4" s="1" t="s">
        <v>308</v>
      </c>
      <c r="S4" s="1" t="s">
        <v>293</v>
      </c>
      <c r="T4" s="1" t="s">
        <v>356</v>
      </c>
      <c r="U4" s="1" t="s">
        <v>307</v>
      </c>
      <c r="V4" s="1" t="s">
        <v>308</v>
      </c>
      <c r="W4" s="1" t="s">
        <v>305</v>
      </c>
      <c r="X4" s="1" t="s">
        <v>308</v>
      </c>
      <c r="Y4" s="1" t="s">
        <v>335</v>
      </c>
      <c r="Z4" s="1" t="s">
        <v>305</v>
      </c>
      <c r="AA4" s="1" t="s">
        <v>356</v>
      </c>
      <c r="AB4" s="1" t="s">
        <v>307</v>
      </c>
      <c r="AC4" s="1" t="s">
        <v>320</v>
      </c>
      <c r="AD4" s="1" t="s">
        <v>308</v>
      </c>
      <c r="AE4" s="1" t="s">
        <v>319</v>
      </c>
      <c r="AF4" s="1" t="s">
        <v>320</v>
      </c>
      <c r="AG4" s="1" t="s">
        <v>292</v>
      </c>
      <c r="AH4" s="1" t="s">
        <v>356</v>
      </c>
      <c r="AI4" s="1" t="s">
        <v>291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957</v>
      </c>
      <c r="D5" s="1" t="s">
        <v>356</v>
      </c>
      <c r="E5" s="1" t="s">
        <v>289</v>
      </c>
      <c r="F5" s="1" t="s">
        <v>356</v>
      </c>
      <c r="G5" s="1" t="s">
        <v>290</v>
      </c>
      <c r="H5" s="1" t="s">
        <v>287</v>
      </c>
      <c r="I5" s="1" t="s">
        <v>340</v>
      </c>
      <c r="J5" s="1" t="s">
        <v>322</v>
      </c>
      <c r="K5" s="1" t="s">
        <v>333</v>
      </c>
      <c r="L5" s="1" t="s">
        <v>340</v>
      </c>
      <c r="M5" s="1" t="s">
        <v>356</v>
      </c>
      <c r="N5" s="1" t="s">
        <v>289</v>
      </c>
      <c r="O5" s="1" t="s">
        <v>346</v>
      </c>
      <c r="P5" s="1" t="s">
        <v>290</v>
      </c>
      <c r="Q5" s="1" t="s">
        <v>346</v>
      </c>
      <c r="R5" s="1" t="s">
        <v>333</v>
      </c>
      <c r="S5" s="1" t="s">
        <v>330</v>
      </c>
      <c r="T5" s="1" t="s">
        <v>356</v>
      </c>
      <c r="U5" s="1" t="s">
        <v>321</v>
      </c>
      <c r="V5" s="1" t="s">
        <v>289</v>
      </c>
      <c r="W5" s="1" t="s">
        <v>321</v>
      </c>
      <c r="X5" s="1" t="s">
        <v>333</v>
      </c>
      <c r="Y5" s="1" t="s">
        <v>331</v>
      </c>
      <c r="Z5" s="1" t="s">
        <v>326</v>
      </c>
      <c r="AA5" s="1" t="s">
        <v>356</v>
      </c>
      <c r="AB5" s="1" t="s">
        <v>321</v>
      </c>
      <c r="AC5" s="1" t="s">
        <v>333</v>
      </c>
      <c r="AD5" s="1" t="s">
        <v>286</v>
      </c>
      <c r="AE5" s="1" t="s">
        <v>289</v>
      </c>
      <c r="AF5" s="1" t="s">
        <v>290</v>
      </c>
      <c r="AG5" s="1" t="s">
        <v>286</v>
      </c>
      <c r="AH5" s="1" t="s">
        <v>356</v>
      </c>
      <c r="AI5" s="1" t="s">
        <v>321</v>
      </c>
      <c r="AJ5" s="465">
        <v>43056.229596249999</v>
      </c>
    </row>
    <row r="6" spans="1:36">
      <c r="A6" s="1" t="s">
        <v>417</v>
      </c>
      <c r="B6" s="275" t="s">
        <v>487</v>
      </c>
      <c r="C6" s="1" t="s">
        <v>957</v>
      </c>
      <c r="D6" s="1" t="s">
        <v>356</v>
      </c>
      <c r="E6" s="1" t="s">
        <v>319</v>
      </c>
      <c r="F6" s="1" t="s">
        <v>356</v>
      </c>
      <c r="G6" s="1" t="s">
        <v>326</v>
      </c>
      <c r="H6" s="1" t="s">
        <v>288</v>
      </c>
      <c r="I6" s="1" t="s">
        <v>291</v>
      </c>
      <c r="J6" s="1" t="s">
        <v>320</v>
      </c>
      <c r="K6" s="1" t="s">
        <v>288</v>
      </c>
      <c r="L6" s="1" t="s">
        <v>289</v>
      </c>
      <c r="M6" s="1" t="s">
        <v>356</v>
      </c>
      <c r="N6" s="1" t="s">
        <v>331</v>
      </c>
      <c r="O6" s="1" t="s">
        <v>331</v>
      </c>
      <c r="P6" s="1" t="s">
        <v>331</v>
      </c>
      <c r="Q6" s="1" t="s">
        <v>286</v>
      </c>
      <c r="R6" s="1" t="s">
        <v>288</v>
      </c>
      <c r="S6" s="1" t="s">
        <v>288</v>
      </c>
      <c r="T6" s="1" t="s">
        <v>356</v>
      </c>
      <c r="U6" s="1" t="s">
        <v>341</v>
      </c>
      <c r="V6" s="1" t="s">
        <v>358</v>
      </c>
      <c r="W6" s="1" t="s">
        <v>305</v>
      </c>
      <c r="X6" s="1" t="s">
        <v>319</v>
      </c>
      <c r="Y6" s="1" t="s">
        <v>341</v>
      </c>
      <c r="Z6" s="1" t="s">
        <v>291</v>
      </c>
      <c r="AA6" s="1" t="s">
        <v>356</v>
      </c>
      <c r="AB6" s="1" t="s">
        <v>288</v>
      </c>
      <c r="AC6" s="1" t="s">
        <v>320</v>
      </c>
      <c r="AD6" s="1" t="s">
        <v>287</v>
      </c>
      <c r="AE6" s="1" t="s">
        <v>318</v>
      </c>
      <c r="AF6" s="1" t="s">
        <v>288</v>
      </c>
      <c r="AG6" s="1" t="s">
        <v>331</v>
      </c>
      <c r="AH6" s="1" t="s">
        <v>356</v>
      </c>
      <c r="AI6" s="1" t="s">
        <v>320</v>
      </c>
      <c r="AJ6" s="465">
        <v>43056.229596249999</v>
      </c>
    </row>
    <row r="7" spans="1:36">
      <c r="A7" s="1" t="s">
        <v>417</v>
      </c>
      <c r="B7" s="275" t="s">
        <v>520</v>
      </c>
      <c r="C7" s="1" t="s">
        <v>957</v>
      </c>
      <c r="D7" s="1" t="s">
        <v>356</v>
      </c>
      <c r="E7" s="1" t="s">
        <v>293</v>
      </c>
      <c r="F7" s="1" t="s">
        <v>356</v>
      </c>
      <c r="G7" s="1" t="s">
        <v>293</v>
      </c>
      <c r="H7" s="1" t="s">
        <v>293</v>
      </c>
      <c r="I7" s="1" t="s">
        <v>293</v>
      </c>
      <c r="J7" s="1" t="s">
        <v>293</v>
      </c>
      <c r="K7" s="1" t="s">
        <v>293</v>
      </c>
      <c r="L7" s="1" t="s">
        <v>358</v>
      </c>
      <c r="M7" s="1" t="s">
        <v>356</v>
      </c>
      <c r="N7" s="1" t="s">
        <v>293</v>
      </c>
      <c r="O7" s="1" t="s">
        <v>304</v>
      </c>
      <c r="P7" s="1" t="s">
        <v>340</v>
      </c>
      <c r="Q7" s="1" t="s">
        <v>293</v>
      </c>
      <c r="R7" s="1" t="s">
        <v>293</v>
      </c>
      <c r="S7" s="1" t="s">
        <v>293</v>
      </c>
      <c r="T7" s="1" t="s">
        <v>356</v>
      </c>
      <c r="U7" s="1" t="s">
        <v>293</v>
      </c>
      <c r="V7" s="1" t="s">
        <v>293</v>
      </c>
      <c r="W7" s="1" t="s">
        <v>293</v>
      </c>
      <c r="X7" s="1" t="s">
        <v>293</v>
      </c>
      <c r="Y7" s="1" t="s">
        <v>293</v>
      </c>
      <c r="Z7" s="1" t="s">
        <v>335</v>
      </c>
      <c r="AA7" s="1" t="s">
        <v>356</v>
      </c>
      <c r="AB7" s="1" t="s">
        <v>293</v>
      </c>
      <c r="AC7" s="1" t="s">
        <v>335</v>
      </c>
      <c r="AD7" s="1" t="s">
        <v>293</v>
      </c>
      <c r="AE7" s="1" t="s">
        <v>293</v>
      </c>
      <c r="AF7" s="1" t="s">
        <v>293</v>
      </c>
      <c r="AG7" s="1" t="s">
        <v>293</v>
      </c>
      <c r="AH7" s="1" t="s">
        <v>356</v>
      </c>
      <c r="AI7" s="1" t="s">
        <v>336</v>
      </c>
      <c r="AJ7" s="465">
        <v>43056.229596249999</v>
      </c>
    </row>
    <row r="8" spans="1:36">
      <c r="A8" s="1" t="s">
        <v>417</v>
      </c>
      <c r="B8" s="275" t="s">
        <v>549</v>
      </c>
      <c r="C8" s="1" t="s">
        <v>957</v>
      </c>
      <c r="D8" s="1" t="s">
        <v>356</v>
      </c>
      <c r="E8" s="1" t="s">
        <v>293</v>
      </c>
      <c r="F8" s="1" t="s">
        <v>356</v>
      </c>
      <c r="G8" s="1" t="s">
        <v>902</v>
      </c>
      <c r="H8" s="1" t="s">
        <v>903</v>
      </c>
      <c r="I8" s="1" t="s">
        <v>293</v>
      </c>
      <c r="J8" s="1" t="s">
        <v>958</v>
      </c>
      <c r="K8" s="1" t="s">
        <v>293</v>
      </c>
      <c r="L8" s="1" t="s">
        <v>905</v>
      </c>
      <c r="M8" s="1" t="s">
        <v>356</v>
      </c>
      <c r="N8" s="1" t="s">
        <v>293</v>
      </c>
      <c r="O8" s="1" t="s">
        <v>293</v>
      </c>
      <c r="P8" s="1" t="s">
        <v>906</v>
      </c>
      <c r="Q8" s="1" t="s">
        <v>357</v>
      </c>
      <c r="R8" s="1" t="s">
        <v>902</v>
      </c>
      <c r="S8" s="1" t="s">
        <v>905</v>
      </c>
      <c r="T8" s="1" t="s">
        <v>356</v>
      </c>
      <c r="U8" s="1" t="s">
        <v>902</v>
      </c>
      <c r="V8" s="1" t="s">
        <v>293</v>
      </c>
      <c r="W8" s="1" t="s">
        <v>293</v>
      </c>
      <c r="X8" s="1" t="s">
        <v>357</v>
      </c>
      <c r="Y8" s="1" t="s">
        <v>293</v>
      </c>
      <c r="Z8" s="1" t="s">
        <v>356</v>
      </c>
      <c r="AA8" s="1" t="s">
        <v>356</v>
      </c>
      <c r="AB8" s="1" t="s">
        <v>959</v>
      </c>
      <c r="AC8" s="1" t="s">
        <v>960</v>
      </c>
      <c r="AD8" s="1" t="s">
        <v>907</v>
      </c>
      <c r="AE8" s="1" t="s">
        <v>356</v>
      </c>
      <c r="AF8" s="1" t="s">
        <v>356</v>
      </c>
      <c r="AG8" s="1" t="s">
        <v>293</v>
      </c>
      <c r="AH8" s="1" t="s">
        <v>356</v>
      </c>
      <c r="AI8" s="1" t="s">
        <v>961</v>
      </c>
      <c r="AJ8" s="465">
        <v>43056.229596249999</v>
      </c>
    </row>
    <row r="9" spans="1:36">
      <c r="A9" s="1" t="s">
        <v>417</v>
      </c>
      <c r="B9" s="275" t="s">
        <v>578</v>
      </c>
      <c r="C9" s="1" t="s">
        <v>957</v>
      </c>
      <c r="D9" s="1" t="s">
        <v>356</v>
      </c>
      <c r="E9" s="1" t="s">
        <v>292</v>
      </c>
      <c r="F9" s="1" t="s">
        <v>356</v>
      </c>
      <c r="G9" s="1" t="s">
        <v>307</v>
      </c>
      <c r="H9" s="1" t="s">
        <v>291</v>
      </c>
      <c r="I9" s="1" t="s">
        <v>292</v>
      </c>
      <c r="J9" s="1" t="s">
        <v>308</v>
      </c>
      <c r="K9" s="1" t="s">
        <v>307</v>
      </c>
      <c r="L9" s="1" t="s">
        <v>304</v>
      </c>
      <c r="M9" s="1" t="s">
        <v>356</v>
      </c>
      <c r="N9" s="1" t="s">
        <v>308</v>
      </c>
      <c r="O9" s="1" t="s">
        <v>306</v>
      </c>
      <c r="P9" s="1" t="s">
        <v>306</v>
      </c>
      <c r="Q9" s="1" t="s">
        <v>335</v>
      </c>
      <c r="R9" s="1" t="s">
        <v>308</v>
      </c>
      <c r="S9" s="1" t="s">
        <v>336</v>
      </c>
      <c r="T9" s="1" t="s">
        <v>356</v>
      </c>
      <c r="U9" s="1" t="s">
        <v>335</v>
      </c>
      <c r="V9" s="1" t="s">
        <v>306</v>
      </c>
      <c r="W9" s="1" t="s">
        <v>304</v>
      </c>
      <c r="X9" s="1" t="s">
        <v>304</v>
      </c>
      <c r="Y9" s="1" t="s">
        <v>306</v>
      </c>
      <c r="Z9" s="1" t="s">
        <v>336</v>
      </c>
      <c r="AA9" s="1" t="s">
        <v>356</v>
      </c>
      <c r="AB9" s="1" t="s">
        <v>335</v>
      </c>
      <c r="AC9" s="1" t="s">
        <v>336</v>
      </c>
      <c r="AD9" s="1" t="s">
        <v>304</v>
      </c>
      <c r="AE9" s="1" t="s">
        <v>304</v>
      </c>
      <c r="AF9" s="1" t="s">
        <v>336</v>
      </c>
      <c r="AG9" s="1" t="s">
        <v>293</v>
      </c>
      <c r="AH9" s="1" t="s">
        <v>356</v>
      </c>
      <c r="AI9" s="1" t="s">
        <v>335</v>
      </c>
      <c r="AJ9" s="465">
        <v>43056.229596249999</v>
      </c>
    </row>
    <row r="10" spans="1:36">
      <c r="A10" s="1" t="s">
        <v>417</v>
      </c>
      <c r="B10" s="275" t="s">
        <v>610</v>
      </c>
      <c r="C10" s="1" t="s">
        <v>957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611</v>
      </c>
      <c r="C11" s="1" t="s">
        <v>957</v>
      </c>
      <c r="D11" s="1" t="s">
        <v>356</v>
      </c>
      <c r="E11" s="1" t="s">
        <v>293</v>
      </c>
      <c r="F11" s="1" t="s">
        <v>356</v>
      </c>
      <c r="G11" s="1" t="s">
        <v>293</v>
      </c>
      <c r="H11" s="1" t="s">
        <v>293</v>
      </c>
      <c r="I11" s="1" t="s">
        <v>358</v>
      </c>
      <c r="J11" s="1" t="s">
        <v>308</v>
      </c>
      <c r="K11" s="1" t="s">
        <v>320</v>
      </c>
      <c r="L11" s="1" t="s">
        <v>305</v>
      </c>
      <c r="M11" s="1" t="s">
        <v>356</v>
      </c>
      <c r="N11" s="1" t="s">
        <v>293</v>
      </c>
      <c r="O11" s="1" t="s">
        <v>291</v>
      </c>
      <c r="P11" s="1" t="s">
        <v>304</v>
      </c>
      <c r="Q11" s="1" t="s">
        <v>305</v>
      </c>
      <c r="R11" s="1" t="s">
        <v>326</v>
      </c>
      <c r="S11" s="1" t="s">
        <v>341</v>
      </c>
      <c r="T11" s="1" t="s">
        <v>356</v>
      </c>
      <c r="U11" s="1" t="s">
        <v>293</v>
      </c>
      <c r="V11" s="1" t="s">
        <v>288</v>
      </c>
      <c r="W11" s="1" t="s">
        <v>358</v>
      </c>
      <c r="X11" s="1" t="s">
        <v>308</v>
      </c>
      <c r="Y11" s="1" t="s">
        <v>335</v>
      </c>
      <c r="Z11" s="1" t="s">
        <v>305</v>
      </c>
      <c r="AA11" s="1" t="s">
        <v>356</v>
      </c>
      <c r="AB11" s="1" t="s">
        <v>358</v>
      </c>
      <c r="AC11" s="1" t="s">
        <v>358</v>
      </c>
      <c r="AD11" s="1" t="s">
        <v>304</v>
      </c>
      <c r="AE11" s="1" t="s">
        <v>304</v>
      </c>
      <c r="AF11" s="1" t="s">
        <v>289</v>
      </c>
      <c r="AG11" s="1" t="s">
        <v>346</v>
      </c>
      <c r="AH11" s="1" t="s">
        <v>356</v>
      </c>
      <c r="AI11" s="1" t="s">
        <v>305</v>
      </c>
      <c r="AJ11" s="465">
        <v>43056.229596249999</v>
      </c>
    </row>
    <row r="12" spans="1:36">
      <c r="A12" s="1" t="s">
        <v>417</v>
      </c>
      <c r="B12" s="275" t="s">
        <v>914</v>
      </c>
      <c r="C12" s="1" t="s">
        <v>957</v>
      </c>
      <c r="D12" s="1" t="s">
        <v>356</v>
      </c>
      <c r="E12" s="1" t="s">
        <v>293</v>
      </c>
      <c r="F12" s="1" t="s">
        <v>356</v>
      </c>
      <c r="G12" s="1" t="s">
        <v>293</v>
      </c>
      <c r="H12" s="1" t="s">
        <v>293</v>
      </c>
      <c r="I12" s="1" t="s">
        <v>293</v>
      </c>
      <c r="J12" s="1" t="s">
        <v>293</v>
      </c>
      <c r="K12" s="1" t="s">
        <v>293</v>
      </c>
      <c r="L12" s="1" t="s">
        <v>293</v>
      </c>
      <c r="M12" s="1" t="s">
        <v>356</v>
      </c>
      <c r="N12" s="1" t="s">
        <v>293</v>
      </c>
      <c r="O12" s="1" t="s">
        <v>293</v>
      </c>
      <c r="P12" s="1" t="s">
        <v>293</v>
      </c>
      <c r="Q12" s="1" t="s">
        <v>293</v>
      </c>
      <c r="R12" s="1" t="s">
        <v>293</v>
      </c>
      <c r="S12" s="1" t="s">
        <v>293</v>
      </c>
      <c r="T12" s="1" t="s">
        <v>356</v>
      </c>
      <c r="U12" s="1" t="s">
        <v>293</v>
      </c>
      <c r="V12" s="1" t="s">
        <v>293</v>
      </c>
      <c r="W12" s="1" t="s">
        <v>293</v>
      </c>
      <c r="X12" s="1" t="s">
        <v>293</v>
      </c>
      <c r="Y12" s="1" t="s">
        <v>293</v>
      </c>
      <c r="Z12" s="1" t="s">
        <v>293</v>
      </c>
      <c r="AA12" s="1" t="s">
        <v>356</v>
      </c>
      <c r="AB12" s="1" t="s">
        <v>293</v>
      </c>
      <c r="AC12" s="1" t="s">
        <v>293</v>
      </c>
      <c r="AD12" s="1" t="s">
        <v>293</v>
      </c>
      <c r="AE12" s="1" t="s">
        <v>293</v>
      </c>
      <c r="AF12" s="1" t="s">
        <v>293</v>
      </c>
      <c r="AG12" s="1" t="s">
        <v>293</v>
      </c>
      <c r="AH12" s="1" t="s">
        <v>356</v>
      </c>
      <c r="AI12" s="1" t="s">
        <v>293</v>
      </c>
      <c r="AJ12" s="465">
        <v>43056.229596249999</v>
      </c>
    </row>
    <row r="13" spans="1:36">
      <c r="A13" s="1" t="s">
        <v>417</v>
      </c>
      <c r="B13" s="275" t="s">
        <v>915</v>
      </c>
      <c r="C13" s="1" t="s">
        <v>957</v>
      </c>
      <c r="D13" s="1" t="s">
        <v>356</v>
      </c>
      <c r="E13" s="1" t="s">
        <v>293</v>
      </c>
      <c r="F13" s="1" t="s">
        <v>356</v>
      </c>
      <c r="G13" s="1" t="s">
        <v>293</v>
      </c>
      <c r="H13" s="1" t="s">
        <v>293</v>
      </c>
      <c r="I13" s="1" t="s">
        <v>293</v>
      </c>
      <c r="J13" s="1" t="s">
        <v>368</v>
      </c>
      <c r="K13" s="1" t="s">
        <v>293</v>
      </c>
      <c r="L13" s="1" t="s">
        <v>293</v>
      </c>
      <c r="M13" s="1" t="s">
        <v>356</v>
      </c>
      <c r="N13" s="1" t="s">
        <v>916</v>
      </c>
      <c r="O13" s="1" t="s">
        <v>309</v>
      </c>
      <c r="P13" s="1" t="s">
        <v>293</v>
      </c>
      <c r="Q13" s="1" t="s">
        <v>917</v>
      </c>
      <c r="R13" s="1" t="s">
        <v>909</v>
      </c>
      <c r="S13" s="1" t="s">
        <v>918</v>
      </c>
      <c r="T13" s="1" t="s">
        <v>356</v>
      </c>
      <c r="U13" s="1" t="s">
        <v>905</v>
      </c>
      <c r="V13" s="1" t="s">
        <v>920</v>
      </c>
      <c r="W13" s="1" t="s">
        <v>357</v>
      </c>
      <c r="X13" s="1" t="s">
        <v>922</v>
      </c>
      <c r="Y13" s="1" t="s">
        <v>918</v>
      </c>
      <c r="Z13" s="1" t="s">
        <v>906</v>
      </c>
      <c r="AA13" s="1" t="s">
        <v>356</v>
      </c>
      <c r="AB13" s="1" t="s">
        <v>907</v>
      </c>
      <c r="AC13" s="1" t="s">
        <v>902</v>
      </c>
      <c r="AD13" s="1" t="s">
        <v>924</v>
      </c>
      <c r="AE13" s="1" t="s">
        <v>925</v>
      </c>
      <c r="AF13" s="1" t="s">
        <v>958</v>
      </c>
      <c r="AG13" s="1" t="s">
        <v>293</v>
      </c>
      <c r="AH13" s="1" t="s">
        <v>356</v>
      </c>
      <c r="AI13" s="1" t="s">
        <v>962</v>
      </c>
      <c r="AJ13" s="465">
        <v>43056.229596249999</v>
      </c>
    </row>
    <row r="14" spans="1:36">
      <c r="A14" s="1" t="s">
        <v>417</v>
      </c>
      <c r="B14" s="275" t="s">
        <v>928</v>
      </c>
      <c r="C14" s="1" t="s">
        <v>957</v>
      </c>
      <c r="D14" s="1" t="s">
        <v>356</v>
      </c>
      <c r="E14" s="1" t="s">
        <v>319</v>
      </c>
      <c r="F14" s="1" t="s">
        <v>356</v>
      </c>
      <c r="G14" s="1" t="s">
        <v>346</v>
      </c>
      <c r="H14" s="1" t="s">
        <v>347</v>
      </c>
      <c r="I14" s="1" t="s">
        <v>311</v>
      </c>
      <c r="J14" s="1" t="s">
        <v>323</v>
      </c>
      <c r="K14" s="1" t="s">
        <v>290</v>
      </c>
      <c r="L14" s="1" t="s">
        <v>346</v>
      </c>
      <c r="M14" s="1" t="s">
        <v>356</v>
      </c>
      <c r="N14" s="1" t="s">
        <v>325</v>
      </c>
      <c r="O14" s="1" t="s">
        <v>320</v>
      </c>
      <c r="P14" s="1" t="s">
        <v>338</v>
      </c>
      <c r="Q14" s="1" t="s">
        <v>289</v>
      </c>
      <c r="R14" s="1" t="s">
        <v>286</v>
      </c>
      <c r="S14" s="1" t="s">
        <v>286</v>
      </c>
      <c r="T14" s="1" t="s">
        <v>356</v>
      </c>
      <c r="U14" s="1" t="s">
        <v>349</v>
      </c>
      <c r="V14" s="1" t="s">
        <v>321</v>
      </c>
      <c r="W14" s="1" t="s">
        <v>358</v>
      </c>
      <c r="X14" s="1" t="s">
        <v>322</v>
      </c>
      <c r="Y14" s="1" t="s">
        <v>347</v>
      </c>
      <c r="Z14" s="1" t="s">
        <v>331</v>
      </c>
      <c r="AA14" s="1" t="s">
        <v>356</v>
      </c>
      <c r="AB14" s="1" t="s">
        <v>288</v>
      </c>
      <c r="AC14" s="1" t="s">
        <v>341</v>
      </c>
      <c r="AD14" s="1" t="s">
        <v>290</v>
      </c>
      <c r="AE14" s="1" t="s">
        <v>338</v>
      </c>
      <c r="AF14" s="1" t="s">
        <v>326</v>
      </c>
      <c r="AG14" s="1" t="s">
        <v>288</v>
      </c>
      <c r="AH14" s="1" t="s">
        <v>356</v>
      </c>
      <c r="AI14" s="1" t="s">
        <v>333</v>
      </c>
      <c r="AJ14" s="465">
        <v>43056.229596249999</v>
      </c>
    </row>
    <row r="15" spans="1:36">
      <c r="A15" s="1" t="s">
        <v>417</v>
      </c>
      <c r="B15" s="275" t="s">
        <v>929</v>
      </c>
      <c r="C15" s="1" t="s">
        <v>957</v>
      </c>
      <c r="D15" s="1" t="s">
        <v>356</v>
      </c>
      <c r="E15" s="1" t="s">
        <v>295</v>
      </c>
      <c r="F15" s="1" t="s">
        <v>356</v>
      </c>
      <c r="G15" s="1" t="s">
        <v>930</v>
      </c>
      <c r="H15" s="1" t="s">
        <v>931</v>
      </c>
      <c r="I15" s="1" t="s">
        <v>364</v>
      </c>
      <c r="J15" s="1" t="s">
        <v>939</v>
      </c>
      <c r="K15" s="1" t="s">
        <v>374</v>
      </c>
      <c r="L15" s="1" t="s">
        <v>293</v>
      </c>
      <c r="M15" s="1" t="s">
        <v>356</v>
      </c>
      <c r="N15" s="1" t="s">
        <v>293</v>
      </c>
      <c r="O15" s="1" t="s">
        <v>330</v>
      </c>
      <c r="P15" s="1" t="s">
        <v>343</v>
      </c>
      <c r="Q15" s="1" t="s">
        <v>293</v>
      </c>
      <c r="R15" s="1" t="s">
        <v>290</v>
      </c>
      <c r="S15" s="1" t="s">
        <v>933</v>
      </c>
      <c r="T15" s="1" t="s">
        <v>356</v>
      </c>
      <c r="U15" s="1" t="s">
        <v>352</v>
      </c>
      <c r="V15" s="1" t="s">
        <v>934</v>
      </c>
      <c r="W15" s="1" t="s">
        <v>935</v>
      </c>
      <c r="X15" s="1" t="s">
        <v>936</v>
      </c>
      <c r="Y15" s="1" t="s">
        <v>937</v>
      </c>
      <c r="Z15" s="1" t="s">
        <v>938</v>
      </c>
      <c r="AA15" s="1" t="s">
        <v>356</v>
      </c>
      <c r="AB15" s="1" t="s">
        <v>286</v>
      </c>
      <c r="AC15" s="1" t="s">
        <v>329</v>
      </c>
      <c r="AD15" s="1" t="s">
        <v>352</v>
      </c>
      <c r="AE15" s="1" t="s">
        <v>360</v>
      </c>
      <c r="AF15" s="1" t="s">
        <v>939</v>
      </c>
      <c r="AG15" s="1" t="s">
        <v>315</v>
      </c>
      <c r="AH15" s="1" t="s">
        <v>356</v>
      </c>
      <c r="AI15" s="1" t="s">
        <v>360</v>
      </c>
      <c r="AJ15" s="465">
        <v>43056.229596249999</v>
      </c>
    </row>
    <row r="16" spans="1:36">
      <c r="A16" s="1" t="s">
        <v>417</v>
      </c>
      <c r="B16" s="275" t="s">
        <v>940</v>
      </c>
      <c r="C16" s="1" t="s">
        <v>957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963</v>
      </c>
      <c r="C17" s="1" t="s">
        <v>957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964</v>
      </c>
      <c r="C18" s="1" t="s">
        <v>957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965</v>
      </c>
      <c r="C19" s="1" t="s">
        <v>957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966</v>
      </c>
      <c r="C20" s="1" t="s">
        <v>957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967</v>
      </c>
      <c r="C21" s="1" t="s">
        <v>957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968</v>
      </c>
      <c r="C22" s="466" t="s">
        <v>957</v>
      </c>
      <c r="D22" s="466" t="s">
        <v>356</v>
      </c>
      <c r="E22" s="466" t="s">
        <v>323</v>
      </c>
      <c r="F22" s="466" t="s">
        <v>356</v>
      </c>
      <c r="G22" s="466" t="s">
        <v>313</v>
      </c>
      <c r="H22" s="466" t="s">
        <v>296</v>
      </c>
      <c r="I22" s="466" t="s">
        <v>969</v>
      </c>
      <c r="J22" s="466" t="s">
        <v>970</v>
      </c>
      <c r="K22" s="466" t="s">
        <v>970</v>
      </c>
      <c r="L22" s="466" t="s">
        <v>971</v>
      </c>
      <c r="M22" s="466" t="s">
        <v>356</v>
      </c>
      <c r="N22" s="466" t="s">
        <v>972</v>
      </c>
      <c r="O22" s="466" t="s">
        <v>973</v>
      </c>
      <c r="P22" s="466" t="s">
        <v>355</v>
      </c>
      <c r="Q22" s="466" t="s">
        <v>317</v>
      </c>
      <c r="R22" s="466" t="s">
        <v>349</v>
      </c>
      <c r="S22" s="466" t="s">
        <v>311</v>
      </c>
      <c r="T22" s="466" t="s">
        <v>356</v>
      </c>
      <c r="U22" s="466" t="s">
        <v>369</v>
      </c>
      <c r="V22" s="466" t="s">
        <v>974</v>
      </c>
      <c r="W22" s="466" t="s">
        <v>352</v>
      </c>
      <c r="X22" s="466" t="s">
        <v>374</v>
      </c>
      <c r="Y22" s="466" t="s">
        <v>932</v>
      </c>
      <c r="Z22" s="466" t="s">
        <v>314</v>
      </c>
      <c r="AA22" s="466" t="s">
        <v>356</v>
      </c>
      <c r="AB22" s="466" t="s">
        <v>975</v>
      </c>
      <c r="AC22" s="466" t="s">
        <v>354</v>
      </c>
      <c r="AD22" s="466" t="s">
        <v>297</v>
      </c>
      <c r="AE22" s="466" t="s">
        <v>309</v>
      </c>
      <c r="AF22" s="466" t="s">
        <v>374</v>
      </c>
      <c r="AG22" s="466" t="s">
        <v>334</v>
      </c>
      <c r="AH22" s="466" t="s">
        <v>356</v>
      </c>
      <c r="AI22" s="466" t="s">
        <v>976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6.5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977</v>
      </c>
    </row>
    <row r="2" spans="1:35">
      <c r="A2" s="1" t="s">
        <v>417</v>
      </c>
      <c r="B2" s="275" t="s">
        <v>453</v>
      </c>
      <c r="C2" s="1" t="s">
        <v>547</v>
      </c>
      <c r="D2" s="1" t="s">
        <v>978</v>
      </c>
      <c r="E2" s="1" t="s">
        <v>547</v>
      </c>
      <c r="F2" s="1" t="s">
        <v>979</v>
      </c>
      <c r="G2" s="1" t="s">
        <v>980</v>
      </c>
      <c r="H2" s="1" t="s">
        <v>981</v>
      </c>
      <c r="I2" s="1"/>
      <c r="J2" s="1" t="s">
        <v>982</v>
      </c>
      <c r="K2" s="1" t="s">
        <v>983</v>
      </c>
      <c r="L2" s="1" t="s">
        <v>547</v>
      </c>
      <c r="M2" s="1" t="s">
        <v>984</v>
      </c>
      <c r="N2" s="1" t="s">
        <v>985</v>
      </c>
      <c r="O2" s="1" t="s">
        <v>982</v>
      </c>
      <c r="P2" s="1" t="s">
        <v>986</v>
      </c>
      <c r="Q2" s="1" t="s">
        <v>987</v>
      </c>
      <c r="R2" s="1" t="s">
        <v>988</v>
      </c>
      <c r="S2" s="1" t="s">
        <v>547</v>
      </c>
      <c r="T2" s="1" t="s">
        <v>989</v>
      </c>
      <c r="U2" s="1" t="s">
        <v>990</v>
      </c>
      <c r="V2" s="1" t="s">
        <v>987</v>
      </c>
      <c r="W2" s="1" t="s">
        <v>991</v>
      </c>
      <c r="X2" s="1" t="s">
        <v>992</v>
      </c>
      <c r="Y2" s="1" t="s">
        <v>993</v>
      </c>
      <c r="Z2" s="1" t="s">
        <v>547</v>
      </c>
      <c r="AA2" s="1" t="s">
        <v>994</v>
      </c>
      <c r="AB2" s="1" t="s">
        <v>995</v>
      </c>
      <c r="AC2" s="1" t="s">
        <v>978</v>
      </c>
      <c r="AD2" s="1" t="s">
        <v>996</v>
      </c>
      <c r="AE2" s="1" t="s">
        <v>997</v>
      </c>
      <c r="AF2" s="1" t="s">
        <v>998</v>
      </c>
      <c r="AG2" s="1" t="s">
        <v>547</v>
      </c>
      <c r="AH2" s="1" t="s">
        <v>999</v>
      </c>
      <c r="AI2" s="465">
        <v>43056.2297915741</v>
      </c>
    </row>
    <row r="3" spans="1:35">
      <c r="A3" s="1" t="s">
        <v>417</v>
      </c>
      <c r="B3" s="275" t="s">
        <v>487</v>
      </c>
      <c r="C3" s="1" t="s">
        <v>547</v>
      </c>
      <c r="D3" s="1" t="s">
        <v>1000</v>
      </c>
      <c r="E3" s="1" t="s">
        <v>547</v>
      </c>
      <c r="F3" s="1" t="s">
        <v>1001</v>
      </c>
      <c r="G3" s="1" t="s">
        <v>1002</v>
      </c>
      <c r="H3" s="1" t="s">
        <v>1003</v>
      </c>
      <c r="I3" s="1"/>
      <c r="J3" s="1" t="s">
        <v>1004</v>
      </c>
      <c r="K3" s="1" t="s">
        <v>1005</v>
      </c>
      <c r="L3" s="1" t="s">
        <v>547</v>
      </c>
      <c r="M3" s="1" t="s">
        <v>1006</v>
      </c>
      <c r="N3" s="1" t="s">
        <v>1007</v>
      </c>
      <c r="O3" s="1" t="s">
        <v>1003</v>
      </c>
      <c r="P3" s="1" t="s">
        <v>1008</v>
      </c>
      <c r="Q3" s="1" t="s">
        <v>1009</v>
      </c>
      <c r="R3" s="1" t="s">
        <v>1010</v>
      </c>
      <c r="S3" s="1" t="s">
        <v>547</v>
      </c>
      <c r="T3" s="1" t="s">
        <v>1011</v>
      </c>
      <c r="U3" s="1" t="s">
        <v>1012</v>
      </c>
      <c r="V3" s="1" t="s">
        <v>1013</v>
      </c>
      <c r="W3" s="1" t="s">
        <v>1014</v>
      </c>
      <c r="X3" s="1" t="s">
        <v>1014</v>
      </c>
      <c r="Y3" s="1" t="s">
        <v>1015</v>
      </c>
      <c r="Z3" s="1" t="s">
        <v>547</v>
      </c>
      <c r="AA3" s="1" t="s">
        <v>1016</v>
      </c>
      <c r="AB3" s="1" t="s">
        <v>1017</v>
      </c>
      <c r="AC3" s="1" t="s">
        <v>1003</v>
      </c>
      <c r="AD3" s="1" t="s">
        <v>1017</v>
      </c>
      <c r="AE3" s="1" t="s">
        <v>1003</v>
      </c>
      <c r="AF3" s="1" t="s">
        <v>1018</v>
      </c>
      <c r="AG3" s="1" t="s">
        <v>547</v>
      </c>
      <c r="AH3" s="1" t="s">
        <v>1019</v>
      </c>
      <c r="AI3" s="465">
        <v>43056.2297915741</v>
      </c>
    </row>
    <row r="4" spans="1:35">
      <c r="A4" s="1" t="s">
        <v>417</v>
      </c>
      <c r="B4" s="275" t="s">
        <v>520</v>
      </c>
      <c r="C4" s="1" t="s">
        <v>547</v>
      </c>
      <c r="D4" s="1" t="s">
        <v>547</v>
      </c>
      <c r="E4" s="1" t="s">
        <v>547</v>
      </c>
      <c r="F4" s="1" t="s">
        <v>547</v>
      </c>
      <c r="G4" s="1" t="s">
        <v>547</v>
      </c>
      <c r="H4" s="1" t="s">
        <v>547</v>
      </c>
      <c r="I4" s="1"/>
      <c r="J4" s="1" t="s">
        <v>547</v>
      </c>
      <c r="K4" s="1" t="s">
        <v>1020</v>
      </c>
      <c r="L4" s="1" t="s">
        <v>547</v>
      </c>
      <c r="M4" s="1" t="s">
        <v>547</v>
      </c>
      <c r="N4" s="1" t="s">
        <v>1021</v>
      </c>
      <c r="O4" s="1" t="s">
        <v>1022</v>
      </c>
      <c r="P4" s="1" t="s">
        <v>547</v>
      </c>
      <c r="Q4" s="1" t="s">
        <v>547</v>
      </c>
      <c r="R4" s="1" t="s">
        <v>547</v>
      </c>
      <c r="S4" s="1" t="s">
        <v>547</v>
      </c>
      <c r="T4" s="1" t="s">
        <v>547</v>
      </c>
      <c r="U4" s="1" t="s">
        <v>547</v>
      </c>
      <c r="V4" s="1" t="s">
        <v>547</v>
      </c>
      <c r="W4" s="1" t="s">
        <v>547</v>
      </c>
      <c r="X4" s="1" t="s">
        <v>547</v>
      </c>
      <c r="Y4" s="1" t="s">
        <v>1021</v>
      </c>
      <c r="Z4" s="1" t="s">
        <v>547</v>
      </c>
      <c r="AA4" s="1" t="s">
        <v>547</v>
      </c>
      <c r="AB4" s="1" t="s">
        <v>1021</v>
      </c>
      <c r="AC4" s="1" t="s">
        <v>547</v>
      </c>
      <c r="AD4" s="1" t="s">
        <v>547</v>
      </c>
      <c r="AE4" s="1" t="s">
        <v>547</v>
      </c>
      <c r="AF4" s="1" t="s">
        <v>547</v>
      </c>
      <c r="AG4" s="1" t="s">
        <v>547</v>
      </c>
      <c r="AH4" s="1" t="s">
        <v>1023</v>
      </c>
      <c r="AI4" s="465">
        <v>43056.2297915741</v>
      </c>
    </row>
    <row r="5" spans="1:35">
      <c r="A5" s="1" t="s">
        <v>417</v>
      </c>
      <c r="B5" s="275" t="s">
        <v>549</v>
      </c>
      <c r="C5" s="1" t="s">
        <v>547</v>
      </c>
      <c r="D5" s="1" t="s">
        <v>547</v>
      </c>
      <c r="E5" s="1" t="s">
        <v>547</v>
      </c>
      <c r="F5" s="1" t="s">
        <v>1021</v>
      </c>
      <c r="G5" s="1" t="s">
        <v>1024</v>
      </c>
      <c r="H5" s="1" t="s">
        <v>547</v>
      </c>
      <c r="I5" s="1"/>
      <c r="J5" s="1" t="s">
        <v>547</v>
      </c>
      <c r="K5" s="1" t="s">
        <v>1021</v>
      </c>
      <c r="L5" s="1" t="s">
        <v>547</v>
      </c>
      <c r="M5" s="1" t="s">
        <v>547</v>
      </c>
      <c r="N5" s="1" t="s">
        <v>547</v>
      </c>
      <c r="O5" s="1" t="s">
        <v>1021</v>
      </c>
      <c r="P5" s="1" t="s">
        <v>1024</v>
      </c>
      <c r="Q5" s="1" t="s">
        <v>1021</v>
      </c>
      <c r="R5" s="1" t="s">
        <v>1020</v>
      </c>
      <c r="S5" s="1" t="s">
        <v>547</v>
      </c>
      <c r="T5" s="1" t="s">
        <v>1021</v>
      </c>
      <c r="U5" s="1" t="s">
        <v>1021</v>
      </c>
      <c r="V5" s="1" t="s">
        <v>547</v>
      </c>
      <c r="W5" s="1" t="s">
        <v>1024</v>
      </c>
      <c r="X5" s="1" t="s">
        <v>547</v>
      </c>
      <c r="Y5" s="1" t="s">
        <v>1020</v>
      </c>
      <c r="Z5" s="1" t="s">
        <v>547</v>
      </c>
      <c r="AA5" s="1" t="s">
        <v>1025</v>
      </c>
      <c r="AB5" s="1" t="s">
        <v>1020</v>
      </c>
      <c r="AC5" s="1" t="s">
        <v>1024</v>
      </c>
      <c r="AD5" s="1" t="s">
        <v>1021</v>
      </c>
      <c r="AE5" s="1" t="s">
        <v>547</v>
      </c>
      <c r="AF5" s="1" t="s">
        <v>547</v>
      </c>
      <c r="AG5" s="1" t="s">
        <v>547</v>
      </c>
      <c r="AH5" s="1" t="s">
        <v>1026</v>
      </c>
      <c r="AI5" s="465">
        <v>43056.2297915741</v>
      </c>
    </row>
    <row r="6" spans="1:35">
      <c r="A6" s="1" t="s">
        <v>417</v>
      </c>
      <c r="B6" s="275" t="s">
        <v>578</v>
      </c>
      <c r="C6" s="1" t="s">
        <v>547</v>
      </c>
      <c r="D6" s="1" t="s">
        <v>1021</v>
      </c>
      <c r="E6" s="1" t="s">
        <v>547</v>
      </c>
      <c r="F6" s="1" t="s">
        <v>1027</v>
      </c>
      <c r="G6" s="1" t="s">
        <v>1028</v>
      </c>
      <c r="H6" s="1" t="s">
        <v>1020</v>
      </c>
      <c r="I6" s="1"/>
      <c r="J6" s="1" t="s">
        <v>1027</v>
      </c>
      <c r="K6" s="1" t="s">
        <v>1025</v>
      </c>
      <c r="L6" s="1" t="s">
        <v>547</v>
      </c>
      <c r="M6" s="1" t="s">
        <v>1027</v>
      </c>
      <c r="N6" s="1" t="s">
        <v>1029</v>
      </c>
      <c r="O6" s="1" t="s">
        <v>1030</v>
      </c>
      <c r="P6" s="1" t="s">
        <v>1031</v>
      </c>
      <c r="Q6" s="1" t="s">
        <v>1032</v>
      </c>
      <c r="R6" s="1" t="s">
        <v>1024</v>
      </c>
      <c r="S6" s="1" t="s">
        <v>547</v>
      </c>
      <c r="T6" s="1" t="s">
        <v>1030</v>
      </c>
      <c r="U6" s="1" t="s">
        <v>1032</v>
      </c>
      <c r="V6" s="1" t="s">
        <v>1025</v>
      </c>
      <c r="W6" s="1" t="s">
        <v>1025</v>
      </c>
      <c r="X6" s="1" t="s">
        <v>1022</v>
      </c>
      <c r="Y6" s="1" t="s">
        <v>1020</v>
      </c>
      <c r="Z6" s="1" t="s">
        <v>547</v>
      </c>
      <c r="AA6" s="1" t="s">
        <v>1032</v>
      </c>
      <c r="AB6" s="1" t="s">
        <v>1033</v>
      </c>
      <c r="AC6" s="1" t="s">
        <v>1025</v>
      </c>
      <c r="AD6" s="1" t="s">
        <v>1034</v>
      </c>
      <c r="AE6" s="1" t="s">
        <v>1024</v>
      </c>
      <c r="AF6" s="1" t="s">
        <v>547</v>
      </c>
      <c r="AG6" s="1" t="s">
        <v>547</v>
      </c>
      <c r="AH6" s="1" t="s">
        <v>1035</v>
      </c>
      <c r="AI6" s="465">
        <v>43056.2297915741</v>
      </c>
    </row>
    <row r="7" spans="1:35">
      <c r="A7" s="1" t="s">
        <v>417</v>
      </c>
      <c r="B7" s="275" t="s">
        <v>610</v>
      </c>
      <c r="C7" s="1" t="s">
        <v>547</v>
      </c>
      <c r="D7" s="1" t="s">
        <v>547</v>
      </c>
      <c r="E7" s="1" t="s">
        <v>547</v>
      </c>
      <c r="F7" s="1" t="s">
        <v>547</v>
      </c>
      <c r="G7" s="1" t="s">
        <v>547</v>
      </c>
      <c r="H7" s="1" t="s">
        <v>547</v>
      </c>
      <c r="I7" s="1"/>
      <c r="J7" s="1" t="s">
        <v>547</v>
      </c>
      <c r="K7" s="1" t="s">
        <v>547</v>
      </c>
      <c r="L7" s="1" t="s">
        <v>547</v>
      </c>
      <c r="M7" s="1" t="s">
        <v>547</v>
      </c>
      <c r="N7" s="1" t="s">
        <v>547</v>
      </c>
      <c r="O7" s="1" t="s">
        <v>547</v>
      </c>
      <c r="P7" s="1" t="s">
        <v>547</v>
      </c>
      <c r="Q7" s="1" t="s">
        <v>547</v>
      </c>
      <c r="R7" s="1" t="s">
        <v>547</v>
      </c>
      <c r="S7" s="1" t="s">
        <v>547</v>
      </c>
      <c r="T7" s="1" t="s">
        <v>547</v>
      </c>
      <c r="U7" s="1" t="s">
        <v>547</v>
      </c>
      <c r="V7" s="1" t="s">
        <v>547</v>
      </c>
      <c r="W7" s="1" t="s">
        <v>547</v>
      </c>
      <c r="X7" s="1" t="s">
        <v>547</v>
      </c>
      <c r="Y7" s="1" t="s">
        <v>547</v>
      </c>
      <c r="Z7" s="1" t="s">
        <v>547</v>
      </c>
      <c r="AA7" s="1" t="s">
        <v>547</v>
      </c>
      <c r="AB7" s="1" t="s">
        <v>547</v>
      </c>
      <c r="AC7" s="1" t="s">
        <v>547</v>
      </c>
      <c r="AD7" s="1" t="s">
        <v>547</v>
      </c>
      <c r="AE7" s="1" t="s">
        <v>547</v>
      </c>
      <c r="AF7" s="1" t="s">
        <v>547</v>
      </c>
      <c r="AG7" s="1" t="s">
        <v>547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611</v>
      </c>
      <c r="C8" s="1" t="s">
        <v>547</v>
      </c>
      <c r="D8" s="1" t="s">
        <v>547</v>
      </c>
      <c r="E8" s="1" t="s">
        <v>547</v>
      </c>
      <c r="F8" s="1" t="s">
        <v>1021</v>
      </c>
      <c r="G8" s="1" t="s">
        <v>547</v>
      </c>
      <c r="H8" s="1" t="s">
        <v>1034</v>
      </c>
      <c r="I8" s="1"/>
      <c r="J8" s="1" t="s">
        <v>1033</v>
      </c>
      <c r="K8" s="1" t="s">
        <v>1020</v>
      </c>
      <c r="L8" s="1" t="s">
        <v>547</v>
      </c>
      <c r="M8" s="1" t="s">
        <v>547</v>
      </c>
      <c r="N8" s="1" t="s">
        <v>1020</v>
      </c>
      <c r="O8" s="1" t="s">
        <v>1024</v>
      </c>
      <c r="P8" s="1" t="s">
        <v>1020</v>
      </c>
      <c r="Q8" s="1" t="s">
        <v>1031</v>
      </c>
      <c r="R8" s="1" t="s">
        <v>1034</v>
      </c>
      <c r="S8" s="1" t="s">
        <v>547</v>
      </c>
      <c r="T8" s="1" t="s">
        <v>1021</v>
      </c>
      <c r="U8" s="1" t="s">
        <v>1034</v>
      </c>
      <c r="V8" s="1" t="s">
        <v>1020</v>
      </c>
      <c r="W8" s="1" t="s">
        <v>1024</v>
      </c>
      <c r="X8" s="1" t="s">
        <v>1021</v>
      </c>
      <c r="Y8" s="1" t="s">
        <v>1020</v>
      </c>
      <c r="Z8" s="1" t="s">
        <v>547</v>
      </c>
      <c r="AA8" s="1" t="s">
        <v>1034</v>
      </c>
      <c r="AB8" s="1" t="s">
        <v>1020</v>
      </c>
      <c r="AC8" s="1" t="s">
        <v>1021</v>
      </c>
      <c r="AD8" s="1" t="s">
        <v>1021</v>
      </c>
      <c r="AE8" s="1" t="s">
        <v>1029</v>
      </c>
      <c r="AF8" s="1" t="s">
        <v>1032</v>
      </c>
      <c r="AG8" s="1" t="s">
        <v>547</v>
      </c>
      <c r="AH8" s="1" t="s">
        <v>1036</v>
      </c>
      <c r="AI8" s="465">
        <v>43056.2297915741</v>
      </c>
    </row>
    <row r="9" spans="1:35">
      <c r="A9" s="1" t="s">
        <v>417</v>
      </c>
      <c r="B9" s="275" t="s">
        <v>911</v>
      </c>
      <c r="C9" s="1" t="s">
        <v>547</v>
      </c>
      <c r="D9" s="1" t="s">
        <v>547</v>
      </c>
      <c r="E9" s="1" t="s">
        <v>547</v>
      </c>
      <c r="F9" s="1" t="s">
        <v>547</v>
      </c>
      <c r="G9" s="1" t="s">
        <v>547</v>
      </c>
      <c r="H9" s="1" t="s">
        <v>547</v>
      </c>
      <c r="I9" s="1"/>
      <c r="J9" s="1" t="s">
        <v>547</v>
      </c>
      <c r="K9" s="1" t="s">
        <v>1021</v>
      </c>
      <c r="L9" s="1" t="s">
        <v>547</v>
      </c>
      <c r="M9" s="1" t="s">
        <v>547</v>
      </c>
      <c r="N9" s="1" t="s">
        <v>1021</v>
      </c>
      <c r="O9" s="1" t="s">
        <v>547</v>
      </c>
      <c r="P9" s="1" t="s">
        <v>1021</v>
      </c>
      <c r="Q9" s="1" t="s">
        <v>547</v>
      </c>
      <c r="R9" s="1" t="s">
        <v>547</v>
      </c>
      <c r="S9" s="1" t="s">
        <v>547</v>
      </c>
      <c r="T9" s="1" t="s">
        <v>547</v>
      </c>
      <c r="U9" s="1" t="s">
        <v>547</v>
      </c>
      <c r="V9" s="1" t="s">
        <v>547</v>
      </c>
      <c r="W9" s="1" t="s">
        <v>547</v>
      </c>
      <c r="X9" s="1" t="s">
        <v>547</v>
      </c>
      <c r="Y9" s="1" t="s">
        <v>547</v>
      </c>
      <c r="Z9" s="1" t="s">
        <v>547</v>
      </c>
      <c r="AA9" s="1" t="s">
        <v>547</v>
      </c>
      <c r="AB9" s="1" t="s">
        <v>547</v>
      </c>
      <c r="AC9" s="1" t="s">
        <v>547</v>
      </c>
      <c r="AD9" s="1" t="s">
        <v>547</v>
      </c>
      <c r="AE9" s="1" t="s">
        <v>1021</v>
      </c>
      <c r="AF9" s="1" t="s">
        <v>547</v>
      </c>
      <c r="AG9" s="1" t="s">
        <v>547</v>
      </c>
      <c r="AH9" s="1" t="s">
        <v>956</v>
      </c>
      <c r="AI9" s="465">
        <v>43056.2297915741</v>
      </c>
    </row>
    <row r="10" spans="1:35">
      <c r="A10" s="1" t="s">
        <v>417</v>
      </c>
      <c r="B10" s="275" t="s">
        <v>914</v>
      </c>
      <c r="C10" s="1" t="s">
        <v>547</v>
      </c>
      <c r="D10" s="1" t="s">
        <v>547</v>
      </c>
      <c r="E10" s="1" t="s">
        <v>547</v>
      </c>
      <c r="F10" s="1" t="s">
        <v>547</v>
      </c>
      <c r="G10" s="1" t="s">
        <v>547</v>
      </c>
      <c r="H10" s="1" t="s">
        <v>547</v>
      </c>
      <c r="I10" s="1"/>
      <c r="J10" s="1" t="s">
        <v>547</v>
      </c>
      <c r="K10" s="1" t="s">
        <v>547</v>
      </c>
      <c r="L10" s="1" t="s">
        <v>547</v>
      </c>
      <c r="M10" s="1" t="s">
        <v>547</v>
      </c>
      <c r="N10" s="1" t="s">
        <v>547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915</v>
      </c>
      <c r="C11" s="1" t="s">
        <v>547</v>
      </c>
      <c r="D11" s="1" t="s">
        <v>547</v>
      </c>
      <c r="E11" s="1" t="s">
        <v>547</v>
      </c>
      <c r="F11" s="1" t="s">
        <v>547</v>
      </c>
      <c r="G11" s="1" t="s">
        <v>547</v>
      </c>
      <c r="H11" s="1" t="s">
        <v>547</v>
      </c>
      <c r="I11" s="1"/>
      <c r="J11" s="1" t="s">
        <v>547</v>
      </c>
      <c r="K11" s="1" t="s">
        <v>547</v>
      </c>
      <c r="L11" s="1" t="s">
        <v>547</v>
      </c>
      <c r="M11" s="1" t="s">
        <v>1021</v>
      </c>
      <c r="N11" s="1" t="s">
        <v>1021</v>
      </c>
      <c r="O11" s="1" t="s">
        <v>547</v>
      </c>
      <c r="P11" s="1" t="s">
        <v>1021</v>
      </c>
      <c r="Q11" s="1" t="s">
        <v>1021</v>
      </c>
      <c r="R11" s="1" t="s">
        <v>1020</v>
      </c>
      <c r="S11" s="1" t="s">
        <v>547</v>
      </c>
      <c r="T11" s="1" t="s">
        <v>1034</v>
      </c>
      <c r="U11" s="1" t="s">
        <v>1034</v>
      </c>
      <c r="V11" s="1" t="s">
        <v>1034</v>
      </c>
      <c r="W11" s="1" t="s">
        <v>1025</v>
      </c>
      <c r="X11" s="1" t="s">
        <v>1020</v>
      </c>
      <c r="Y11" s="1" t="s">
        <v>1021</v>
      </c>
      <c r="Z11" s="1" t="s">
        <v>547</v>
      </c>
      <c r="AA11" s="1" t="s">
        <v>1025</v>
      </c>
      <c r="AB11" s="1" t="s">
        <v>1020</v>
      </c>
      <c r="AC11" s="1" t="s">
        <v>1034</v>
      </c>
      <c r="AD11" s="1" t="s">
        <v>1020</v>
      </c>
      <c r="AE11" s="1" t="s">
        <v>1025</v>
      </c>
      <c r="AF11" s="1" t="s">
        <v>547</v>
      </c>
      <c r="AG11" s="1" t="s">
        <v>547</v>
      </c>
      <c r="AH11" s="1" t="s">
        <v>357</v>
      </c>
      <c r="AI11" s="465">
        <v>43056.2297915741</v>
      </c>
    </row>
    <row r="12" spans="1:35">
      <c r="A12" s="1" t="s">
        <v>417</v>
      </c>
      <c r="B12" s="275" t="s">
        <v>928</v>
      </c>
      <c r="C12" s="1" t="s">
        <v>547</v>
      </c>
      <c r="D12" s="1" t="s">
        <v>1034</v>
      </c>
      <c r="E12" s="1" t="s">
        <v>547</v>
      </c>
      <c r="F12" s="1" t="s">
        <v>1032</v>
      </c>
      <c r="G12" s="1" t="s">
        <v>1037</v>
      </c>
      <c r="H12" s="1" t="s">
        <v>1000</v>
      </c>
      <c r="I12" s="1"/>
      <c r="J12" s="1" t="s">
        <v>1032</v>
      </c>
      <c r="K12" s="1" t="s">
        <v>1027</v>
      </c>
      <c r="L12" s="1" t="s">
        <v>547</v>
      </c>
      <c r="M12" s="1" t="s">
        <v>1027</v>
      </c>
      <c r="N12" s="1" t="s">
        <v>1033</v>
      </c>
      <c r="O12" s="1" t="s">
        <v>1018</v>
      </c>
      <c r="P12" s="1" t="s">
        <v>1022</v>
      </c>
      <c r="Q12" s="1" t="s">
        <v>1027</v>
      </c>
      <c r="R12" s="1" t="s">
        <v>1033</v>
      </c>
      <c r="S12" s="1" t="s">
        <v>547</v>
      </c>
      <c r="T12" s="1" t="s">
        <v>1038</v>
      </c>
      <c r="U12" s="1" t="s">
        <v>1032</v>
      </c>
      <c r="V12" s="1" t="s">
        <v>1020</v>
      </c>
      <c r="W12" s="1" t="s">
        <v>1030</v>
      </c>
      <c r="X12" s="1" t="s">
        <v>1032</v>
      </c>
      <c r="Y12" s="1" t="s">
        <v>1034</v>
      </c>
      <c r="Z12" s="1" t="s">
        <v>547</v>
      </c>
      <c r="AA12" s="1" t="s">
        <v>1034</v>
      </c>
      <c r="AB12" s="1" t="s">
        <v>1029</v>
      </c>
      <c r="AC12" s="1" t="s">
        <v>1032</v>
      </c>
      <c r="AD12" s="1" t="s">
        <v>1037</v>
      </c>
      <c r="AE12" s="1" t="s">
        <v>1030</v>
      </c>
      <c r="AF12" s="1" t="s">
        <v>1025</v>
      </c>
      <c r="AG12" s="1" t="s">
        <v>547</v>
      </c>
      <c r="AH12" s="1" t="s">
        <v>1039</v>
      </c>
      <c r="AI12" s="465">
        <v>43056.2297915741</v>
      </c>
    </row>
    <row r="13" spans="1:35">
      <c r="A13" s="1" t="s">
        <v>417</v>
      </c>
      <c r="B13" s="275" t="s">
        <v>929</v>
      </c>
      <c r="C13" s="1" t="s">
        <v>547</v>
      </c>
      <c r="D13" s="1" t="s">
        <v>1033</v>
      </c>
      <c r="E13" s="1" t="s">
        <v>547</v>
      </c>
      <c r="F13" s="1" t="s">
        <v>1025</v>
      </c>
      <c r="G13" s="1" t="s">
        <v>1037</v>
      </c>
      <c r="H13" s="1" t="s">
        <v>1031</v>
      </c>
      <c r="I13" s="1"/>
      <c r="J13" s="1" t="s">
        <v>1020</v>
      </c>
      <c r="K13" s="1" t="s">
        <v>547</v>
      </c>
      <c r="L13" s="1" t="s">
        <v>547</v>
      </c>
      <c r="M13" s="1" t="s">
        <v>547</v>
      </c>
      <c r="N13" s="1" t="s">
        <v>1021</v>
      </c>
      <c r="O13" s="1" t="s">
        <v>1020</v>
      </c>
      <c r="P13" s="1" t="s">
        <v>547</v>
      </c>
      <c r="Q13" s="1" t="s">
        <v>1021</v>
      </c>
      <c r="R13" s="1" t="s">
        <v>1031</v>
      </c>
      <c r="S13" s="1" t="s">
        <v>547</v>
      </c>
      <c r="T13" s="1" t="s">
        <v>1025</v>
      </c>
      <c r="U13" s="1" t="s">
        <v>1033</v>
      </c>
      <c r="V13" s="1" t="s">
        <v>1034</v>
      </c>
      <c r="W13" s="1" t="s">
        <v>1034</v>
      </c>
      <c r="X13" s="1" t="s">
        <v>1025</v>
      </c>
      <c r="Y13" s="1" t="s">
        <v>1033</v>
      </c>
      <c r="Z13" s="1" t="s">
        <v>547</v>
      </c>
      <c r="AA13" s="1" t="s">
        <v>1021</v>
      </c>
      <c r="AB13" s="1" t="s">
        <v>1020</v>
      </c>
      <c r="AC13" s="1" t="s">
        <v>1020</v>
      </c>
      <c r="AD13" s="1" t="s">
        <v>1025</v>
      </c>
      <c r="AE13" s="1" t="s">
        <v>1025</v>
      </c>
      <c r="AF13" s="1" t="s">
        <v>1020</v>
      </c>
      <c r="AG13" s="1" t="s">
        <v>547</v>
      </c>
      <c r="AH13" s="1" t="s">
        <v>287</v>
      </c>
      <c r="AI13" s="465">
        <v>43056.2297915741</v>
      </c>
    </row>
    <row r="14" spans="1:35">
      <c r="A14" s="1" t="s">
        <v>417</v>
      </c>
      <c r="B14" s="275" t="s">
        <v>940</v>
      </c>
      <c r="C14" s="1" t="s">
        <v>547</v>
      </c>
      <c r="D14" s="1" t="s">
        <v>547</v>
      </c>
      <c r="E14" s="1" t="s">
        <v>547</v>
      </c>
      <c r="F14" s="1" t="s">
        <v>547</v>
      </c>
      <c r="G14" s="1" t="s">
        <v>547</v>
      </c>
      <c r="H14" s="1" t="s">
        <v>547</v>
      </c>
      <c r="I14" s="1"/>
      <c r="J14" s="1" t="s">
        <v>547</v>
      </c>
      <c r="K14" s="1" t="s">
        <v>547</v>
      </c>
      <c r="L14" s="1" t="s">
        <v>547</v>
      </c>
      <c r="M14" s="1" t="s">
        <v>547</v>
      </c>
      <c r="N14" s="1" t="s">
        <v>547</v>
      </c>
      <c r="O14" s="1" t="s">
        <v>547</v>
      </c>
      <c r="P14" s="1" t="s">
        <v>547</v>
      </c>
      <c r="Q14" s="1" t="s">
        <v>547</v>
      </c>
      <c r="R14" s="1" t="s">
        <v>547</v>
      </c>
      <c r="S14" s="1" t="s">
        <v>547</v>
      </c>
      <c r="T14" s="1" t="s">
        <v>547</v>
      </c>
      <c r="U14" s="1" t="s">
        <v>547</v>
      </c>
      <c r="V14" s="1" t="s">
        <v>547</v>
      </c>
      <c r="W14" s="1" t="s">
        <v>547</v>
      </c>
      <c r="X14" s="1" t="s">
        <v>547</v>
      </c>
      <c r="Y14" s="1" t="s">
        <v>547</v>
      </c>
      <c r="Z14" s="1" t="s">
        <v>547</v>
      </c>
      <c r="AA14" s="1" t="s">
        <v>547</v>
      </c>
      <c r="AB14" s="1" t="s">
        <v>547</v>
      </c>
      <c r="AC14" s="1" t="s">
        <v>547</v>
      </c>
      <c r="AD14" s="1" t="s">
        <v>1021</v>
      </c>
      <c r="AE14" s="1" t="s">
        <v>547</v>
      </c>
      <c r="AF14" s="1" t="s">
        <v>547</v>
      </c>
      <c r="AG14" s="1" t="s">
        <v>547</v>
      </c>
      <c r="AH14" s="1" t="s">
        <v>236</v>
      </c>
      <c r="AI14" s="465">
        <v>43056.2297915741</v>
      </c>
    </row>
    <row r="15" spans="1:35">
      <c r="A15" s="1" t="s">
        <v>417</v>
      </c>
      <c r="B15" s="275" t="s">
        <v>963</v>
      </c>
      <c r="C15" s="1" t="s">
        <v>547</v>
      </c>
      <c r="D15" s="1" t="s">
        <v>547</v>
      </c>
      <c r="E15" s="1" t="s">
        <v>547</v>
      </c>
      <c r="F15" s="1" t="s">
        <v>547</v>
      </c>
      <c r="G15" s="1" t="s">
        <v>547</v>
      </c>
      <c r="H15" s="1" t="s">
        <v>547</v>
      </c>
      <c r="I15" s="1"/>
      <c r="J15" s="1" t="s">
        <v>547</v>
      </c>
      <c r="K15" s="1" t="s">
        <v>547</v>
      </c>
      <c r="L15" s="1" t="s">
        <v>547</v>
      </c>
      <c r="M15" s="1" t="s">
        <v>547</v>
      </c>
      <c r="N15" s="1" t="s">
        <v>547</v>
      </c>
      <c r="O15" s="1" t="s">
        <v>547</v>
      </c>
      <c r="P15" s="1" t="s">
        <v>547</v>
      </c>
      <c r="Q15" s="1" t="s">
        <v>547</v>
      </c>
      <c r="R15" s="1" t="s">
        <v>547</v>
      </c>
      <c r="S15" s="1" t="s">
        <v>547</v>
      </c>
      <c r="T15" s="1" t="s">
        <v>547</v>
      </c>
      <c r="U15" s="1" t="s">
        <v>547</v>
      </c>
      <c r="V15" s="1" t="s">
        <v>547</v>
      </c>
      <c r="W15" s="1" t="s">
        <v>547</v>
      </c>
      <c r="X15" s="1" t="s">
        <v>547</v>
      </c>
      <c r="Y15" s="1" t="s">
        <v>547</v>
      </c>
      <c r="Z15" s="1" t="s">
        <v>547</v>
      </c>
      <c r="AA15" s="1" t="s">
        <v>547</v>
      </c>
      <c r="AB15" s="1" t="s">
        <v>547</v>
      </c>
      <c r="AC15" s="1" t="s">
        <v>547</v>
      </c>
      <c r="AD15" s="1" t="s">
        <v>547</v>
      </c>
      <c r="AE15" s="1" t="s">
        <v>547</v>
      </c>
      <c r="AF15" s="1" t="s">
        <v>547</v>
      </c>
      <c r="AG15" s="1" t="s">
        <v>547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964</v>
      </c>
      <c r="C16" s="1" t="s">
        <v>547</v>
      </c>
      <c r="D16" s="1" t="s">
        <v>547</v>
      </c>
      <c r="E16" s="1" t="s">
        <v>547</v>
      </c>
      <c r="F16" s="1" t="s">
        <v>547</v>
      </c>
      <c r="G16" s="1" t="s">
        <v>547</v>
      </c>
      <c r="H16" s="1" t="s">
        <v>547</v>
      </c>
      <c r="I16" s="1"/>
      <c r="J16" s="1" t="s">
        <v>547</v>
      </c>
      <c r="K16" s="1" t="s">
        <v>547</v>
      </c>
      <c r="L16" s="1" t="s">
        <v>547</v>
      </c>
      <c r="M16" s="1" t="s">
        <v>547</v>
      </c>
      <c r="N16" s="1" t="s">
        <v>547</v>
      </c>
      <c r="O16" s="1" t="s">
        <v>547</v>
      </c>
      <c r="P16" s="1" t="s">
        <v>547</v>
      </c>
      <c r="Q16" s="1" t="s">
        <v>547</v>
      </c>
      <c r="R16" s="1" t="s">
        <v>547</v>
      </c>
      <c r="S16" s="1" t="s">
        <v>547</v>
      </c>
      <c r="T16" s="1" t="s">
        <v>547</v>
      </c>
      <c r="U16" s="1" t="s">
        <v>547</v>
      </c>
      <c r="V16" s="1" t="s">
        <v>547</v>
      </c>
      <c r="W16" s="1" t="s">
        <v>547</v>
      </c>
      <c r="X16" s="1" t="s">
        <v>547</v>
      </c>
      <c r="Y16" s="1" t="s">
        <v>547</v>
      </c>
      <c r="Z16" s="1" t="s">
        <v>547</v>
      </c>
      <c r="AA16" s="1" t="s">
        <v>547</v>
      </c>
      <c r="AB16" s="1" t="s">
        <v>547</v>
      </c>
      <c r="AC16" s="1" t="s">
        <v>547</v>
      </c>
      <c r="AD16" s="1" t="s">
        <v>547</v>
      </c>
      <c r="AE16" s="1" t="s">
        <v>547</v>
      </c>
      <c r="AF16" s="1" t="s">
        <v>547</v>
      </c>
      <c r="AG16" s="1" t="s">
        <v>547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965</v>
      </c>
      <c r="C17" s="1" t="s">
        <v>547</v>
      </c>
      <c r="D17" s="1" t="s">
        <v>547</v>
      </c>
      <c r="E17" s="1" t="s">
        <v>547</v>
      </c>
      <c r="F17" s="1" t="s">
        <v>547</v>
      </c>
      <c r="G17" s="1" t="s">
        <v>547</v>
      </c>
      <c r="H17" s="1" t="s">
        <v>547</v>
      </c>
      <c r="I17" s="1"/>
      <c r="J17" s="1" t="s">
        <v>547</v>
      </c>
      <c r="K17" s="1" t="s">
        <v>547</v>
      </c>
      <c r="L17" s="1" t="s">
        <v>547</v>
      </c>
      <c r="M17" s="1" t="s">
        <v>547</v>
      </c>
      <c r="N17" s="1" t="s">
        <v>547</v>
      </c>
      <c r="O17" s="1" t="s">
        <v>547</v>
      </c>
      <c r="P17" s="1" t="s">
        <v>547</v>
      </c>
      <c r="Q17" s="1" t="s">
        <v>547</v>
      </c>
      <c r="R17" s="1" t="s">
        <v>547</v>
      </c>
      <c r="S17" s="1" t="s">
        <v>547</v>
      </c>
      <c r="T17" s="1" t="s">
        <v>547</v>
      </c>
      <c r="U17" s="1" t="s">
        <v>547</v>
      </c>
      <c r="V17" s="1" t="s">
        <v>547</v>
      </c>
      <c r="W17" s="1" t="s">
        <v>547</v>
      </c>
      <c r="X17" s="1" t="s">
        <v>547</v>
      </c>
      <c r="Y17" s="1" t="s">
        <v>547</v>
      </c>
      <c r="Z17" s="1" t="s">
        <v>547</v>
      </c>
      <c r="AA17" s="1" t="s">
        <v>547</v>
      </c>
      <c r="AB17" s="1" t="s">
        <v>547</v>
      </c>
      <c r="AC17" s="1" t="s">
        <v>547</v>
      </c>
      <c r="AD17" s="1" t="s">
        <v>547</v>
      </c>
      <c r="AE17" s="1" t="s">
        <v>547</v>
      </c>
      <c r="AF17" s="1" t="s">
        <v>547</v>
      </c>
      <c r="AG17" s="1" t="s">
        <v>547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966</v>
      </c>
      <c r="C18" s="1" t="s">
        <v>547</v>
      </c>
      <c r="D18" s="1" t="s">
        <v>547</v>
      </c>
      <c r="E18" s="1" t="s">
        <v>547</v>
      </c>
      <c r="F18" s="1" t="s">
        <v>547</v>
      </c>
      <c r="G18" s="1" t="s">
        <v>547</v>
      </c>
      <c r="H18" s="1" t="s">
        <v>547</v>
      </c>
      <c r="I18" s="1"/>
      <c r="J18" s="1" t="s">
        <v>547</v>
      </c>
      <c r="K18" s="1" t="s">
        <v>547</v>
      </c>
      <c r="L18" s="1" t="s">
        <v>547</v>
      </c>
      <c r="M18" s="1" t="s">
        <v>547</v>
      </c>
      <c r="N18" s="1" t="s">
        <v>547</v>
      </c>
      <c r="O18" s="1" t="s">
        <v>547</v>
      </c>
      <c r="P18" s="1" t="s">
        <v>547</v>
      </c>
      <c r="Q18" s="1" t="s">
        <v>547</v>
      </c>
      <c r="R18" s="1" t="s">
        <v>547</v>
      </c>
      <c r="S18" s="1" t="s">
        <v>547</v>
      </c>
      <c r="T18" s="1" t="s">
        <v>547</v>
      </c>
      <c r="U18" s="1" t="s">
        <v>547</v>
      </c>
      <c r="V18" s="1" t="s">
        <v>547</v>
      </c>
      <c r="W18" s="1" t="s">
        <v>547</v>
      </c>
      <c r="X18" s="1" t="s">
        <v>547</v>
      </c>
      <c r="Y18" s="1" t="s">
        <v>547</v>
      </c>
      <c r="Z18" s="1" t="s">
        <v>547</v>
      </c>
      <c r="AA18" s="1" t="s">
        <v>547</v>
      </c>
      <c r="AB18" s="1" t="s">
        <v>547</v>
      </c>
      <c r="AC18" s="1" t="s">
        <v>547</v>
      </c>
      <c r="AD18" s="1" t="s">
        <v>547</v>
      </c>
      <c r="AE18" s="1" t="s">
        <v>547</v>
      </c>
      <c r="AF18" s="1" t="s">
        <v>547</v>
      </c>
      <c r="AG18" s="1" t="s">
        <v>547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967</v>
      </c>
      <c r="C19" s="1" t="s">
        <v>547</v>
      </c>
      <c r="D19" s="1" t="s">
        <v>547</v>
      </c>
      <c r="E19" s="1" t="s">
        <v>547</v>
      </c>
      <c r="F19" s="1" t="s">
        <v>547</v>
      </c>
      <c r="G19" s="1" t="s">
        <v>547</v>
      </c>
      <c r="H19" s="1" t="s">
        <v>547</v>
      </c>
      <c r="I19" s="1"/>
      <c r="J19" s="1" t="s">
        <v>547</v>
      </c>
      <c r="K19" s="1" t="s">
        <v>547</v>
      </c>
      <c r="L19" s="1" t="s">
        <v>547</v>
      </c>
      <c r="M19" s="1" t="s">
        <v>547</v>
      </c>
      <c r="N19" s="1" t="s">
        <v>547</v>
      </c>
      <c r="O19" s="1" t="s">
        <v>547</v>
      </c>
      <c r="P19" s="1" t="s">
        <v>547</v>
      </c>
      <c r="Q19" s="1" t="s">
        <v>547</v>
      </c>
      <c r="R19" s="1" t="s">
        <v>547</v>
      </c>
      <c r="S19" s="1" t="s">
        <v>547</v>
      </c>
      <c r="T19" s="1" t="s">
        <v>547</v>
      </c>
      <c r="U19" s="1" t="s">
        <v>547</v>
      </c>
      <c r="V19" s="1" t="s">
        <v>547</v>
      </c>
      <c r="W19" s="1" t="s">
        <v>547</v>
      </c>
      <c r="X19" s="1" t="s">
        <v>547</v>
      </c>
      <c r="Y19" s="1" t="s">
        <v>547</v>
      </c>
      <c r="Z19" s="1" t="s">
        <v>547</v>
      </c>
      <c r="AA19" s="1" t="s">
        <v>547</v>
      </c>
      <c r="AB19" s="1" t="s">
        <v>547</v>
      </c>
      <c r="AC19" s="1" t="s">
        <v>547</v>
      </c>
      <c r="AD19" s="1" t="s">
        <v>547</v>
      </c>
      <c r="AE19" s="1" t="s">
        <v>547</v>
      </c>
      <c r="AF19" s="1" t="s">
        <v>547</v>
      </c>
      <c r="AG19" s="1" t="s">
        <v>547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968</v>
      </c>
      <c r="C20" s="466" t="s">
        <v>547</v>
      </c>
      <c r="D20" s="466" t="s">
        <v>1040</v>
      </c>
      <c r="E20" s="466" t="s">
        <v>547</v>
      </c>
      <c r="F20" s="466" t="s">
        <v>1004</v>
      </c>
      <c r="G20" s="466" t="s">
        <v>1011</v>
      </c>
      <c r="H20" s="466" t="s">
        <v>1041</v>
      </c>
      <c r="I20" s="466"/>
      <c r="J20" s="466" t="s">
        <v>1042</v>
      </c>
      <c r="K20" s="466" t="s">
        <v>1013</v>
      </c>
      <c r="L20" s="466" t="s">
        <v>547</v>
      </c>
      <c r="M20" s="466" t="s">
        <v>1043</v>
      </c>
      <c r="N20" s="466" t="s">
        <v>1003</v>
      </c>
      <c r="O20" s="466" t="s">
        <v>1006</v>
      </c>
      <c r="P20" s="466" t="s">
        <v>1040</v>
      </c>
      <c r="Q20" s="466" t="s">
        <v>1015</v>
      </c>
      <c r="R20" s="466" t="s">
        <v>1044</v>
      </c>
      <c r="S20" s="466" t="s">
        <v>547</v>
      </c>
      <c r="T20" s="466" t="s">
        <v>1042</v>
      </c>
      <c r="U20" s="466" t="s">
        <v>1013</v>
      </c>
      <c r="V20" s="466" t="s">
        <v>1028</v>
      </c>
      <c r="W20" s="466" t="s">
        <v>1018</v>
      </c>
      <c r="X20" s="466" t="s">
        <v>1045</v>
      </c>
      <c r="Y20" s="466" t="s">
        <v>1017</v>
      </c>
      <c r="Z20" s="466" t="s">
        <v>547</v>
      </c>
      <c r="AA20" s="466" t="s">
        <v>1046</v>
      </c>
      <c r="AB20" s="466" t="s">
        <v>1012</v>
      </c>
      <c r="AC20" s="466" t="s">
        <v>1047</v>
      </c>
      <c r="AD20" s="466" t="s">
        <v>1048</v>
      </c>
      <c r="AE20" s="466" t="s">
        <v>1040</v>
      </c>
      <c r="AF20" s="466" t="s">
        <v>1028</v>
      </c>
      <c r="AG20" s="466" t="s">
        <v>547</v>
      </c>
      <c r="AH20" s="466" t="s">
        <v>1049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6.5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954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1050</v>
      </c>
      <c r="D2" s="1" t="s">
        <v>1051</v>
      </c>
      <c r="E2" s="1" t="s">
        <v>1052</v>
      </c>
      <c r="F2" s="1" t="s">
        <v>1053</v>
      </c>
      <c r="G2" s="1" t="s">
        <v>1054</v>
      </c>
      <c r="H2" s="1" t="s">
        <v>1055</v>
      </c>
      <c r="I2" s="1" t="s">
        <v>1056</v>
      </c>
      <c r="J2" s="1" t="s">
        <v>1057</v>
      </c>
      <c r="K2" s="1" t="s">
        <v>1058</v>
      </c>
      <c r="L2" s="1" t="s">
        <v>1059</v>
      </c>
      <c r="M2" s="1" t="s">
        <v>1060</v>
      </c>
      <c r="N2" s="1" t="s">
        <v>1061</v>
      </c>
      <c r="O2" s="1" t="s">
        <v>1062</v>
      </c>
      <c r="P2" s="1" t="s">
        <v>1063</v>
      </c>
      <c r="Q2" s="1" t="s">
        <v>1064</v>
      </c>
      <c r="R2" s="1" t="s">
        <v>1065</v>
      </c>
      <c r="S2" s="1" t="s">
        <v>1066</v>
      </c>
      <c r="T2" s="1" t="s">
        <v>1067</v>
      </c>
      <c r="U2" s="1" t="s">
        <v>1068</v>
      </c>
      <c r="V2" s="1" t="s">
        <v>1069</v>
      </c>
      <c r="W2" s="1" t="s">
        <v>1070</v>
      </c>
      <c r="X2" s="1" t="s">
        <v>1071</v>
      </c>
      <c r="Y2" s="1" t="s">
        <v>1072</v>
      </c>
      <c r="Z2" s="1" t="s">
        <v>1073</v>
      </c>
      <c r="AA2" s="1" t="s">
        <v>1074</v>
      </c>
      <c r="AB2" s="1" t="s">
        <v>1075</v>
      </c>
      <c r="AC2" s="1" t="s">
        <v>1076</v>
      </c>
      <c r="AD2" s="1" t="s">
        <v>1077</v>
      </c>
      <c r="AE2" s="1" t="s">
        <v>1078</v>
      </c>
      <c r="AF2" s="1" t="s">
        <v>1079</v>
      </c>
      <c r="AG2" s="1" t="s">
        <v>1080</v>
      </c>
      <c r="AH2" s="1" t="s">
        <v>1081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1082</v>
      </c>
      <c r="D3" s="1" t="s">
        <v>1083</v>
      </c>
      <c r="E3" s="1" t="s">
        <v>1084</v>
      </c>
      <c r="F3" s="1" t="s">
        <v>1085</v>
      </c>
      <c r="G3" s="1" t="s">
        <v>1086</v>
      </c>
      <c r="H3" s="1" t="s">
        <v>1087</v>
      </c>
      <c r="I3" s="1" t="s">
        <v>1088</v>
      </c>
      <c r="J3" s="1" t="s">
        <v>1089</v>
      </c>
      <c r="K3" s="1" t="s">
        <v>1090</v>
      </c>
      <c r="L3" s="1" t="s">
        <v>1091</v>
      </c>
      <c r="M3" s="1" t="s">
        <v>1092</v>
      </c>
      <c r="N3" s="1" t="s">
        <v>1093</v>
      </c>
      <c r="O3" s="1" t="s">
        <v>1094</v>
      </c>
      <c r="P3" s="1" t="s">
        <v>1095</v>
      </c>
      <c r="Q3" s="1" t="s">
        <v>1096</v>
      </c>
      <c r="R3" s="1" t="s">
        <v>1097</v>
      </c>
      <c r="S3" s="1" t="s">
        <v>1098</v>
      </c>
      <c r="T3" s="1" t="s">
        <v>1099</v>
      </c>
      <c r="U3" s="1" t="s">
        <v>1100</v>
      </c>
      <c r="V3" s="1" t="s">
        <v>1101</v>
      </c>
      <c r="W3" s="1" t="s">
        <v>1102</v>
      </c>
      <c r="X3" s="1" t="s">
        <v>1103</v>
      </c>
      <c r="Y3" s="1" t="s">
        <v>1104</v>
      </c>
      <c r="Z3" s="1" t="s">
        <v>1104</v>
      </c>
      <c r="AA3" s="1" t="s">
        <v>1105</v>
      </c>
      <c r="AB3" s="1" t="s">
        <v>1106</v>
      </c>
      <c r="AC3" s="1" t="s">
        <v>1107</v>
      </c>
      <c r="AD3" s="1" t="s">
        <v>1108</v>
      </c>
      <c r="AE3" s="1" t="s">
        <v>1109</v>
      </c>
      <c r="AF3" s="1" t="s">
        <v>1110</v>
      </c>
      <c r="AG3" s="1" t="s">
        <v>1111</v>
      </c>
      <c r="AH3" s="1" t="s">
        <v>1112</v>
      </c>
      <c r="AI3" s="465">
        <v>43056.229888680602</v>
      </c>
    </row>
    <row r="4" spans="1:35">
      <c r="A4" s="1" t="s">
        <v>417</v>
      </c>
      <c r="B4" s="1" t="s">
        <v>956</v>
      </c>
      <c r="C4" s="1" t="s">
        <v>1113</v>
      </c>
      <c r="D4" s="1" t="s">
        <v>1114</v>
      </c>
      <c r="E4" s="1" t="s">
        <v>1114</v>
      </c>
      <c r="F4" s="1" t="s">
        <v>1115</v>
      </c>
      <c r="G4" s="1" t="s">
        <v>1116</v>
      </c>
      <c r="H4" s="1" t="s">
        <v>1117</v>
      </c>
      <c r="I4" s="1" t="s">
        <v>1118</v>
      </c>
      <c r="J4" s="1" t="s">
        <v>1119</v>
      </c>
      <c r="K4" s="1" t="s">
        <v>1120</v>
      </c>
      <c r="L4" s="1" t="s">
        <v>1121</v>
      </c>
      <c r="M4" s="1" t="s">
        <v>1122</v>
      </c>
      <c r="N4" s="1" t="s">
        <v>1123</v>
      </c>
      <c r="O4" s="1" t="s">
        <v>1124</v>
      </c>
      <c r="P4" s="1" t="s">
        <v>1125</v>
      </c>
      <c r="Q4" s="1" t="s">
        <v>1126</v>
      </c>
      <c r="R4" s="1" t="s">
        <v>1127</v>
      </c>
      <c r="S4" s="1" t="s">
        <v>1128</v>
      </c>
      <c r="T4" s="1" t="s">
        <v>1129</v>
      </c>
      <c r="U4" s="1" t="s">
        <v>1130</v>
      </c>
      <c r="V4" s="1" t="s">
        <v>1131</v>
      </c>
      <c r="W4" s="1" t="s">
        <v>1132</v>
      </c>
      <c r="X4" s="1" t="s">
        <v>1133</v>
      </c>
      <c r="Y4" s="1" t="s">
        <v>1134</v>
      </c>
      <c r="Z4" s="1" t="s">
        <v>1134</v>
      </c>
      <c r="AA4" s="306" t="s">
        <v>1135</v>
      </c>
      <c r="AB4" s="1" t="s">
        <v>1136</v>
      </c>
      <c r="AC4" s="1" t="s">
        <v>1137</v>
      </c>
      <c r="AD4" s="1" t="s">
        <v>1138</v>
      </c>
      <c r="AE4" s="1" t="s">
        <v>1139</v>
      </c>
      <c r="AF4" s="1" t="s">
        <v>1140</v>
      </c>
      <c r="AG4" s="1" t="s">
        <v>1141</v>
      </c>
      <c r="AH4" s="1" t="s">
        <v>1142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6.5"/>
  <sheetData>
    <row r="1" spans="1:36">
      <c r="A1" s="1" t="s">
        <v>383</v>
      </c>
      <c r="B1" s="1" t="s">
        <v>450</v>
      </c>
      <c r="C1" s="1" t="s">
        <v>954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1143</v>
      </c>
      <c r="E2" s="1" t="s">
        <v>1144</v>
      </c>
      <c r="F2" s="1" t="s">
        <v>1144</v>
      </c>
      <c r="G2" s="1" t="s">
        <v>1145</v>
      </c>
      <c r="H2" s="1" t="s">
        <v>1146</v>
      </c>
      <c r="I2" s="1" t="s">
        <v>1147</v>
      </c>
      <c r="J2" s="1" t="s">
        <v>1148</v>
      </c>
      <c r="K2" s="1" t="s">
        <v>1149</v>
      </c>
      <c r="L2" s="1" t="s">
        <v>1150</v>
      </c>
      <c r="M2" s="1" t="s">
        <v>1150</v>
      </c>
      <c r="N2" s="1" t="s">
        <v>1151</v>
      </c>
      <c r="O2" s="1" t="s">
        <v>1152</v>
      </c>
      <c r="P2" s="1" t="s">
        <v>1153</v>
      </c>
      <c r="Q2" s="1" t="s">
        <v>1154</v>
      </c>
      <c r="R2" s="1" t="s">
        <v>1155</v>
      </c>
      <c r="S2" s="1" t="s">
        <v>1156</v>
      </c>
      <c r="T2" s="1" t="s">
        <v>1157</v>
      </c>
      <c r="U2" s="1" t="s">
        <v>1158</v>
      </c>
      <c r="V2" s="1" t="s">
        <v>1159</v>
      </c>
      <c r="W2" s="1" t="s">
        <v>1160</v>
      </c>
      <c r="X2" s="1" t="s">
        <v>1161</v>
      </c>
      <c r="Y2" s="1" t="s">
        <v>1162</v>
      </c>
      <c r="Z2" s="1" t="s">
        <v>1163</v>
      </c>
      <c r="AA2" s="1" t="s">
        <v>1163</v>
      </c>
      <c r="AB2" s="1" t="s">
        <v>1164</v>
      </c>
      <c r="AC2" s="1" t="s">
        <v>1165</v>
      </c>
      <c r="AD2" s="1" t="s">
        <v>1166</v>
      </c>
      <c r="AE2" s="1" t="s">
        <v>1167</v>
      </c>
      <c r="AF2" s="1" t="s">
        <v>1168</v>
      </c>
      <c r="AG2" s="1" t="s">
        <v>1169</v>
      </c>
      <c r="AH2" s="1" t="s">
        <v>1170</v>
      </c>
      <c r="AI2" s="1" t="s">
        <v>1171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1172</v>
      </c>
      <c r="E3" s="1" t="s">
        <v>1172</v>
      </c>
      <c r="F3" s="1" t="s">
        <v>1172</v>
      </c>
      <c r="G3" s="1" t="s">
        <v>1173</v>
      </c>
      <c r="H3" s="1" t="s">
        <v>1174</v>
      </c>
      <c r="I3" s="1" t="s">
        <v>1175</v>
      </c>
      <c r="J3" s="1" t="s">
        <v>1176</v>
      </c>
      <c r="K3" s="1" t="s">
        <v>1177</v>
      </c>
      <c r="L3" s="1" t="s">
        <v>1178</v>
      </c>
      <c r="M3" s="1" t="s">
        <v>1178</v>
      </c>
      <c r="N3" s="1" t="s">
        <v>1179</v>
      </c>
      <c r="O3" s="1" t="s">
        <v>1180</v>
      </c>
      <c r="P3" s="1" t="s">
        <v>1181</v>
      </c>
      <c r="Q3" s="1" t="s">
        <v>1182</v>
      </c>
      <c r="R3" s="1" t="s">
        <v>1183</v>
      </c>
      <c r="S3" s="1" t="s">
        <v>1184</v>
      </c>
      <c r="T3" s="1" t="s">
        <v>1185</v>
      </c>
      <c r="U3" s="1" t="s">
        <v>1186</v>
      </c>
      <c r="V3" s="1" t="s">
        <v>1187</v>
      </c>
      <c r="W3" s="1" t="s">
        <v>1188</v>
      </c>
      <c r="X3" s="1" t="s">
        <v>1189</v>
      </c>
      <c r="Y3" s="1" t="s">
        <v>1190</v>
      </c>
      <c r="Z3" s="1" t="s">
        <v>1191</v>
      </c>
      <c r="AA3" s="1" t="s">
        <v>1191</v>
      </c>
      <c r="AB3" s="1" t="s">
        <v>1192</v>
      </c>
      <c r="AC3" s="1" t="s">
        <v>1193</v>
      </c>
      <c r="AD3" s="1" t="s">
        <v>1194</v>
      </c>
      <c r="AE3" s="1" t="s">
        <v>1195</v>
      </c>
      <c r="AF3" s="1" t="s">
        <v>1196</v>
      </c>
      <c r="AG3" s="1" t="s">
        <v>1197</v>
      </c>
      <c r="AH3" s="1" t="s">
        <v>1198</v>
      </c>
      <c r="AI3" s="1" t="s">
        <v>1199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956</v>
      </c>
      <c r="D4" s="1" t="s">
        <v>1200</v>
      </c>
      <c r="E4" s="1" t="s">
        <v>1200</v>
      </c>
      <c r="F4" s="1" t="s">
        <v>1200</v>
      </c>
      <c r="G4" s="1" t="s">
        <v>1201</v>
      </c>
      <c r="H4" s="1" t="s">
        <v>1202</v>
      </c>
      <c r="I4" s="1" t="s">
        <v>1203</v>
      </c>
      <c r="J4" s="1" t="s">
        <v>1204</v>
      </c>
      <c r="K4" s="1" t="s">
        <v>1205</v>
      </c>
      <c r="L4" s="1" t="s">
        <v>1206</v>
      </c>
      <c r="M4" s="1" t="s">
        <v>1206</v>
      </c>
      <c r="N4" s="1" t="s">
        <v>1207</v>
      </c>
      <c r="O4" s="1" t="s">
        <v>1208</v>
      </c>
      <c r="P4" s="1" t="s">
        <v>1209</v>
      </c>
      <c r="Q4" s="1" t="s">
        <v>1210</v>
      </c>
      <c r="R4" s="1" t="s">
        <v>1211</v>
      </c>
      <c r="S4" s="1" t="s">
        <v>1211</v>
      </c>
      <c r="T4" s="1" t="s">
        <v>1211</v>
      </c>
      <c r="U4" s="1" t="s">
        <v>1211</v>
      </c>
      <c r="V4" s="1" t="s">
        <v>1211</v>
      </c>
      <c r="W4" s="1" t="s">
        <v>1212</v>
      </c>
      <c r="X4" s="1" t="s">
        <v>1213</v>
      </c>
      <c r="Y4" s="1" t="s">
        <v>1213</v>
      </c>
      <c r="Z4" s="1" t="s">
        <v>1213</v>
      </c>
      <c r="AA4" s="1" t="s">
        <v>1213</v>
      </c>
      <c r="AB4" s="1" t="s">
        <v>1214</v>
      </c>
      <c r="AC4" s="1" t="s">
        <v>1215</v>
      </c>
      <c r="AD4" s="1" t="s">
        <v>1216</v>
      </c>
      <c r="AE4" s="1" t="s">
        <v>1217</v>
      </c>
      <c r="AF4" s="1" t="s">
        <v>1218</v>
      </c>
      <c r="AG4" s="1" t="s">
        <v>1218</v>
      </c>
      <c r="AH4" s="1" t="s">
        <v>1219</v>
      </c>
      <c r="AI4" s="1" t="s">
        <v>1220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547</v>
      </c>
      <c r="E5" s="1" t="s">
        <v>547</v>
      </c>
      <c r="F5" s="1" t="s">
        <v>547</v>
      </c>
      <c r="G5" s="1" t="s">
        <v>547</v>
      </c>
      <c r="H5" s="1" t="s">
        <v>547</v>
      </c>
      <c r="I5" s="1" t="s">
        <v>547</v>
      </c>
      <c r="J5" s="1" t="s">
        <v>547</v>
      </c>
      <c r="K5" s="1" t="s">
        <v>547</v>
      </c>
      <c r="L5" s="1" t="s">
        <v>547</v>
      </c>
      <c r="M5" s="1" t="s">
        <v>547</v>
      </c>
      <c r="N5" s="1" t="s">
        <v>547</v>
      </c>
      <c r="O5" s="1" t="s">
        <v>547</v>
      </c>
      <c r="P5" s="1" t="s">
        <v>547</v>
      </c>
      <c r="Q5" s="1" t="s">
        <v>547</v>
      </c>
      <c r="R5" s="1" t="s">
        <v>547</v>
      </c>
      <c r="S5" s="1" t="s">
        <v>547</v>
      </c>
      <c r="T5" s="1" t="s">
        <v>547</v>
      </c>
      <c r="U5" s="1" t="s">
        <v>547</v>
      </c>
      <c r="V5" s="1" t="s">
        <v>547</v>
      </c>
      <c r="W5" s="1" t="s">
        <v>547</v>
      </c>
      <c r="X5" s="1" t="s">
        <v>547</v>
      </c>
      <c r="Y5" s="1" t="s">
        <v>547</v>
      </c>
      <c r="Z5" s="1" t="s">
        <v>547</v>
      </c>
      <c r="AA5" s="1" t="s">
        <v>547</v>
      </c>
      <c r="AB5" s="1" t="s">
        <v>547</v>
      </c>
      <c r="AC5" s="1" t="s">
        <v>547</v>
      </c>
      <c r="AD5" s="1" t="s">
        <v>547</v>
      </c>
      <c r="AE5" s="1" t="s">
        <v>547</v>
      </c>
      <c r="AF5" s="1" t="s">
        <v>547</v>
      </c>
      <c r="AG5" s="1" t="s">
        <v>547</v>
      </c>
      <c r="AH5" s="1" t="s">
        <v>547</v>
      </c>
      <c r="AI5" s="1" t="s">
        <v>547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547</v>
      </c>
      <c r="E6" s="1" t="s">
        <v>547</v>
      </c>
      <c r="F6" s="1" t="s">
        <v>547</v>
      </c>
      <c r="G6" s="1" t="s">
        <v>547</v>
      </c>
      <c r="H6" s="1" t="s">
        <v>547</v>
      </c>
      <c r="I6" s="1" t="s">
        <v>547</v>
      </c>
      <c r="J6" s="1" t="s">
        <v>547</v>
      </c>
      <c r="K6" s="1" t="s">
        <v>547</v>
      </c>
      <c r="L6" s="1" t="s">
        <v>547</v>
      </c>
      <c r="M6" s="1" t="s">
        <v>547</v>
      </c>
      <c r="N6" s="1" t="s">
        <v>547</v>
      </c>
      <c r="O6" s="1" t="s">
        <v>547</v>
      </c>
      <c r="P6" s="1" t="s">
        <v>547</v>
      </c>
      <c r="Q6" s="1" t="s">
        <v>547</v>
      </c>
      <c r="R6" s="1" t="s">
        <v>547</v>
      </c>
      <c r="S6" s="1" t="s">
        <v>547</v>
      </c>
      <c r="T6" s="1" t="s">
        <v>547</v>
      </c>
      <c r="U6" s="1" t="s">
        <v>547</v>
      </c>
      <c r="V6" s="1" t="s">
        <v>547</v>
      </c>
      <c r="W6" s="1" t="s">
        <v>547</v>
      </c>
      <c r="X6" s="1" t="s">
        <v>547</v>
      </c>
      <c r="Y6" s="1" t="s">
        <v>547</v>
      </c>
      <c r="Z6" s="1" t="s">
        <v>547</v>
      </c>
      <c r="AA6" s="1" t="s">
        <v>547</v>
      </c>
      <c r="AB6" s="1" t="s">
        <v>547</v>
      </c>
      <c r="AC6" s="1" t="s">
        <v>547</v>
      </c>
      <c r="AD6" s="1" t="s">
        <v>547</v>
      </c>
      <c r="AE6" s="1" t="s">
        <v>547</v>
      </c>
      <c r="AF6" s="1" t="s">
        <v>547</v>
      </c>
      <c r="AG6" s="1" t="s">
        <v>547</v>
      </c>
      <c r="AH6" s="1" t="s">
        <v>547</v>
      </c>
      <c r="AI6" s="1" t="s">
        <v>547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1221</v>
      </c>
      <c r="E7" s="1" t="s">
        <v>1222</v>
      </c>
      <c r="F7" s="1" t="s">
        <v>1222</v>
      </c>
      <c r="G7" s="1" t="s">
        <v>1223</v>
      </c>
      <c r="H7" s="1" t="s">
        <v>1224</v>
      </c>
      <c r="I7" s="1" t="s">
        <v>1225</v>
      </c>
      <c r="J7" s="1" t="s">
        <v>1226</v>
      </c>
      <c r="K7" s="1" t="s">
        <v>1227</v>
      </c>
      <c r="L7" s="1" t="s">
        <v>1228</v>
      </c>
      <c r="M7" s="1" t="s">
        <v>1228</v>
      </c>
      <c r="N7" s="1" t="s">
        <v>1229</v>
      </c>
      <c r="O7" s="1" t="s">
        <v>1230</v>
      </c>
      <c r="P7" s="1" t="s">
        <v>1231</v>
      </c>
      <c r="Q7" s="1" t="s">
        <v>1232</v>
      </c>
      <c r="R7" s="1" t="s">
        <v>1233</v>
      </c>
      <c r="S7" s="1" t="s">
        <v>1234</v>
      </c>
      <c r="T7" s="1" t="s">
        <v>1235</v>
      </c>
      <c r="U7" s="1" t="s">
        <v>1236</v>
      </c>
      <c r="V7" s="1" t="s">
        <v>1237</v>
      </c>
      <c r="W7" s="1" t="s">
        <v>1238</v>
      </c>
      <c r="X7" s="1" t="s">
        <v>1239</v>
      </c>
      <c r="Y7" s="1" t="s">
        <v>1240</v>
      </c>
      <c r="Z7" s="1" t="s">
        <v>1241</v>
      </c>
      <c r="AA7" s="1" t="s">
        <v>1241</v>
      </c>
      <c r="AB7" s="1" t="s">
        <v>1242</v>
      </c>
      <c r="AC7" s="1" t="s">
        <v>1243</v>
      </c>
      <c r="AD7" s="1" t="s">
        <v>1244</v>
      </c>
      <c r="AE7" s="1" t="s">
        <v>1245</v>
      </c>
      <c r="AF7" s="1" t="s">
        <v>1246</v>
      </c>
      <c r="AG7" s="1" t="s">
        <v>1247</v>
      </c>
      <c r="AH7" s="1" t="s">
        <v>1248</v>
      </c>
      <c r="AI7" s="1" t="s">
        <v>1249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547</v>
      </c>
      <c r="E8" s="1" t="s">
        <v>547</v>
      </c>
      <c r="F8" s="1" t="s">
        <v>547</v>
      </c>
      <c r="G8" s="1" t="s">
        <v>547</v>
      </c>
      <c r="H8" s="1" t="s">
        <v>547</v>
      </c>
      <c r="I8" s="1" t="s">
        <v>547</v>
      </c>
      <c r="J8" s="1" t="s">
        <v>547</v>
      </c>
      <c r="K8" s="1" t="s">
        <v>547</v>
      </c>
      <c r="L8" s="1" t="s">
        <v>547</v>
      </c>
      <c r="M8" s="1" t="s">
        <v>547</v>
      </c>
      <c r="N8" s="1" t="s">
        <v>547</v>
      </c>
      <c r="O8" s="1" t="s">
        <v>547</v>
      </c>
      <c r="P8" s="1" t="s">
        <v>547</v>
      </c>
      <c r="Q8" s="1" t="s">
        <v>547</v>
      </c>
      <c r="R8" s="1" t="s">
        <v>547</v>
      </c>
      <c r="S8" s="1" t="s">
        <v>547</v>
      </c>
      <c r="T8" s="1" t="s">
        <v>547</v>
      </c>
      <c r="U8" s="1" t="s">
        <v>547</v>
      </c>
      <c r="V8" s="1" t="s">
        <v>547</v>
      </c>
      <c r="W8" s="1" t="s">
        <v>547</v>
      </c>
      <c r="X8" s="1" t="s">
        <v>547</v>
      </c>
      <c r="Y8" s="1" t="s">
        <v>547</v>
      </c>
      <c r="Z8" s="1" t="s">
        <v>547</v>
      </c>
      <c r="AA8" s="1" t="s">
        <v>547</v>
      </c>
      <c r="AB8" s="1" t="s">
        <v>547</v>
      </c>
      <c r="AC8" s="1" t="s">
        <v>547</v>
      </c>
      <c r="AD8" s="1" t="s">
        <v>547</v>
      </c>
      <c r="AE8" s="1" t="s">
        <v>547</v>
      </c>
      <c r="AF8" s="1" t="s">
        <v>547</v>
      </c>
      <c r="AG8" s="1" t="s">
        <v>547</v>
      </c>
      <c r="AH8" s="1" t="s">
        <v>547</v>
      </c>
      <c r="AI8" s="1" t="s">
        <v>547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547</v>
      </c>
      <c r="E9" s="1" t="s">
        <v>547</v>
      </c>
      <c r="F9" s="1" t="s">
        <v>547</v>
      </c>
      <c r="G9" s="1" t="s">
        <v>547</v>
      </c>
      <c r="H9" s="1" t="s">
        <v>547</v>
      </c>
      <c r="I9" s="1" t="s">
        <v>547</v>
      </c>
      <c r="J9" s="1" t="s">
        <v>547</v>
      </c>
      <c r="K9" s="1" t="s">
        <v>547</v>
      </c>
      <c r="L9" s="1" t="s">
        <v>547</v>
      </c>
      <c r="M9" s="1" t="s">
        <v>547</v>
      </c>
      <c r="N9" s="1" t="s">
        <v>547</v>
      </c>
      <c r="O9" s="1" t="s">
        <v>547</v>
      </c>
      <c r="P9" s="1" t="s">
        <v>547</v>
      </c>
      <c r="Q9" s="1" t="s">
        <v>547</v>
      </c>
      <c r="R9" s="1" t="s">
        <v>547</v>
      </c>
      <c r="S9" s="1" t="s">
        <v>547</v>
      </c>
      <c r="T9" s="1" t="s">
        <v>547</v>
      </c>
      <c r="U9" s="1" t="s">
        <v>547</v>
      </c>
      <c r="V9" s="1" t="s">
        <v>547</v>
      </c>
      <c r="W9" s="1" t="s">
        <v>547</v>
      </c>
      <c r="X9" s="1" t="s">
        <v>547</v>
      </c>
      <c r="Y9" s="1" t="s">
        <v>547</v>
      </c>
      <c r="Z9" s="1" t="s">
        <v>547</v>
      </c>
      <c r="AA9" s="1" t="s">
        <v>547</v>
      </c>
      <c r="AB9" s="1" t="s">
        <v>547</v>
      </c>
      <c r="AC9" s="1" t="s">
        <v>547</v>
      </c>
      <c r="AD9" s="1" t="s">
        <v>547</v>
      </c>
      <c r="AE9" s="1" t="s">
        <v>547</v>
      </c>
      <c r="AF9" s="1" t="s">
        <v>547</v>
      </c>
      <c r="AG9" s="1" t="s">
        <v>547</v>
      </c>
      <c r="AH9" s="1" t="s">
        <v>547</v>
      </c>
      <c r="AI9" s="1" t="s">
        <v>547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547</v>
      </c>
      <c r="E10" s="1" t="s">
        <v>547</v>
      </c>
      <c r="F10" s="1" t="s">
        <v>547</v>
      </c>
      <c r="G10" s="1" t="s">
        <v>547</v>
      </c>
      <c r="H10" s="1" t="s">
        <v>547</v>
      </c>
      <c r="I10" s="1" t="s">
        <v>547</v>
      </c>
      <c r="J10" s="1" t="s">
        <v>547</v>
      </c>
      <c r="K10" s="1" t="s">
        <v>547</v>
      </c>
      <c r="L10" s="1" t="s">
        <v>547</v>
      </c>
      <c r="M10" s="1" t="s">
        <v>547</v>
      </c>
      <c r="N10" s="1" t="s">
        <v>547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547</v>
      </c>
      <c r="E11" s="1" t="s">
        <v>547</v>
      </c>
      <c r="F11" s="1" t="s">
        <v>547</v>
      </c>
      <c r="G11" s="1" t="s">
        <v>547</v>
      </c>
      <c r="H11" s="1" t="s">
        <v>547</v>
      </c>
      <c r="I11" s="1" t="s">
        <v>547</v>
      </c>
      <c r="J11" s="1" t="s">
        <v>547</v>
      </c>
      <c r="K11" s="1" t="s">
        <v>547</v>
      </c>
      <c r="L11" s="1" t="s">
        <v>547</v>
      </c>
      <c r="M11" s="1" t="s">
        <v>547</v>
      </c>
      <c r="N11" s="1" t="s">
        <v>547</v>
      </c>
      <c r="O11" s="1" t="s">
        <v>547</v>
      </c>
      <c r="P11" s="1" t="s">
        <v>547</v>
      </c>
      <c r="Q11" s="1" t="s">
        <v>547</v>
      </c>
      <c r="R11" s="1" t="s">
        <v>547</v>
      </c>
      <c r="S11" s="1" t="s">
        <v>547</v>
      </c>
      <c r="T11" s="1" t="s">
        <v>547</v>
      </c>
      <c r="U11" s="1" t="s">
        <v>547</v>
      </c>
      <c r="V11" s="1" t="s">
        <v>547</v>
      </c>
      <c r="W11" s="1" t="s">
        <v>547</v>
      </c>
      <c r="X11" s="1" t="s">
        <v>547</v>
      </c>
      <c r="Y11" s="1" t="s">
        <v>547</v>
      </c>
      <c r="Z11" s="1" t="s">
        <v>547</v>
      </c>
      <c r="AA11" s="1" t="s">
        <v>547</v>
      </c>
      <c r="AB11" s="1" t="s">
        <v>547</v>
      </c>
      <c r="AC11" s="1" t="s">
        <v>547</v>
      </c>
      <c r="AD11" s="1" t="s">
        <v>547</v>
      </c>
      <c r="AE11" s="1" t="s">
        <v>547</v>
      </c>
      <c r="AF11" s="1" t="s">
        <v>547</v>
      </c>
      <c r="AG11" s="1" t="s">
        <v>547</v>
      </c>
      <c r="AH11" s="1" t="s">
        <v>547</v>
      </c>
      <c r="AI11" s="1" t="s">
        <v>547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547</v>
      </c>
      <c r="E12" s="1" t="s">
        <v>547</v>
      </c>
      <c r="F12" s="1" t="s">
        <v>547</v>
      </c>
      <c r="G12" s="1" t="s">
        <v>547</v>
      </c>
      <c r="H12" s="1" t="s">
        <v>547</v>
      </c>
      <c r="I12" s="1" t="s">
        <v>547</v>
      </c>
      <c r="J12" s="1" t="s">
        <v>547</v>
      </c>
      <c r="K12" s="1" t="s">
        <v>547</v>
      </c>
      <c r="L12" s="1" t="s">
        <v>547</v>
      </c>
      <c r="M12" s="1" t="s">
        <v>547</v>
      </c>
      <c r="N12" s="1" t="s">
        <v>547</v>
      </c>
      <c r="O12" s="1" t="s">
        <v>547</v>
      </c>
      <c r="P12" s="1" t="s">
        <v>547</v>
      </c>
      <c r="Q12" s="1" t="s">
        <v>547</v>
      </c>
      <c r="R12" s="1" t="s">
        <v>547</v>
      </c>
      <c r="S12" s="1" t="s">
        <v>547</v>
      </c>
      <c r="T12" s="1" t="s">
        <v>547</v>
      </c>
      <c r="U12" s="1" t="s">
        <v>547</v>
      </c>
      <c r="V12" s="1" t="s">
        <v>547</v>
      </c>
      <c r="W12" s="1" t="s">
        <v>547</v>
      </c>
      <c r="X12" s="1" t="s">
        <v>547</v>
      </c>
      <c r="Y12" s="1" t="s">
        <v>547</v>
      </c>
      <c r="Z12" s="1" t="s">
        <v>547</v>
      </c>
      <c r="AA12" s="1" t="s">
        <v>547</v>
      </c>
      <c r="AB12" s="1" t="s">
        <v>547</v>
      </c>
      <c r="AC12" s="1" t="s">
        <v>547</v>
      </c>
      <c r="AD12" s="1" t="s">
        <v>547</v>
      </c>
      <c r="AE12" s="1" t="s">
        <v>547</v>
      </c>
      <c r="AF12" s="1" t="s">
        <v>547</v>
      </c>
      <c r="AG12" s="1" t="s">
        <v>547</v>
      </c>
      <c r="AH12" s="1" t="s">
        <v>547</v>
      </c>
      <c r="AI12" s="1" t="s">
        <v>547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547</v>
      </c>
      <c r="E13" s="1" t="s">
        <v>547</v>
      </c>
      <c r="F13" s="1" t="s">
        <v>547</v>
      </c>
      <c r="G13" s="1" t="s">
        <v>547</v>
      </c>
      <c r="H13" s="1" t="s">
        <v>547</v>
      </c>
      <c r="I13" s="1" t="s">
        <v>547</v>
      </c>
      <c r="J13" s="1" t="s">
        <v>547</v>
      </c>
      <c r="K13" s="1" t="s">
        <v>547</v>
      </c>
      <c r="L13" s="1" t="s">
        <v>547</v>
      </c>
      <c r="M13" s="1" t="s">
        <v>547</v>
      </c>
      <c r="N13" s="1" t="s">
        <v>547</v>
      </c>
      <c r="O13" s="1" t="s">
        <v>547</v>
      </c>
      <c r="P13" s="1" t="s">
        <v>547</v>
      </c>
      <c r="Q13" s="1" t="s">
        <v>547</v>
      </c>
      <c r="R13" s="1" t="s">
        <v>547</v>
      </c>
      <c r="S13" s="1" t="s">
        <v>547</v>
      </c>
      <c r="T13" s="1" t="s">
        <v>547</v>
      </c>
      <c r="U13" s="1" t="s">
        <v>547</v>
      </c>
      <c r="V13" s="1" t="s">
        <v>547</v>
      </c>
      <c r="W13" s="1" t="s">
        <v>547</v>
      </c>
      <c r="X13" s="1" t="s">
        <v>547</v>
      </c>
      <c r="Y13" s="1" t="s">
        <v>547</v>
      </c>
      <c r="Z13" s="1" t="s">
        <v>547</v>
      </c>
      <c r="AA13" s="1" t="s">
        <v>547</v>
      </c>
      <c r="AB13" s="1" t="s">
        <v>547</v>
      </c>
      <c r="AC13" s="1" t="s">
        <v>547</v>
      </c>
      <c r="AD13" s="1" t="s">
        <v>547</v>
      </c>
      <c r="AE13" s="1" t="s">
        <v>547</v>
      </c>
      <c r="AF13" s="1" t="s">
        <v>547</v>
      </c>
      <c r="AG13" s="1" t="s">
        <v>547</v>
      </c>
      <c r="AH13" s="1" t="s">
        <v>547</v>
      </c>
      <c r="AI13" s="1" t="s">
        <v>547</v>
      </c>
      <c r="AJ13" s="465">
        <v>43056.229889050897</v>
      </c>
    </row>
    <row r="14" spans="1:36">
      <c r="A14" s="1" t="s">
        <v>417</v>
      </c>
      <c r="B14" s="1" t="s">
        <v>1250</v>
      </c>
      <c r="C14" s="1" t="s">
        <v>237</v>
      </c>
      <c r="D14" s="1" t="s">
        <v>547</v>
      </c>
      <c r="E14" s="1" t="s">
        <v>547</v>
      </c>
      <c r="F14" s="1" t="s">
        <v>547</v>
      </c>
      <c r="G14" s="1" t="s">
        <v>547</v>
      </c>
      <c r="H14" s="1" t="s">
        <v>547</v>
      </c>
      <c r="I14" s="1" t="s">
        <v>547</v>
      </c>
      <c r="J14" s="1" t="s">
        <v>547</v>
      </c>
      <c r="K14" s="1" t="s">
        <v>547</v>
      </c>
      <c r="L14" s="1" t="s">
        <v>547</v>
      </c>
      <c r="M14" s="1" t="s">
        <v>547</v>
      </c>
      <c r="N14" s="1" t="s">
        <v>547</v>
      </c>
      <c r="O14" s="1" t="s">
        <v>547</v>
      </c>
      <c r="P14" s="1" t="s">
        <v>547</v>
      </c>
      <c r="Q14" s="1" t="s">
        <v>547</v>
      </c>
      <c r="R14" s="1" t="s">
        <v>547</v>
      </c>
      <c r="S14" s="1" t="s">
        <v>547</v>
      </c>
      <c r="T14" s="1" t="s">
        <v>547</v>
      </c>
      <c r="U14" s="1" t="s">
        <v>547</v>
      </c>
      <c r="V14" s="1" t="s">
        <v>547</v>
      </c>
      <c r="W14" s="1" t="s">
        <v>547</v>
      </c>
      <c r="X14" s="1" t="s">
        <v>547</v>
      </c>
      <c r="Y14" s="1" t="s">
        <v>547</v>
      </c>
      <c r="Z14" s="1" t="s">
        <v>547</v>
      </c>
      <c r="AA14" s="1" t="s">
        <v>547</v>
      </c>
      <c r="AB14" s="1" t="s">
        <v>547</v>
      </c>
      <c r="AC14" s="1" t="s">
        <v>547</v>
      </c>
      <c r="AD14" s="1" t="s">
        <v>547</v>
      </c>
      <c r="AE14" s="1" t="s">
        <v>547</v>
      </c>
      <c r="AF14" s="1" t="s">
        <v>547</v>
      </c>
      <c r="AG14" s="1" t="s">
        <v>547</v>
      </c>
      <c r="AH14" s="1" t="s">
        <v>547</v>
      </c>
      <c r="AI14" s="1" t="s">
        <v>547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1251</v>
      </c>
      <c r="E15" s="1" t="s">
        <v>1251</v>
      </c>
      <c r="F15" s="1" t="s">
        <v>1251</v>
      </c>
      <c r="G15" s="1" t="s">
        <v>1251</v>
      </c>
      <c r="H15" s="1" t="s">
        <v>1251</v>
      </c>
      <c r="I15" s="1" t="s">
        <v>1252</v>
      </c>
      <c r="J15" s="1" t="s">
        <v>1252</v>
      </c>
      <c r="K15" s="1" t="s">
        <v>1252</v>
      </c>
      <c r="L15" s="1" t="s">
        <v>1252</v>
      </c>
      <c r="M15" s="1" t="s">
        <v>1252</v>
      </c>
      <c r="N15" s="1" t="s">
        <v>1252</v>
      </c>
      <c r="O15" s="1" t="s">
        <v>1252</v>
      </c>
      <c r="P15" s="1" t="s">
        <v>1252</v>
      </c>
      <c r="Q15" s="1" t="s">
        <v>1252</v>
      </c>
      <c r="R15" s="1" t="s">
        <v>1253</v>
      </c>
      <c r="S15" s="1" t="s">
        <v>1253</v>
      </c>
      <c r="T15" s="1" t="s">
        <v>1253</v>
      </c>
      <c r="U15" s="1" t="s">
        <v>1253</v>
      </c>
      <c r="V15" s="1" t="s">
        <v>1253</v>
      </c>
      <c r="W15" s="1" t="s">
        <v>1253</v>
      </c>
      <c r="X15" s="1" t="s">
        <v>1253</v>
      </c>
      <c r="Y15" s="1" t="s">
        <v>1253</v>
      </c>
      <c r="Z15" s="1" t="s">
        <v>1253</v>
      </c>
      <c r="AA15" s="1" t="s">
        <v>1253</v>
      </c>
      <c r="AB15" s="1" t="s">
        <v>1253</v>
      </c>
      <c r="AC15" s="1" t="s">
        <v>1253</v>
      </c>
      <c r="AD15" s="1" t="s">
        <v>1252</v>
      </c>
      <c r="AE15" s="1" t="s">
        <v>1252</v>
      </c>
      <c r="AF15" s="1" t="s">
        <v>1252</v>
      </c>
      <c r="AG15" s="1" t="s">
        <v>1252</v>
      </c>
      <c r="AH15" s="1" t="s">
        <v>1252</v>
      </c>
      <c r="AI15" s="1" t="s">
        <v>1254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547</v>
      </c>
      <c r="E16" s="1" t="s">
        <v>547</v>
      </c>
      <c r="F16" s="1" t="s">
        <v>547</v>
      </c>
      <c r="G16" s="1" t="s">
        <v>547</v>
      </c>
      <c r="H16" s="1" t="s">
        <v>547</v>
      </c>
      <c r="I16" s="1" t="s">
        <v>547</v>
      </c>
      <c r="J16" s="1" t="s">
        <v>547</v>
      </c>
      <c r="K16" s="1" t="s">
        <v>547</v>
      </c>
      <c r="L16" s="1" t="s">
        <v>547</v>
      </c>
      <c r="M16" s="1" t="s">
        <v>547</v>
      </c>
      <c r="N16" s="1" t="s">
        <v>547</v>
      </c>
      <c r="O16" s="1" t="s">
        <v>547</v>
      </c>
      <c r="P16" s="1" t="s">
        <v>547</v>
      </c>
      <c r="Q16" s="1" t="s">
        <v>547</v>
      </c>
      <c r="R16" s="1" t="s">
        <v>547</v>
      </c>
      <c r="S16" s="1" t="s">
        <v>547</v>
      </c>
      <c r="T16" s="1" t="s">
        <v>547</v>
      </c>
      <c r="U16" s="1" t="s">
        <v>547</v>
      </c>
      <c r="V16" s="1" t="s">
        <v>547</v>
      </c>
      <c r="W16" s="1" t="s">
        <v>547</v>
      </c>
      <c r="X16" s="1" t="s">
        <v>547</v>
      </c>
      <c r="Y16" s="1" t="s">
        <v>547</v>
      </c>
      <c r="Z16" s="1" t="s">
        <v>547</v>
      </c>
      <c r="AA16" s="1" t="s">
        <v>547</v>
      </c>
      <c r="AB16" s="1" t="s">
        <v>547</v>
      </c>
      <c r="AC16" s="1" t="s">
        <v>547</v>
      </c>
      <c r="AD16" s="1" t="s">
        <v>547</v>
      </c>
      <c r="AE16" s="1" t="s">
        <v>547</v>
      </c>
      <c r="AF16" s="1" t="s">
        <v>547</v>
      </c>
      <c r="AG16" s="1" t="s">
        <v>547</v>
      </c>
      <c r="AH16" s="1" t="s">
        <v>547</v>
      </c>
      <c r="AI16" s="1" t="s">
        <v>547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547</v>
      </c>
      <c r="E17" s="1" t="s">
        <v>547</v>
      </c>
      <c r="F17" s="1" t="s">
        <v>547</v>
      </c>
      <c r="G17" s="1" t="s">
        <v>547</v>
      </c>
      <c r="H17" s="1" t="s">
        <v>547</v>
      </c>
      <c r="I17" s="1" t="s">
        <v>547</v>
      </c>
      <c r="J17" s="1" t="s">
        <v>547</v>
      </c>
      <c r="K17" s="1" t="s">
        <v>547</v>
      </c>
      <c r="L17" s="1" t="s">
        <v>547</v>
      </c>
      <c r="M17" s="1" t="s">
        <v>547</v>
      </c>
      <c r="N17" s="1" t="s">
        <v>547</v>
      </c>
      <c r="O17" s="1" t="s">
        <v>547</v>
      </c>
      <c r="P17" s="1" t="s">
        <v>547</v>
      </c>
      <c r="Q17" s="1" t="s">
        <v>547</v>
      </c>
      <c r="R17" s="1" t="s">
        <v>547</v>
      </c>
      <c r="S17" s="1" t="s">
        <v>547</v>
      </c>
      <c r="T17" s="1" t="s">
        <v>547</v>
      </c>
      <c r="U17" s="1" t="s">
        <v>547</v>
      </c>
      <c r="V17" s="1" t="s">
        <v>547</v>
      </c>
      <c r="W17" s="1" t="s">
        <v>547</v>
      </c>
      <c r="X17" s="1" t="s">
        <v>547</v>
      </c>
      <c r="Y17" s="1" t="s">
        <v>547</v>
      </c>
      <c r="Z17" s="1" t="s">
        <v>547</v>
      </c>
      <c r="AA17" s="1" t="s">
        <v>547</v>
      </c>
      <c r="AB17" s="1" t="s">
        <v>547</v>
      </c>
      <c r="AC17" s="1" t="s">
        <v>547</v>
      </c>
      <c r="AD17" s="1" t="s">
        <v>547</v>
      </c>
      <c r="AE17" s="1" t="s">
        <v>547</v>
      </c>
      <c r="AF17" s="1" t="s">
        <v>547</v>
      </c>
      <c r="AG17" s="1" t="s">
        <v>547</v>
      </c>
      <c r="AH17" s="1" t="s">
        <v>547</v>
      </c>
      <c r="AI17" s="1" t="s">
        <v>547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547</v>
      </c>
      <c r="E18" s="1" t="s">
        <v>547</v>
      </c>
      <c r="F18" s="1" t="s">
        <v>547</v>
      </c>
      <c r="G18" s="1" t="s">
        <v>547</v>
      </c>
      <c r="H18" s="1" t="s">
        <v>547</v>
      </c>
      <c r="I18" s="1" t="s">
        <v>547</v>
      </c>
      <c r="J18" s="1" t="s">
        <v>547</v>
      </c>
      <c r="K18" s="1" t="s">
        <v>547</v>
      </c>
      <c r="L18" s="1" t="s">
        <v>547</v>
      </c>
      <c r="M18" s="1" t="s">
        <v>547</v>
      </c>
      <c r="N18" s="1" t="s">
        <v>547</v>
      </c>
      <c r="O18" s="1" t="s">
        <v>547</v>
      </c>
      <c r="P18" s="1" t="s">
        <v>547</v>
      </c>
      <c r="Q18" s="1" t="s">
        <v>547</v>
      </c>
      <c r="R18" s="1" t="s">
        <v>547</v>
      </c>
      <c r="S18" s="1" t="s">
        <v>547</v>
      </c>
      <c r="T18" s="1" t="s">
        <v>547</v>
      </c>
      <c r="U18" s="1" t="s">
        <v>547</v>
      </c>
      <c r="V18" s="1" t="s">
        <v>547</v>
      </c>
      <c r="W18" s="1" t="s">
        <v>547</v>
      </c>
      <c r="X18" s="1" t="s">
        <v>547</v>
      </c>
      <c r="Y18" s="1" t="s">
        <v>547</v>
      </c>
      <c r="Z18" s="1" t="s">
        <v>547</v>
      </c>
      <c r="AA18" s="1" t="s">
        <v>547</v>
      </c>
      <c r="AB18" s="1" t="s">
        <v>547</v>
      </c>
      <c r="AC18" s="1" t="s">
        <v>547</v>
      </c>
      <c r="AD18" s="1" t="s">
        <v>547</v>
      </c>
      <c r="AE18" s="1" t="s">
        <v>547</v>
      </c>
      <c r="AF18" s="1" t="s">
        <v>547</v>
      </c>
      <c r="AG18" s="1" t="s">
        <v>547</v>
      </c>
      <c r="AH18" s="1" t="s">
        <v>547</v>
      </c>
      <c r="AI18" s="1" t="s">
        <v>547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547</v>
      </c>
      <c r="E19" s="1" t="s">
        <v>547</v>
      </c>
      <c r="F19" s="1" t="s">
        <v>547</v>
      </c>
      <c r="G19" s="1" t="s">
        <v>547</v>
      </c>
      <c r="H19" s="1" t="s">
        <v>547</v>
      </c>
      <c r="I19" s="1" t="s">
        <v>547</v>
      </c>
      <c r="J19" s="1" t="s">
        <v>547</v>
      </c>
      <c r="K19" s="1" t="s">
        <v>547</v>
      </c>
      <c r="L19" s="1" t="s">
        <v>547</v>
      </c>
      <c r="M19" s="1" t="s">
        <v>547</v>
      </c>
      <c r="N19" s="1" t="s">
        <v>547</v>
      </c>
      <c r="O19" s="1" t="s">
        <v>547</v>
      </c>
      <c r="P19" s="1" t="s">
        <v>547</v>
      </c>
      <c r="Q19" s="1" t="s">
        <v>547</v>
      </c>
      <c r="R19" s="1" t="s">
        <v>547</v>
      </c>
      <c r="S19" s="1" t="s">
        <v>547</v>
      </c>
      <c r="T19" s="1" t="s">
        <v>547</v>
      </c>
      <c r="U19" s="1" t="s">
        <v>547</v>
      </c>
      <c r="V19" s="1" t="s">
        <v>547</v>
      </c>
      <c r="W19" s="1" t="s">
        <v>547</v>
      </c>
      <c r="X19" s="1" t="s">
        <v>547</v>
      </c>
      <c r="Y19" s="1" t="s">
        <v>547</v>
      </c>
      <c r="Z19" s="1" t="s">
        <v>547</v>
      </c>
      <c r="AA19" s="1" t="s">
        <v>547</v>
      </c>
      <c r="AB19" s="1" t="s">
        <v>547</v>
      </c>
      <c r="AC19" s="1" t="s">
        <v>547</v>
      </c>
      <c r="AD19" s="1" t="s">
        <v>547</v>
      </c>
      <c r="AE19" s="1" t="s">
        <v>547</v>
      </c>
      <c r="AF19" s="1" t="s">
        <v>547</v>
      </c>
      <c r="AG19" s="1" t="s">
        <v>547</v>
      </c>
      <c r="AH19" s="1" t="s">
        <v>547</v>
      </c>
      <c r="AI19" s="1" t="s">
        <v>547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547</v>
      </c>
      <c r="E20" s="1" t="s">
        <v>547</v>
      </c>
      <c r="F20" s="1" t="s">
        <v>547</v>
      </c>
      <c r="G20" s="1" t="s">
        <v>547</v>
      </c>
      <c r="H20" s="1" t="s">
        <v>547</v>
      </c>
      <c r="I20" s="1" t="s">
        <v>547</v>
      </c>
      <c r="J20" s="1" t="s">
        <v>547</v>
      </c>
      <c r="K20" s="1" t="s">
        <v>547</v>
      </c>
      <c r="L20" s="1" t="s">
        <v>547</v>
      </c>
      <c r="M20" s="1" t="s">
        <v>547</v>
      </c>
      <c r="N20" s="1" t="s">
        <v>547</v>
      </c>
      <c r="O20" s="1" t="s">
        <v>547</v>
      </c>
      <c r="P20" s="1" t="s">
        <v>547</v>
      </c>
      <c r="Q20" s="1" t="s">
        <v>547</v>
      </c>
      <c r="R20" s="1" t="s">
        <v>547</v>
      </c>
      <c r="S20" s="1" t="s">
        <v>547</v>
      </c>
      <c r="T20" s="1" t="s">
        <v>547</v>
      </c>
      <c r="U20" s="1" t="s">
        <v>547</v>
      </c>
      <c r="V20" s="1" t="s">
        <v>547</v>
      </c>
      <c r="W20" s="1" t="s">
        <v>547</v>
      </c>
      <c r="X20" s="1" t="s">
        <v>547</v>
      </c>
      <c r="Y20" s="1" t="s">
        <v>547</v>
      </c>
      <c r="Z20" s="1" t="s">
        <v>547</v>
      </c>
      <c r="AA20" s="1" t="s">
        <v>547</v>
      </c>
      <c r="AB20" s="1" t="s">
        <v>547</v>
      </c>
      <c r="AC20" s="1" t="s">
        <v>547</v>
      </c>
      <c r="AD20" s="1" t="s">
        <v>547</v>
      </c>
      <c r="AE20" s="1" t="s">
        <v>547</v>
      </c>
      <c r="AF20" s="1" t="s">
        <v>547</v>
      </c>
      <c r="AG20" s="1" t="s">
        <v>547</v>
      </c>
      <c r="AH20" s="1" t="s">
        <v>547</v>
      </c>
      <c r="AI20" s="1" t="s">
        <v>547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547</v>
      </c>
      <c r="E21" s="1" t="s">
        <v>547</v>
      </c>
      <c r="F21" s="1" t="s">
        <v>547</v>
      </c>
      <c r="G21" s="1" t="s">
        <v>547</v>
      </c>
      <c r="H21" s="1" t="s">
        <v>547</v>
      </c>
      <c r="I21" s="1" t="s">
        <v>547</v>
      </c>
      <c r="J21" s="1" t="s">
        <v>547</v>
      </c>
      <c r="K21" s="1" t="s">
        <v>547</v>
      </c>
      <c r="L21" s="1" t="s">
        <v>547</v>
      </c>
      <c r="M21" s="1" t="s">
        <v>547</v>
      </c>
      <c r="N21" s="1" t="s">
        <v>547</v>
      </c>
      <c r="O21" s="1" t="s">
        <v>547</v>
      </c>
      <c r="P21" s="1" t="s">
        <v>547</v>
      </c>
      <c r="Q21" s="1" t="s">
        <v>547</v>
      </c>
      <c r="R21" s="1" t="s">
        <v>547</v>
      </c>
      <c r="S21" s="1" t="s">
        <v>547</v>
      </c>
      <c r="T21" s="1" t="s">
        <v>547</v>
      </c>
      <c r="U21" s="1" t="s">
        <v>547</v>
      </c>
      <c r="V21" s="1" t="s">
        <v>547</v>
      </c>
      <c r="W21" s="1" t="s">
        <v>547</v>
      </c>
      <c r="X21" s="1" t="s">
        <v>547</v>
      </c>
      <c r="Y21" s="1" t="s">
        <v>547</v>
      </c>
      <c r="Z21" s="1" t="s">
        <v>547</v>
      </c>
      <c r="AA21" s="1" t="s">
        <v>547</v>
      </c>
      <c r="AB21" s="1" t="s">
        <v>547</v>
      </c>
      <c r="AC21" s="1" t="s">
        <v>547</v>
      </c>
      <c r="AD21" s="1" t="s">
        <v>547</v>
      </c>
      <c r="AE21" s="1" t="s">
        <v>547</v>
      </c>
      <c r="AF21" s="1" t="s">
        <v>547</v>
      </c>
      <c r="AG21" s="1" t="s">
        <v>547</v>
      </c>
      <c r="AH21" s="1" t="s">
        <v>547</v>
      </c>
      <c r="AI21" s="1" t="s">
        <v>547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6.5"/>
  <cols>
    <col min="16" max="16" width="10.75" customWidth="1"/>
    <col min="17" max="17" width="11.75" customWidth="1"/>
    <col min="21" max="21" width="16.125" customWidth="1"/>
  </cols>
  <sheetData>
    <row r="1" spans="1:29">
      <c r="A1" s="1" t="s">
        <v>1255</v>
      </c>
      <c r="B1" s="1" t="s">
        <v>450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452</v>
      </c>
      <c r="P1" s="1" t="s">
        <v>1268</v>
      </c>
      <c r="Q1" s="1" t="s">
        <v>1269</v>
      </c>
      <c r="R1" s="1" t="s">
        <v>1270</v>
      </c>
      <c r="S1" s="1" t="s">
        <v>1271</v>
      </c>
      <c r="T1" s="1" t="s">
        <v>1272</v>
      </c>
      <c r="U1" s="1" t="s">
        <v>1273</v>
      </c>
      <c r="V1" s="1" t="s">
        <v>1274</v>
      </c>
      <c r="W1" s="1" t="s">
        <v>1275</v>
      </c>
      <c r="X1" s="1" t="s">
        <v>1276</v>
      </c>
      <c r="Y1" s="1" t="s">
        <v>1277</v>
      </c>
      <c r="Z1" s="1" t="s">
        <v>1278</v>
      </c>
      <c r="AA1" s="1" t="s">
        <v>1279</v>
      </c>
      <c r="AB1" s="1" t="s">
        <v>1280</v>
      </c>
    </row>
    <row r="2" spans="1:29">
      <c r="A2" s="1" t="s">
        <v>1281</v>
      </c>
      <c r="B2" s="1" t="s">
        <v>453</v>
      </c>
      <c r="C2" s="1" t="s">
        <v>1282</v>
      </c>
      <c r="D2" s="1" t="s">
        <v>1283</v>
      </c>
      <c r="E2" s="1" t="s">
        <v>1284</v>
      </c>
      <c r="F2" s="1" t="s">
        <v>1285</v>
      </c>
      <c r="G2" s="1" t="s">
        <v>547</v>
      </c>
      <c r="H2" s="1" t="s">
        <v>547</v>
      </c>
      <c r="I2" s="1" t="s">
        <v>547</v>
      </c>
      <c r="J2" s="1" t="s">
        <v>547</v>
      </c>
      <c r="K2" s="1" t="s">
        <v>547</v>
      </c>
      <c r="L2" s="1" t="s">
        <v>547</v>
      </c>
      <c r="M2" s="1" t="s">
        <v>547</v>
      </c>
      <c r="N2" s="1" t="s">
        <v>547</v>
      </c>
      <c r="O2" s="1" t="s">
        <v>1286</v>
      </c>
      <c r="P2" s="1" t="s">
        <v>1287</v>
      </c>
      <c r="Q2" s="1" t="s">
        <v>1288</v>
      </c>
      <c r="R2" s="1" t="s">
        <v>1289</v>
      </c>
      <c r="S2" s="1" t="s">
        <v>1290</v>
      </c>
      <c r="T2" s="1" t="s">
        <v>547</v>
      </c>
      <c r="U2" s="1" t="s">
        <v>547</v>
      </c>
      <c r="V2" s="1" t="s">
        <v>547</v>
      </c>
      <c r="W2" s="1" t="s">
        <v>547</v>
      </c>
      <c r="X2" s="1" t="s">
        <v>547</v>
      </c>
      <c r="Y2" s="1" t="s">
        <v>547</v>
      </c>
      <c r="Z2" s="1" t="s">
        <v>547</v>
      </c>
      <c r="AA2" s="1" t="s">
        <v>547</v>
      </c>
      <c r="AB2" s="1" t="s">
        <v>1291</v>
      </c>
      <c r="AC2" s="465">
        <v>43045.229882731503</v>
      </c>
    </row>
    <row r="3" spans="1:29">
      <c r="A3" s="1" t="s">
        <v>1281</v>
      </c>
      <c r="B3" s="1" t="s">
        <v>487</v>
      </c>
      <c r="C3" s="1" t="s">
        <v>1292</v>
      </c>
      <c r="D3" s="1" t="s">
        <v>1293</v>
      </c>
      <c r="E3" s="1" t="s">
        <v>1294</v>
      </c>
      <c r="F3" s="1" t="s">
        <v>1295</v>
      </c>
      <c r="G3" s="1" t="s">
        <v>547</v>
      </c>
      <c r="H3" s="1" t="s">
        <v>547</v>
      </c>
      <c r="I3" s="1" t="s">
        <v>547</v>
      </c>
      <c r="J3" s="1" t="s">
        <v>547</v>
      </c>
      <c r="K3" s="1" t="s">
        <v>547</v>
      </c>
      <c r="L3" s="1" t="s">
        <v>547</v>
      </c>
      <c r="M3" s="1" t="s">
        <v>547</v>
      </c>
      <c r="N3" s="1" t="s">
        <v>547</v>
      </c>
      <c r="O3" s="1" t="s">
        <v>1296</v>
      </c>
      <c r="P3" s="1" t="s">
        <v>1297</v>
      </c>
      <c r="Q3" s="1" t="s">
        <v>1298</v>
      </c>
      <c r="R3" s="1" t="s">
        <v>1299</v>
      </c>
      <c r="S3" s="1" t="s">
        <v>488</v>
      </c>
      <c r="T3" s="1" t="s">
        <v>547</v>
      </c>
      <c r="U3" s="1" t="s">
        <v>547</v>
      </c>
      <c r="V3" s="1" t="s">
        <v>547</v>
      </c>
      <c r="W3" s="1" t="s">
        <v>547</v>
      </c>
      <c r="X3" s="1" t="s">
        <v>547</v>
      </c>
      <c r="Y3" s="1" t="s">
        <v>547</v>
      </c>
      <c r="Z3" s="1" t="s">
        <v>547</v>
      </c>
      <c r="AA3" s="1" t="s">
        <v>547</v>
      </c>
      <c r="AB3" s="1" t="s">
        <v>1300</v>
      </c>
      <c r="AC3" s="465">
        <v>43045.229882731503</v>
      </c>
    </row>
    <row r="4" spans="1:29">
      <c r="A4" s="1" t="s">
        <v>1281</v>
      </c>
      <c r="B4" s="1" t="s">
        <v>520</v>
      </c>
      <c r="C4" s="1" t="s">
        <v>1301</v>
      </c>
      <c r="D4" s="1" t="s">
        <v>1302</v>
      </c>
      <c r="E4" s="1" t="s">
        <v>1303</v>
      </c>
      <c r="F4" s="1" t="s">
        <v>1304</v>
      </c>
      <c r="G4" s="1" t="s">
        <v>547</v>
      </c>
      <c r="H4" s="1" t="s">
        <v>547</v>
      </c>
      <c r="I4" s="1" t="s">
        <v>547</v>
      </c>
      <c r="J4" s="1" t="s">
        <v>547</v>
      </c>
      <c r="K4" s="1" t="s">
        <v>547</v>
      </c>
      <c r="L4" s="1" t="s">
        <v>547</v>
      </c>
      <c r="M4" s="1" t="s">
        <v>547</v>
      </c>
      <c r="N4" s="1" t="s">
        <v>547</v>
      </c>
      <c r="O4" s="1" t="s">
        <v>1305</v>
      </c>
      <c r="P4" s="1" t="s">
        <v>1306</v>
      </c>
      <c r="Q4" s="1" t="s">
        <v>1307</v>
      </c>
      <c r="R4" s="1" t="s">
        <v>1308</v>
      </c>
      <c r="S4" s="1" t="s">
        <v>521</v>
      </c>
      <c r="T4" s="1" t="s">
        <v>547</v>
      </c>
      <c r="U4" s="1" t="s">
        <v>547</v>
      </c>
      <c r="V4" s="1" t="s">
        <v>547</v>
      </c>
      <c r="W4" s="1" t="s">
        <v>547</v>
      </c>
      <c r="X4" s="1" t="s">
        <v>547</v>
      </c>
      <c r="Y4" s="1" t="s">
        <v>547</v>
      </c>
      <c r="Z4" s="1" t="s">
        <v>547</v>
      </c>
      <c r="AA4" s="1" t="s">
        <v>547</v>
      </c>
      <c r="AB4" s="1" t="s">
        <v>1309</v>
      </c>
      <c r="AC4" s="465">
        <v>43045.229882731503</v>
      </c>
    </row>
    <row r="5" spans="1:29">
      <c r="A5" s="1" t="s">
        <v>1281</v>
      </c>
      <c r="B5" s="1" t="s">
        <v>549</v>
      </c>
      <c r="C5" s="1" t="s">
        <v>1310</v>
      </c>
      <c r="D5" s="1" t="s">
        <v>1311</v>
      </c>
      <c r="E5" s="1" t="s">
        <v>1312</v>
      </c>
      <c r="F5" s="1" t="s">
        <v>1313</v>
      </c>
      <c r="G5" s="1" t="s">
        <v>547</v>
      </c>
      <c r="H5" s="1" t="s">
        <v>547</v>
      </c>
      <c r="I5" s="1" t="s">
        <v>547</v>
      </c>
      <c r="J5" s="1" t="s">
        <v>547</v>
      </c>
      <c r="K5" s="1" t="s">
        <v>547</v>
      </c>
      <c r="L5" s="1" t="s">
        <v>547</v>
      </c>
      <c r="M5" s="1" t="s">
        <v>547</v>
      </c>
      <c r="N5" s="1" t="s">
        <v>547</v>
      </c>
      <c r="O5" s="1" t="s">
        <v>1314</v>
      </c>
      <c r="P5" s="1" t="s">
        <v>1315</v>
      </c>
      <c r="Q5" s="1" t="s">
        <v>1316</v>
      </c>
      <c r="R5" s="1" t="s">
        <v>1317</v>
      </c>
      <c r="S5" s="1" t="s">
        <v>550</v>
      </c>
      <c r="T5" s="1" t="s">
        <v>547</v>
      </c>
      <c r="U5" s="1" t="s">
        <v>547</v>
      </c>
      <c r="V5" s="1" t="s">
        <v>547</v>
      </c>
      <c r="W5" s="1" t="s">
        <v>547</v>
      </c>
      <c r="X5" s="1" t="s">
        <v>547</v>
      </c>
      <c r="Y5" s="1" t="s">
        <v>547</v>
      </c>
      <c r="Z5" s="1" t="s">
        <v>547</v>
      </c>
      <c r="AA5" s="1" t="s">
        <v>547</v>
      </c>
      <c r="AB5" s="1" t="s">
        <v>1318</v>
      </c>
      <c r="AC5" s="465">
        <v>43045.229882731503</v>
      </c>
    </row>
    <row r="6" spans="1:29">
      <c r="A6" s="1" t="s">
        <v>1281</v>
      </c>
      <c r="B6" s="1" t="s">
        <v>578</v>
      </c>
      <c r="C6" s="1" t="s">
        <v>1319</v>
      </c>
      <c r="D6" s="1" t="s">
        <v>1320</v>
      </c>
      <c r="E6" s="1" t="s">
        <v>1321</v>
      </c>
      <c r="F6" s="1" t="s">
        <v>1322</v>
      </c>
      <c r="G6" s="1" t="s">
        <v>547</v>
      </c>
      <c r="H6" s="1" t="s">
        <v>547</v>
      </c>
      <c r="I6" s="1" t="s">
        <v>547</v>
      </c>
      <c r="J6" s="1" t="s">
        <v>547</v>
      </c>
      <c r="K6" s="1" t="s">
        <v>547</v>
      </c>
      <c r="L6" s="1" t="s">
        <v>547</v>
      </c>
      <c r="M6" s="1" t="s">
        <v>547</v>
      </c>
      <c r="N6" s="1" t="s">
        <v>547</v>
      </c>
      <c r="O6" s="1" t="s">
        <v>1323</v>
      </c>
      <c r="P6" s="1" t="s">
        <v>1324</v>
      </c>
      <c r="Q6" s="1" t="s">
        <v>1325</v>
      </c>
      <c r="R6" s="1" t="s">
        <v>1326</v>
      </c>
      <c r="S6" s="1" t="s">
        <v>1327</v>
      </c>
      <c r="T6" s="1" t="s">
        <v>547</v>
      </c>
      <c r="U6" s="1" t="s">
        <v>547</v>
      </c>
      <c r="V6" s="1" t="s">
        <v>547</v>
      </c>
      <c r="W6" s="1" t="s">
        <v>547</v>
      </c>
      <c r="X6" s="1" t="s">
        <v>547</v>
      </c>
      <c r="Y6" s="1" t="s">
        <v>547</v>
      </c>
      <c r="Z6" s="1" t="s">
        <v>547</v>
      </c>
      <c r="AA6" s="1" t="s">
        <v>547</v>
      </c>
      <c r="AB6" s="1" t="s">
        <v>1328</v>
      </c>
      <c r="AC6" s="465">
        <v>43045.229882731503</v>
      </c>
    </row>
    <row r="7" spans="1:29">
      <c r="A7" s="1" t="s">
        <v>1281</v>
      </c>
      <c r="B7" s="1" t="s">
        <v>610</v>
      </c>
      <c r="C7" s="1" t="s">
        <v>547</v>
      </c>
      <c r="D7" s="1" t="s">
        <v>547</v>
      </c>
      <c r="E7" s="1" t="s">
        <v>547</v>
      </c>
      <c r="F7" s="1" t="s">
        <v>547</v>
      </c>
      <c r="G7" s="1" t="s">
        <v>547</v>
      </c>
      <c r="H7" s="1" t="s">
        <v>547</v>
      </c>
      <c r="I7" s="1" t="s">
        <v>547</v>
      </c>
      <c r="J7" s="1" t="s">
        <v>547</v>
      </c>
      <c r="K7" s="1" t="s">
        <v>547</v>
      </c>
      <c r="L7" s="1" t="s">
        <v>547</v>
      </c>
      <c r="M7" s="1" t="s">
        <v>547</v>
      </c>
      <c r="N7" s="1" t="s">
        <v>547</v>
      </c>
      <c r="O7" s="1" t="s">
        <v>547</v>
      </c>
      <c r="P7" s="1" t="s">
        <v>547</v>
      </c>
      <c r="Q7" s="1" t="s">
        <v>547</v>
      </c>
      <c r="R7" s="1" t="s">
        <v>547</v>
      </c>
      <c r="S7" s="1" t="s">
        <v>547</v>
      </c>
      <c r="T7" s="1" t="s">
        <v>547</v>
      </c>
      <c r="U7" s="1" t="s">
        <v>547</v>
      </c>
      <c r="V7" s="1" t="s">
        <v>547</v>
      </c>
      <c r="W7" s="1" t="s">
        <v>547</v>
      </c>
      <c r="X7" s="1" t="s">
        <v>547</v>
      </c>
      <c r="Y7" s="1" t="s">
        <v>547</v>
      </c>
      <c r="Z7" s="1" t="s">
        <v>547</v>
      </c>
      <c r="AA7" s="1" t="s">
        <v>547</v>
      </c>
      <c r="AB7" s="1" t="s">
        <v>547</v>
      </c>
      <c r="AC7" s="465">
        <v>43045.229882731503</v>
      </c>
    </row>
    <row r="8" spans="1:29">
      <c r="A8" s="1" t="s">
        <v>1281</v>
      </c>
      <c r="B8" s="1" t="s">
        <v>611</v>
      </c>
      <c r="C8" s="1" t="s">
        <v>1329</v>
      </c>
      <c r="D8" s="1" t="s">
        <v>1330</v>
      </c>
      <c r="E8" s="1" t="s">
        <v>1331</v>
      </c>
      <c r="F8" s="1" t="s">
        <v>1332</v>
      </c>
      <c r="G8" s="1" t="s">
        <v>547</v>
      </c>
      <c r="H8" s="1" t="s">
        <v>547</v>
      </c>
      <c r="I8" s="1" t="s">
        <v>547</v>
      </c>
      <c r="J8" s="1" t="s">
        <v>547</v>
      </c>
      <c r="K8" s="1" t="s">
        <v>547</v>
      </c>
      <c r="L8" s="1" t="s">
        <v>547</v>
      </c>
      <c r="M8" s="1" t="s">
        <v>547</v>
      </c>
      <c r="N8" s="1" t="s">
        <v>547</v>
      </c>
      <c r="O8" s="1" t="s">
        <v>1333</v>
      </c>
      <c r="P8" s="1" t="s">
        <v>1334</v>
      </c>
      <c r="Q8" s="1" t="s">
        <v>1335</v>
      </c>
      <c r="R8" s="1" t="s">
        <v>1336</v>
      </c>
      <c r="S8" s="1" t="s">
        <v>612</v>
      </c>
      <c r="T8" s="1" t="s">
        <v>547</v>
      </c>
      <c r="U8" s="1" t="s">
        <v>547</v>
      </c>
      <c r="V8" s="1" t="s">
        <v>547</v>
      </c>
      <c r="W8" s="1" t="s">
        <v>547</v>
      </c>
      <c r="X8" s="1" t="s">
        <v>547</v>
      </c>
      <c r="Y8" s="1" t="s">
        <v>547</v>
      </c>
      <c r="Z8" s="1" t="s">
        <v>547</v>
      </c>
      <c r="AA8" s="1" t="s">
        <v>547</v>
      </c>
      <c r="AB8" s="1" t="s">
        <v>1337</v>
      </c>
      <c r="AC8" s="465">
        <v>43045.229882731503</v>
      </c>
    </row>
    <row r="9" spans="1:29">
      <c r="A9" s="1" t="s">
        <v>1281</v>
      </c>
      <c r="B9" s="1" t="s">
        <v>641</v>
      </c>
      <c r="C9" s="1" t="s">
        <v>547</v>
      </c>
      <c r="D9" s="1" t="s">
        <v>547</v>
      </c>
      <c r="E9" s="1" t="s">
        <v>547</v>
      </c>
      <c r="F9" s="1" t="s">
        <v>547</v>
      </c>
      <c r="G9" s="1" t="s">
        <v>547</v>
      </c>
      <c r="H9" s="1" t="s">
        <v>547</v>
      </c>
      <c r="I9" s="1" t="s">
        <v>547</v>
      </c>
      <c r="J9" s="1" t="s">
        <v>547</v>
      </c>
      <c r="K9" s="1" t="s">
        <v>547</v>
      </c>
      <c r="L9" s="1" t="s">
        <v>547</v>
      </c>
      <c r="M9" s="1" t="s">
        <v>547</v>
      </c>
      <c r="N9" s="1" t="s">
        <v>547</v>
      </c>
      <c r="O9" s="1" t="s">
        <v>547</v>
      </c>
      <c r="P9" s="1" t="s">
        <v>547</v>
      </c>
      <c r="Q9" s="1" t="s">
        <v>547</v>
      </c>
      <c r="R9" s="1" t="s">
        <v>547</v>
      </c>
      <c r="S9" s="1" t="s">
        <v>547</v>
      </c>
      <c r="T9" s="1" t="s">
        <v>547</v>
      </c>
      <c r="U9" s="1" t="s">
        <v>547</v>
      </c>
      <c r="V9" s="1" t="s">
        <v>547</v>
      </c>
      <c r="W9" s="1" t="s">
        <v>547</v>
      </c>
      <c r="X9" s="1" t="s">
        <v>547</v>
      </c>
      <c r="Y9" s="1" t="s">
        <v>547</v>
      </c>
      <c r="Z9" s="1" t="s">
        <v>547</v>
      </c>
      <c r="AA9" s="1" t="s">
        <v>547</v>
      </c>
      <c r="AB9" s="1" t="s">
        <v>547</v>
      </c>
      <c r="AC9" s="465">
        <v>43045.229882731503</v>
      </c>
    </row>
    <row r="10" spans="1:29">
      <c r="A10" s="1" t="s">
        <v>1281</v>
      </c>
      <c r="B10" s="1" t="s">
        <v>642</v>
      </c>
      <c r="C10" s="1" t="s">
        <v>1338</v>
      </c>
      <c r="D10" s="1" t="s">
        <v>1339</v>
      </c>
      <c r="E10" s="1" t="s">
        <v>1340</v>
      </c>
      <c r="F10" s="1" t="s">
        <v>1341</v>
      </c>
      <c r="G10" s="1" t="s">
        <v>547</v>
      </c>
      <c r="H10" s="1" t="s">
        <v>547</v>
      </c>
      <c r="I10" s="1" t="s">
        <v>547</v>
      </c>
      <c r="J10" s="1" t="s">
        <v>547</v>
      </c>
      <c r="K10" s="1" t="s">
        <v>547</v>
      </c>
      <c r="L10" s="1" t="s">
        <v>547</v>
      </c>
      <c r="M10" s="1" t="s">
        <v>547</v>
      </c>
      <c r="N10" s="1" t="s">
        <v>547</v>
      </c>
      <c r="O10" s="1" t="s">
        <v>1342</v>
      </c>
      <c r="P10" s="1" t="s">
        <v>1343</v>
      </c>
      <c r="Q10" s="1" t="s">
        <v>1344</v>
      </c>
      <c r="R10" s="1" t="s">
        <v>1345</v>
      </c>
      <c r="S10" s="1" t="s">
        <v>643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1346</v>
      </c>
      <c r="AC10" s="465">
        <v>43045.229882731503</v>
      </c>
    </row>
    <row r="11" spans="1:29">
      <c r="A11" s="1" t="s">
        <v>1281</v>
      </c>
      <c r="B11" s="1" t="s">
        <v>671</v>
      </c>
      <c r="C11" s="1" t="s">
        <v>672</v>
      </c>
      <c r="D11" s="1" t="s">
        <v>672</v>
      </c>
      <c r="E11" s="1" t="s">
        <v>1347</v>
      </c>
      <c r="F11" s="1" t="s">
        <v>672</v>
      </c>
      <c r="G11" s="1" t="s">
        <v>547</v>
      </c>
      <c r="H11" s="1" t="s">
        <v>547</v>
      </c>
      <c r="I11" s="1" t="s">
        <v>547</v>
      </c>
      <c r="J11" s="1" t="s">
        <v>547</v>
      </c>
      <c r="K11" s="1" t="s">
        <v>547</v>
      </c>
      <c r="L11" s="1" t="s">
        <v>547</v>
      </c>
      <c r="M11" s="1" t="s">
        <v>547</v>
      </c>
      <c r="N11" s="1" t="s">
        <v>547</v>
      </c>
      <c r="O11" s="1" t="s">
        <v>1348</v>
      </c>
      <c r="P11" s="1" t="s">
        <v>672</v>
      </c>
      <c r="Q11" s="1" t="s">
        <v>672</v>
      </c>
      <c r="R11" s="1" t="s">
        <v>672</v>
      </c>
      <c r="S11" s="1" t="s">
        <v>672</v>
      </c>
      <c r="T11" s="1" t="s">
        <v>547</v>
      </c>
      <c r="U11" s="1" t="s">
        <v>547</v>
      </c>
      <c r="V11" s="1" t="s">
        <v>547</v>
      </c>
      <c r="W11" s="1" t="s">
        <v>547</v>
      </c>
      <c r="X11" s="1" t="s">
        <v>547</v>
      </c>
      <c r="Y11" s="1" t="s">
        <v>547</v>
      </c>
      <c r="Z11" s="1" t="s">
        <v>547</v>
      </c>
      <c r="AA11" s="1" t="s">
        <v>547</v>
      </c>
      <c r="AB11" s="1" t="s">
        <v>672</v>
      </c>
      <c r="AC11" s="465">
        <v>43045.229882731503</v>
      </c>
    </row>
    <row r="12" spans="1:29">
      <c r="A12" s="1" t="s">
        <v>1281</v>
      </c>
      <c r="B12" s="1" t="s">
        <v>673</v>
      </c>
      <c r="C12" s="1" t="s">
        <v>547</v>
      </c>
      <c r="D12" s="1" t="s">
        <v>547</v>
      </c>
      <c r="E12" s="1" t="s">
        <v>1349</v>
      </c>
      <c r="F12" s="1" t="s">
        <v>547</v>
      </c>
      <c r="G12" s="1" t="s">
        <v>547</v>
      </c>
      <c r="H12" s="1" t="s">
        <v>547</v>
      </c>
      <c r="I12" s="1" t="s">
        <v>547</v>
      </c>
      <c r="J12" s="1" t="s">
        <v>547</v>
      </c>
      <c r="K12" s="1" t="s">
        <v>547</v>
      </c>
      <c r="L12" s="1" t="s">
        <v>547</v>
      </c>
      <c r="M12" s="1" t="s">
        <v>547</v>
      </c>
      <c r="N12" s="1" t="s">
        <v>547</v>
      </c>
      <c r="O12" s="1" t="s">
        <v>1350</v>
      </c>
      <c r="P12" s="1" t="s">
        <v>547</v>
      </c>
      <c r="Q12" s="1" t="s">
        <v>547</v>
      </c>
      <c r="R12" s="1" t="s">
        <v>547</v>
      </c>
      <c r="S12" s="1" t="s">
        <v>547</v>
      </c>
      <c r="T12" s="1" t="s">
        <v>547</v>
      </c>
      <c r="U12" s="1" t="s">
        <v>547</v>
      </c>
      <c r="V12" s="1" t="s">
        <v>547</v>
      </c>
      <c r="W12" s="1" t="s">
        <v>547</v>
      </c>
      <c r="X12" s="1" t="s">
        <v>547</v>
      </c>
      <c r="Y12" s="1" t="s">
        <v>547</v>
      </c>
      <c r="Z12" s="1" t="s">
        <v>547</v>
      </c>
      <c r="AA12" s="1" t="s">
        <v>547</v>
      </c>
      <c r="AB12" s="1" t="s">
        <v>547</v>
      </c>
      <c r="AC12" s="465">
        <v>43045.229882731503</v>
      </c>
    </row>
    <row r="13" spans="1:29">
      <c r="A13" s="1" t="s">
        <v>1281</v>
      </c>
      <c r="B13" s="1" t="s">
        <v>674</v>
      </c>
      <c r="C13" s="1" t="s">
        <v>1351</v>
      </c>
      <c r="D13" s="1" t="s">
        <v>1352</v>
      </c>
      <c r="E13" s="1" t="s">
        <v>1353</v>
      </c>
      <c r="F13" s="1" t="s">
        <v>1354</v>
      </c>
      <c r="G13" s="1" t="s">
        <v>547</v>
      </c>
      <c r="H13" s="1" t="s">
        <v>547</v>
      </c>
      <c r="I13" s="1" t="s">
        <v>547</v>
      </c>
      <c r="J13" s="1" t="s">
        <v>547</v>
      </c>
      <c r="K13" s="1" t="s">
        <v>547</v>
      </c>
      <c r="L13" s="1" t="s">
        <v>547</v>
      </c>
      <c r="M13" s="1" t="s">
        <v>547</v>
      </c>
      <c r="N13" s="1" t="s">
        <v>547</v>
      </c>
      <c r="O13" s="1" t="s">
        <v>1355</v>
      </c>
      <c r="P13" s="1" t="s">
        <v>1356</v>
      </c>
      <c r="Q13" s="1" t="s">
        <v>1357</v>
      </c>
      <c r="R13" s="1" t="s">
        <v>1358</v>
      </c>
      <c r="S13" s="1" t="s">
        <v>675</v>
      </c>
      <c r="T13" s="1" t="s">
        <v>547</v>
      </c>
      <c r="U13" s="1" t="s">
        <v>547</v>
      </c>
      <c r="V13" s="1" t="s">
        <v>547</v>
      </c>
      <c r="W13" s="1" t="s">
        <v>547</v>
      </c>
      <c r="X13" s="1" t="s">
        <v>547</v>
      </c>
      <c r="Y13" s="1" t="s">
        <v>547</v>
      </c>
      <c r="Z13" s="1" t="s">
        <v>547</v>
      </c>
      <c r="AA13" s="1" t="s">
        <v>547</v>
      </c>
      <c r="AB13" s="1" t="s">
        <v>1359</v>
      </c>
      <c r="AC13" s="465">
        <v>43045.229882731503</v>
      </c>
    </row>
    <row r="14" spans="1:29">
      <c r="A14" s="1" t="s">
        <v>1281</v>
      </c>
      <c r="B14" s="1" t="s">
        <v>702</v>
      </c>
      <c r="C14" s="1" t="s">
        <v>1360</v>
      </c>
      <c r="D14" s="1" t="s">
        <v>1361</v>
      </c>
      <c r="E14" s="1" t="s">
        <v>1362</v>
      </c>
      <c r="F14" s="1" t="s">
        <v>1363</v>
      </c>
      <c r="G14" s="1" t="s">
        <v>547</v>
      </c>
      <c r="H14" s="1" t="s">
        <v>547</v>
      </c>
      <c r="I14" s="1" t="s">
        <v>547</v>
      </c>
      <c r="J14" s="1" t="s">
        <v>547</v>
      </c>
      <c r="K14" s="1" t="s">
        <v>547</v>
      </c>
      <c r="L14" s="1" t="s">
        <v>547</v>
      </c>
      <c r="M14" s="1" t="s">
        <v>547</v>
      </c>
      <c r="N14" s="1" t="s">
        <v>547</v>
      </c>
      <c r="O14" s="1" t="s">
        <v>1364</v>
      </c>
      <c r="P14" s="1" t="s">
        <v>1365</v>
      </c>
      <c r="Q14" s="1" t="s">
        <v>1366</v>
      </c>
      <c r="R14" s="1" t="s">
        <v>1367</v>
      </c>
      <c r="S14" s="1" t="s">
        <v>703</v>
      </c>
      <c r="T14" s="1" t="s">
        <v>547</v>
      </c>
      <c r="U14" s="1" t="s">
        <v>547</v>
      </c>
      <c r="V14" s="1" t="s">
        <v>547</v>
      </c>
      <c r="W14" s="1" t="s">
        <v>547</v>
      </c>
      <c r="X14" s="1" t="s">
        <v>547</v>
      </c>
      <c r="Y14" s="1" t="s">
        <v>547</v>
      </c>
      <c r="Z14" s="1" t="s">
        <v>547</v>
      </c>
      <c r="AA14" s="1" t="s">
        <v>547</v>
      </c>
      <c r="AB14" s="1" t="s">
        <v>1368</v>
      </c>
      <c r="AC14" s="465">
        <v>43045.229882731503</v>
      </c>
    </row>
    <row r="15" spans="1:29">
      <c r="A15" s="1" t="s">
        <v>1281</v>
      </c>
      <c r="B15" s="1" t="s">
        <v>728</v>
      </c>
      <c r="C15" s="1" t="s">
        <v>1369</v>
      </c>
      <c r="D15" s="1" t="s">
        <v>1370</v>
      </c>
      <c r="E15" s="1" t="s">
        <v>1371</v>
      </c>
      <c r="F15" s="1" t="s">
        <v>1372</v>
      </c>
      <c r="G15" s="1" t="s">
        <v>547</v>
      </c>
      <c r="H15" s="1" t="s">
        <v>547</v>
      </c>
      <c r="I15" s="1" t="s">
        <v>547</v>
      </c>
      <c r="J15" s="1" t="s">
        <v>547</v>
      </c>
      <c r="K15" s="1" t="s">
        <v>547</v>
      </c>
      <c r="L15" s="1" t="s">
        <v>547</v>
      </c>
      <c r="M15" s="1" t="s">
        <v>547</v>
      </c>
      <c r="N15" s="1" t="s">
        <v>547</v>
      </c>
      <c r="O15" s="1" t="s">
        <v>1373</v>
      </c>
      <c r="P15" s="1" t="s">
        <v>1374</v>
      </c>
      <c r="Q15" s="1" t="s">
        <v>1375</v>
      </c>
      <c r="R15" s="1" t="s">
        <v>1376</v>
      </c>
      <c r="S15" s="1" t="s">
        <v>729</v>
      </c>
      <c r="T15" s="1" t="s">
        <v>547</v>
      </c>
      <c r="U15" s="1" t="s">
        <v>547</v>
      </c>
      <c r="V15" s="1" t="s">
        <v>547</v>
      </c>
      <c r="W15" s="1" t="s">
        <v>547</v>
      </c>
      <c r="X15" s="1" t="s">
        <v>547</v>
      </c>
      <c r="Y15" s="1" t="s">
        <v>547</v>
      </c>
      <c r="Z15" s="1" t="s">
        <v>547</v>
      </c>
      <c r="AA15" s="1" t="s">
        <v>547</v>
      </c>
      <c r="AB15" s="1" t="s">
        <v>1377</v>
      </c>
      <c r="AC15" s="465">
        <v>43045.229882731503</v>
      </c>
    </row>
    <row r="16" spans="1:29">
      <c r="A16" s="1" t="s">
        <v>1281</v>
      </c>
      <c r="B16" s="1" t="s">
        <v>1378</v>
      </c>
      <c r="C16" s="1" t="s">
        <v>547</v>
      </c>
      <c r="D16" s="1" t="s">
        <v>547</v>
      </c>
      <c r="E16" s="1" t="s">
        <v>547</v>
      </c>
      <c r="F16" s="1" t="s">
        <v>547</v>
      </c>
      <c r="G16" s="1" t="s">
        <v>547</v>
      </c>
      <c r="H16" s="1" t="s">
        <v>547</v>
      </c>
      <c r="I16" s="1" t="s">
        <v>547</v>
      </c>
      <c r="J16" s="1" t="s">
        <v>547</v>
      </c>
      <c r="K16" s="1" t="s">
        <v>547</v>
      </c>
      <c r="L16" s="1" t="s">
        <v>547</v>
      </c>
      <c r="M16" s="1" t="s">
        <v>547</v>
      </c>
      <c r="N16" s="1" t="s">
        <v>547</v>
      </c>
      <c r="O16" s="1" t="s">
        <v>547</v>
      </c>
      <c r="P16" s="1" t="s">
        <v>547</v>
      </c>
      <c r="Q16" s="1" t="s">
        <v>547</v>
      </c>
      <c r="R16" s="1" t="s">
        <v>547</v>
      </c>
      <c r="S16" s="1" t="s">
        <v>547</v>
      </c>
      <c r="T16" s="1" t="s">
        <v>547</v>
      </c>
      <c r="U16" s="1" t="s">
        <v>547</v>
      </c>
      <c r="V16" s="1" t="s">
        <v>547</v>
      </c>
      <c r="W16" s="1" t="s">
        <v>547</v>
      </c>
      <c r="X16" s="1" t="s">
        <v>547</v>
      </c>
      <c r="Y16" s="1" t="s">
        <v>547</v>
      </c>
      <c r="Z16" s="1" t="s">
        <v>547</v>
      </c>
      <c r="AA16" s="1" t="s">
        <v>547</v>
      </c>
      <c r="AB16" s="1" t="s">
        <v>547</v>
      </c>
      <c r="AC16" s="465">
        <v>43045.229882731503</v>
      </c>
    </row>
    <row r="17" spans="1:29">
      <c r="A17" s="1" t="s">
        <v>1281</v>
      </c>
      <c r="B17" s="1" t="s">
        <v>745</v>
      </c>
      <c r="C17" s="1" t="s">
        <v>1379</v>
      </c>
      <c r="D17" s="1" t="s">
        <v>1380</v>
      </c>
      <c r="E17" s="1" t="s">
        <v>1381</v>
      </c>
      <c r="F17" s="1" t="s">
        <v>1382</v>
      </c>
      <c r="G17" s="1" t="s">
        <v>547</v>
      </c>
      <c r="H17" s="1" t="s">
        <v>547</v>
      </c>
      <c r="I17" s="1" t="s">
        <v>547</v>
      </c>
      <c r="J17" s="1" t="s">
        <v>547</v>
      </c>
      <c r="K17" s="1" t="s">
        <v>547</v>
      </c>
      <c r="L17" s="1" t="s">
        <v>547</v>
      </c>
      <c r="M17" s="1" t="s">
        <v>547</v>
      </c>
      <c r="N17" s="1" t="s">
        <v>547</v>
      </c>
      <c r="O17" s="1" t="s">
        <v>1383</v>
      </c>
      <c r="P17" s="1" t="s">
        <v>1384</v>
      </c>
      <c r="Q17" s="1" t="s">
        <v>1385</v>
      </c>
      <c r="R17" s="1" t="s">
        <v>1386</v>
      </c>
      <c r="S17" s="1" t="s">
        <v>746</v>
      </c>
      <c r="T17" s="1" t="s">
        <v>547</v>
      </c>
      <c r="U17" s="1" t="s">
        <v>547</v>
      </c>
      <c r="V17" s="1" t="s">
        <v>547</v>
      </c>
      <c r="W17" s="1" t="s">
        <v>547</v>
      </c>
      <c r="X17" s="1" t="s">
        <v>547</v>
      </c>
      <c r="Y17" s="1" t="s">
        <v>547</v>
      </c>
      <c r="Z17" s="1" t="s">
        <v>547</v>
      </c>
      <c r="AA17" s="1" t="s">
        <v>547</v>
      </c>
      <c r="AB17" s="1" t="s">
        <v>1387</v>
      </c>
      <c r="AC17" s="465">
        <v>43045.229882731503</v>
      </c>
    </row>
    <row r="18" spans="1:29">
      <c r="A18" s="1" t="s">
        <v>1281</v>
      </c>
      <c r="B18" s="464" t="s">
        <v>773</v>
      </c>
      <c r="C18" s="1" t="s">
        <v>1388</v>
      </c>
      <c r="D18" s="1" t="s">
        <v>1389</v>
      </c>
      <c r="E18" s="1" t="s">
        <v>1390</v>
      </c>
      <c r="F18" s="1" t="s">
        <v>1391</v>
      </c>
      <c r="G18" s="1" t="s">
        <v>547</v>
      </c>
      <c r="H18" s="1" t="s">
        <v>547</v>
      </c>
      <c r="I18" s="1" t="s">
        <v>547</v>
      </c>
      <c r="J18" s="1" t="s">
        <v>547</v>
      </c>
      <c r="K18" s="1" t="s">
        <v>547</v>
      </c>
      <c r="L18" s="1" t="s">
        <v>547</v>
      </c>
      <c r="M18" s="1" t="s">
        <v>547</v>
      </c>
      <c r="N18" s="1" t="s">
        <v>547</v>
      </c>
      <c r="O18" s="1" t="s">
        <v>1392</v>
      </c>
      <c r="P18" s="1" t="s">
        <v>1393</v>
      </c>
      <c r="Q18" s="1" t="s">
        <v>1394</v>
      </c>
      <c r="R18" s="1" t="s">
        <v>1395</v>
      </c>
      <c r="S18" s="1" t="s">
        <v>774</v>
      </c>
      <c r="T18" s="1" t="s">
        <v>547</v>
      </c>
      <c r="U18" s="1" t="s">
        <v>547</v>
      </c>
      <c r="V18" s="1" t="s">
        <v>547</v>
      </c>
      <c r="W18" s="1" t="s">
        <v>547</v>
      </c>
      <c r="X18" s="1" t="s">
        <v>547</v>
      </c>
      <c r="Y18" s="1" t="s">
        <v>547</v>
      </c>
      <c r="Z18" s="1" t="s">
        <v>547</v>
      </c>
      <c r="AA18" s="1" t="s">
        <v>547</v>
      </c>
      <c r="AB18" s="1" t="s">
        <v>1396</v>
      </c>
      <c r="AC18" s="465">
        <v>43045.229882731503</v>
      </c>
    </row>
    <row r="19" spans="1:29">
      <c r="A19" s="1" t="s">
        <v>1281</v>
      </c>
      <c r="B19" s="1" t="s">
        <v>802</v>
      </c>
      <c r="C19" s="1" t="s">
        <v>1397</v>
      </c>
      <c r="D19" s="1" t="s">
        <v>1398</v>
      </c>
      <c r="E19" s="1" t="s">
        <v>1399</v>
      </c>
      <c r="F19" s="1" t="s">
        <v>1400</v>
      </c>
      <c r="G19" s="1" t="s">
        <v>547</v>
      </c>
      <c r="H19" s="1" t="s">
        <v>547</v>
      </c>
      <c r="I19" s="1" t="s">
        <v>547</v>
      </c>
      <c r="J19" s="1" t="s">
        <v>547</v>
      </c>
      <c r="K19" s="1" t="s">
        <v>547</v>
      </c>
      <c r="L19" s="1" t="s">
        <v>547</v>
      </c>
      <c r="M19" s="1" t="s">
        <v>547</v>
      </c>
      <c r="N19" s="1" t="s">
        <v>547</v>
      </c>
      <c r="O19" s="1" t="s">
        <v>1401</v>
      </c>
      <c r="P19" s="1" t="s">
        <v>1402</v>
      </c>
      <c r="Q19" s="1" t="s">
        <v>1403</v>
      </c>
      <c r="R19" s="1" t="s">
        <v>1404</v>
      </c>
      <c r="S19" s="1" t="s">
        <v>803</v>
      </c>
      <c r="T19" s="1" t="s">
        <v>547</v>
      </c>
      <c r="U19" s="1" t="s">
        <v>547</v>
      </c>
      <c r="V19" s="1" t="s">
        <v>547</v>
      </c>
      <c r="W19" s="1" t="s">
        <v>547</v>
      </c>
      <c r="X19" s="1" t="s">
        <v>547</v>
      </c>
      <c r="Y19" s="1" t="s">
        <v>547</v>
      </c>
      <c r="Z19" s="1" t="s">
        <v>547</v>
      </c>
      <c r="AA19" s="1" t="s">
        <v>547</v>
      </c>
      <c r="AB19" s="1" t="s">
        <v>1405</v>
      </c>
      <c r="AC19" s="465">
        <v>43045.229882731503</v>
      </c>
    </row>
    <row r="20" spans="1:29">
      <c r="A20" s="1" t="s">
        <v>1281</v>
      </c>
      <c r="B20" s="1" t="s">
        <v>831</v>
      </c>
      <c r="C20" s="1" t="s">
        <v>832</v>
      </c>
      <c r="D20" s="1" t="s">
        <v>832</v>
      </c>
      <c r="E20" s="1" t="s">
        <v>832</v>
      </c>
      <c r="F20" s="1" t="s">
        <v>832</v>
      </c>
      <c r="G20" s="1" t="s">
        <v>547</v>
      </c>
      <c r="H20" s="1" t="s">
        <v>547</v>
      </c>
      <c r="I20" s="1" t="s">
        <v>547</v>
      </c>
      <c r="J20" s="1" t="s">
        <v>547</v>
      </c>
      <c r="K20" s="1" t="s">
        <v>547</v>
      </c>
      <c r="L20" s="1" t="s">
        <v>547</v>
      </c>
      <c r="M20" s="1" t="s">
        <v>547</v>
      </c>
      <c r="N20" s="1" t="s">
        <v>547</v>
      </c>
      <c r="O20" s="1" t="s">
        <v>832</v>
      </c>
      <c r="P20" s="1" t="s">
        <v>832</v>
      </c>
      <c r="Q20" s="1" t="s">
        <v>832</v>
      </c>
      <c r="R20" s="1" t="s">
        <v>832</v>
      </c>
      <c r="S20" s="1" t="s">
        <v>832</v>
      </c>
      <c r="T20" s="1" t="s">
        <v>547</v>
      </c>
      <c r="U20" s="1" t="s">
        <v>547</v>
      </c>
      <c r="V20" s="1" t="s">
        <v>547</v>
      </c>
      <c r="W20" s="1" t="s">
        <v>547</v>
      </c>
      <c r="X20" s="1" t="s">
        <v>547</v>
      </c>
      <c r="Y20" s="1" t="s">
        <v>547</v>
      </c>
      <c r="Z20" s="1" t="s">
        <v>547</v>
      </c>
      <c r="AA20" s="1" t="s">
        <v>547</v>
      </c>
      <c r="AB20" s="1" t="s">
        <v>832</v>
      </c>
      <c r="AC20" s="465">
        <v>43045.229882731503</v>
      </c>
    </row>
    <row r="21" spans="1:29">
      <c r="A21" s="1" t="s">
        <v>1281</v>
      </c>
      <c r="B21" s="1" t="s">
        <v>833</v>
      </c>
      <c r="C21" s="1" t="s">
        <v>834</v>
      </c>
      <c r="D21" s="1" t="s">
        <v>834</v>
      </c>
      <c r="E21" s="1" t="s">
        <v>834</v>
      </c>
      <c r="F21" s="1" t="s">
        <v>834</v>
      </c>
      <c r="G21" s="1" t="s">
        <v>547</v>
      </c>
      <c r="H21" s="1" t="s">
        <v>547</v>
      </c>
      <c r="I21" s="1" t="s">
        <v>547</v>
      </c>
      <c r="J21" s="1" t="s">
        <v>547</v>
      </c>
      <c r="K21" s="1" t="s">
        <v>547</v>
      </c>
      <c r="L21" s="1" t="s">
        <v>547</v>
      </c>
      <c r="M21" s="1" t="s">
        <v>547</v>
      </c>
      <c r="N21" s="1" t="s">
        <v>547</v>
      </c>
      <c r="O21" s="1" t="s">
        <v>834</v>
      </c>
      <c r="P21" s="1" t="s">
        <v>834</v>
      </c>
      <c r="Q21" s="1" t="s">
        <v>834</v>
      </c>
      <c r="R21" s="1" t="s">
        <v>834</v>
      </c>
      <c r="S21" s="1" t="s">
        <v>834</v>
      </c>
      <c r="T21" s="1" t="s">
        <v>547</v>
      </c>
      <c r="U21" s="1" t="s">
        <v>547</v>
      </c>
      <c r="V21" s="1" t="s">
        <v>547</v>
      </c>
      <c r="W21" s="1" t="s">
        <v>547</v>
      </c>
      <c r="X21" s="1" t="s">
        <v>547</v>
      </c>
      <c r="Y21" s="1" t="s">
        <v>547</v>
      </c>
      <c r="Z21" s="1" t="s">
        <v>547</v>
      </c>
      <c r="AA21" s="1" t="s">
        <v>547</v>
      </c>
      <c r="AB21" s="1" t="s">
        <v>834</v>
      </c>
      <c r="AC21" s="465">
        <v>43045.229882731503</v>
      </c>
    </row>
    <row r="22" spans="1:29">
      <c r="A22" s="1" t="s">
        <v>1281</v>
      </c>
      <c r="B22" s="1" t="s">
        <v>835</v>
      </c>
      <c r="C22" s="1" t="s">
        <v>1406</v>
      </c>
      <c r="D22" s="1" t="s">
        <v>1407</v>
      </c>
      <c r="E22" s="1" t="s">
        <v>1408</v>
      </c>
      <c r="F22" s="1" t="s">
        <v>1409</v>
      </c>
      <c r="G22" s="1" t="s">
        <v>547</v>
      </c>
      <c r="H22" s="1" t="s">
        <v>547</v>
      </c>
      <c r="I22" s="1" t="s">
        <v>547</v>
      </c>
      <c r="J22" s="1" t="s">
        <v>547</v>
      </c>
      <c r="K22" s="1" t="s">
        <v>547</v>
      </c>
      <c r="L22" s="1" t="s">
        <v>547</v>
      </c>
      <c r="M22" s="1" t="s">
        <v>547</v>
      </c>
      <c r="N22" s="1" t="s">
        <v>547</v>
      </c>
      <c r="O22" s="1" t="s">
        <v>1410</v>
      </c>
      <c r="P22" s="1" t="s">
        <v>1411</v>
      </c>
      <c r="Q22" s="1" t="s">
        <v>1412</v>
      </c>
      <c r="R22" s="1" t="s">
        <v>1413</v>
      </c>
      <c r="S22" s="1" t="s">
        <v>836</v>
      </c>
      <c r="T22" s="1" t="s">
        <v>547</v>
      </c>
      <c r="U22" s="1" t="s">
        <v>547</v>
      </c>
      <c r="V22" s="1" t="s">
        <v>547</v>
      </c>
      <c r="W22" s="1" t="s">
        <v>547</v>
      </c>
      <c r="X22" s="1" t="s">
        <v>547</v>
      </c>
      <c r="Y22" s="1" t="s">
        <v>547</v>
      </c>
      <c r="Z22" s="1" t="s">
        <v>547</v>
      </c>
      <c r="AA22" s="1" t="s">
        <v>547</v>
      </c>
      <c r="AB22" s="1" t="s">
        <v>1414</v>
      </c>
      <c r="AC22" s="465">
        <v>43045.229882731503</v>
      </c>
    </row>
    <row r="23" spans="1:29">
      <c r="A23" s="1" t="s">
        <v>1281</v>
      </c>
      <c r="B23" s="464" t="s">
        <v>842</v>
      </c>
      <c r="C23" s="1" t="s">
        <v>547</v>
      </c>
      <c r="D23" s="1" t="s">
        <v>547</v>
      </c>
      <c r="E23" s="1" t="s">
        <v>547</v>
      </c>
      <c r="F23" s="1" t="s">
        <v>547</v>
      </c>
      <c r="G23" s="1" t="s">
        <v>547</v>
      </c>
      <c r="H23" s="1" t="s">
        <v>547</v>
      </c>
      <c r="I23" s="1" t="s">
        <v>547</v>
      </c>
      <c r="J23" s="1" t="s">
        <v>547</v>
      </c>
      <c r="K23" s="1" t="s">
        <v>547</v>
      </c>
      <c r="L23" s="1" t="s">
        <v>547</v>
      </c>
      <c r="M23" s="1" t="s">
        <v>547</v>
      </c>
      <c r="N23" s="1" t="s">
        <v>547</v>
      </c>
      <c r="O23" s="1" t="s">
        <v>547</v>
      </c>
      <c r="P23" s="1" t="s">
        <v>547</v>
      </c>
      <c r="Q23" s="1" t="s">
        <v>547</v>
      </c>
      <c r="R23" s="1" t="s">
        <v>547</v>
      </c>
      <c r="S23" s="1" t="s">
        <v>547</v>
      </c>
      <c r="T23" s="1" t="s">
        <v>547</v>
      </c>
      <c r="U23" s="1" t="s">
        <v>547</v>
      </c>
      <c r="V23" s="1" t="s">
        <v>547</v>
      </c>
      <c r="W23" s="1" t="s">
        <v>547</v>
      </c>
      <c r="X23" s="1" t="s">
        <v>547</v>
      </c>
      <c r="Y23" s="1" t="s">
        <v>547</v>
      </c>
      <c r="Z23" s="1" t="s">
        <v>547</v>
      </c>
      <c r="AA23" s="1" t="s">
        <v>547</v>
      </c>
      <c r="AB23" s="1" t="s">
        <v>547</v>
      </c>
      <c r="AC23" s="465">
        <v>43045.229882731503</v>
      </c>
    </row>
    <row r="24" spans="1:29">
      <c r="A24" s="1" t="s">
        <v>1281</v>
      </c>
      <c r="B24" s="464" t="s">
        <v>843</v>
      </c>
      <c r="C24" s="1" t="s">
        <v>547</v>
      </c>
      <c r="D24" s="1" t="s">
        <v>547</v>
      </c>
      <c r="E24" s="1" t="s">
        <v>547</v>
      </c>
      <c r="F24" s="1" t="s">
        <v>547</v>
      </c>
      <c r="G24" s="1" t="s">
        <v>547</v>
      </c>
      <c r="H24" s="1" t="s">
        <v>547</v>
      </c>
      <c r="I24" s="1" t="s">
        <v>547</v>
      </c>
      <c r="J24" s="1" t="s">
        <v>547</v>
      </c>
      <c r="K24" s="1" t="s">
        <v>547</v>
      </c>
      <c r="L24" s="1" t="s">
        <v>547</v>
      </c>
      <c r="M24" s="1" t="s">
        <v>547</v>
      </c>
      <c r="N24" s="1" t="s">
        <v>547</v>
      </c>
      <c r="O24" s="1" t="s">
        <v>547</v>
      </c>
      <c r="P24" s="1" t="s">
        <v>547</v>
      </c>
      <c r="Q24" s="1" t="s">
        <v>547</v>
      </c>
      <c r="R24" s="1" t="s">
        <v>547</v>
      </c>
      <c r="S24" s="1" t="s">
        <v>547</v>
      </c>
      <c r="T24" s="1" t="s">
        <v>547</v>
      </c>
      <c r="U24" s="1" t="s">
        <v>547</v>
      </c>
      <c r="V24" s="1" t="s">
        <v>547</v>
      </c>
      <c r="W24" s="1" t="s">
        <v>547</v>
      </c>
      <c r="X24" s="1" t="s">
        <v>547</v>
      </c>
      <c r="Y24" s="1" t="s">
        <v>547</v>
      </c>
      <c r="Z24" s="1" t="s">
        <v>547</v>
      </c>
      <c r="AA24" s="1" t="s">
        <v>547</v>
      </c>
      <c r="AB24" s="1" t="s">
        <v>547</v>
      </c>
      <c r="AC24" s="465">
        <v>43045.229882731503</v>
      </c>
    </row>
    <row r="25" spans="1:29">
      <c r="A25" s="1" t="s">
        <v>1281</v>
      </c>
      <c r="B25" s="464" t="s">
        <v>844</v>
      </c>
      <c r="C25" s="1" t="s">
        <v>1415</v>
      </c>
      <c r="D25" s="1" t="s">
        <v>1416</v>
      </c>
      <c r="E25" s="1" t="s">
        <v>1417</v>
      </c>
      <c r="F25" s="1" t="s">
        <v>1418</v>
      </c>
      <c r="G25" s="1" t="s">
        <v>547</v>
      </c>
      <c r="H25" s="1" t="s">
        <v>547</v>
      </c>
      <c r="I25" s="1" t="s">
        <v>547</v>
      </c>
      <c r="J25" s="1" t="s">
        <v>547</v>
      </c>
      <c r="K25" s="1" t="s">
        <v>547</v>
      </c>
      <c r="L25" s="1" t="s">
        <v>547</v>
      </c>
      <c r="M25" s="1" t="s">
        <v>547</v>
      </c>
      <c r="N25" s="1" t="s">
        <v>547</v>
      </c>
      <c r="O25" s="1" t="s">
        <v>1419</v>
      </c>
      <c r="P25" s="1" t="s">
        <v>1420</v>
      </c>
      <c r="Q25" s="1" t="s">
        <v>1421</v>
      </c>
      <c r="R25" s="1" t="s">
        <v>1422</v>
      </c>
      <c r="S25" s="1" t="s">
        <v>845</v>
      </c>
      <c r="T25" s="1" t="s">
        <v>547</v>
      </c>
      <c r="U25" s="1" t="s">
        <v>547</v>
      </c>
      <c r="V25" s="1" t="s">
        <v>547</v>
      </c>
      <c r="W25" s="1" t="s">
        <v>547</v>
      </c>
      <c r="X25" s="1" t="s">
        <v>547</v>
      </c>
      <c r="Y25" s="1" t="s">
        <v>547</v>
      </c>
      <c r="Z25" s="1" t="s">
        <v>547</v>
      </c>
      <c r="AA25" s="1" t="s">
        <v>547</v>
      </c>
      <c r="AB25" s="1" t="s">
        <v>1423</v>
      </c>
      <c r="AC25" s="465">
        <v>43045.229882731503</v>
      </c>
    </row>
    <row r="26" spans="1:29">
      <c r="A26" s="1" t="s">
        <v>1281</v>
      </c>
      <c r="B26" s="464" t="s">
        <v>873</v>
      </c>
      <c r="C26" s="1" t="s">
        <v>1424</v>
      </c>
      <c r="D26" s="1" t="s">
        <v>1425</v>
      </c>
      <c r="E26" s="1" t="s">
        <v>1426</v>
      </c>
      <c r="F26" s="1" t="s">
        <v>1427</v>
      </c>
      <c r="G26" s="1" t="s">
        <v>547</v>
      </c>
      <c r="H26" s="1" t="s">
        <v>547</v>
      </c>
      <c r="I26" s="1" t="s">
        <v>547</v>
      </c>
      <c r="J26" s="1" t="s">
        <v>547</v>
      </c>
      <c r="K26" s="1" t="s">
        <v>547</v>
      </c>
      <c r="L26" s="1" t="s">
        <v>547</v>
      </c>
      <c r="M26" s="1" t="s">
        <v>547</v>
      </c>
      <c r="N26" s="1" t="s">
        <v>547</v>
      </c>
      <c r="O26" s="1" t="s">
        <v>1428</v>
      </c>
      <c r="P26" s="1" t="s">
        <v>1429</v>
      </c>
      <c r="Q26" s="1" t="s">
        <v>1430</v>
      </c>
      <c r="R26" s="1" t="s">
        <v>1431</v>
      </c>
      <c r="S26" s="1" t="s">
        <v>874</v>
      </c>
      <c r="T26" s="1" t="s">
        <v>547</v>
      </c>
      <c r="U26" s="1" t="s">
        <v>547</v>
      </c>
      <c r="V26" s="1" t="s">
        <v>547</v>
      </c>
      <c r="W26" s="1" t="s">
        <v>547</v>
      </c>
      <c r="X26" s="1" t="s">
        <v>547</v>
      </c>
      <c r="Y26" s="1" t="s">
        <v>547</v>
      </c>
      <c r="Z26" s="1" t="s">
        <v>547</v>
      </c>
      <c r="AA26" s="1" t="s">
        <v>547</v>
      </c>
      <c r="AB26" s="1" t="s">
        <v>1432</v>
      </c>
      <c r="AC26" s="465">
        <v>43045.229882731503</v>
      </c>
    </row>
    <row r="27" spans="1:29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43045.229882731503</v>
      </c>
    </row>
    <row r="28" spans="1:29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43045.229882731503</v>
      </c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6.5"/>
  <cols>
    <col min="3" max="3" width="11.875" customWidth="1"/>
    <col min="10" max="10" width="11.25" customWidth="1"/>
  </cols>
  <sheetData>
    <row r="1" spans="1:17">
      <c r="A1" s="1" t="s">
        <v>1255</v>
      </c>
      <c r="B1" s="1" t="s">
        <v>450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1267</v>
      </c>
      <c r="O1" s="1" t="s">
        <v>901</v>
      </c>
    </row>
    <row r="2" spans="1:17">
      <c r="A2" s="1" t="s">
        <v>1281</v>
      </c>
      <c r="B2" s="275" t="s">
        <v>453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289</v>
      </c>
      <c r="P2" s="465"/>
      <c r="Q2" s="465"/>
    </row>
    <row r="3" spans="1:17">
      <c r="A3" s="1" t="s">
        <v>1281</v>
      </c>
      <c r="B3" s="275" t="s">
        <v>487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340</v>
      </c>
      <c r="P3" s="465"/>
      <c r="Q3" s="465"/>
    </row>
    <row r="4" spans="1:17">
      <c r="A4" s="1" t="s">
        <v>1281</v>
      </c>
      <c r="B4" s="275" t="s">
        <v>520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292</v>
      </c>
      <c r="P4" s="465"/>
      <c r="Q4" s="465"/>
    </row>
    <row r="5" spans="1:17">
      <c r="A5" s="1" t="s">
        <v>1281</v>
      </c>
      <c r="B5" s="275" t="s">
        <v>549</v>
      </c>
      <c r="C5" s="1" t="s">
        <v>1433</v>
      </c>
      <c r="D5" s="1" t="s">
        <v>371</v>
      </c>
      <c r="E5" s="1" t="s">
        <v>301</v>
      </c>
      <c r="F5" s="1" t="s">
        <v>1434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938</v>
      </c>
      <c r="P5" s="465"/>
      <c r="Q5" s="465"/>
    </row>
    <row r="6" spans="1:17">
      <c r="A6" s="1" t="s">
        <v>1281</v>
      </c>
      <c r="B6" s="275" t="s">
        <v>578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1281</v>
      </c>
      <c r="B7" s="275" t="s">
        <v>610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1281</v>
      </c>
      <c r="B8" s="275" t="s">
        <v>611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320</v>
      </c>
      <c r="P8" s="465"/>
      <c r="Q8" s="465"/>
    </row>
    <row r="9" spans="1:17">
      <c r="A9" s="1" t="s">
        <v>1281</v>
      </c>
      <c r="B9" s="275" t="s">
        <v>911</v>
      </c>
      <c r="C9" s="1" t="s">
        <v>339</v>
      </c>
      <c r="D9" s="1" t="s">
        <v>339</v>
      </c>
      <c r="E9" s="1" t="s">
        <v>936</v>
      </c>
      <c r="F9" s="1" t="s">
        <v>349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971</v>
      </c>
      <c r="P9" s="465"/>
      <c r="Q9" s="465"/>
    </row>
    <row r="10" spans="1:17">
      <c r="A10" s="1" t="s">
        <v>1281</v>
      </c>
      <c r="B10" s="275" t="s">
        <v>913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287</v>
      </c>
      <c r="P10" s="465"/>
      <c r="Q10" s="465"/>
    </row>
    <row r="11" spans="1:17">
      <c r="A11" s="1" t="s">
        <v>1281</v>
      </c>
      <c r="B11" s="275" t="s">
        <v>914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336</v>
      </c>
      <c r="P11" s="465"/>
      <c r="Q11" s="465"/>
    </row>
    <row r="12" spans="1:17">
      <c r="A12" s="1" t="s">
        <v>1281</v>
      </c>
      <c r="B12" s="275" t="s">
        <v>915</v>
      </c>
      <c r="C12" s="1" t="s">
        <v>315</v>
      </c>
      <c r="D12" s="1" t="s">
        <v>937</v>
      </c>
      <c r="E12" s="1" t="s">
        <v>955</v>
      </c>
      <c r="F12" s="1" t="s">
        <v>316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312</v>
      </c>
      <c r="P12" s="465"/>
      <c r="Q12" s="465"/>
    </row>
    <row r="13" spans="1:17">
      <c r="A13" s="1" t="s">
        <v>1281</v>
      </c>
      <c r="B13" s="275" t="s">
        <v>928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371</v>
      </c>
      <c r="P13" s="465"/>
      <c r="Q13" s="465"/>
    </row>
    <row r="14" spans="1:17">
      <c r="A14" s="1" t="s">
        <v>1281</v>
      </c>
      <c r="B14" s="275" t="s">
        <v>929</v>
      </c>
      <c r="C14" s="1" t="s">
        <v>374</v>
      </c>
      <c r="D14" s="1" t="s">
        <v>930</v>
      </c>
      <c r="E14" s="1" t="s">
        <v>315</v>
      </c>
      <c r="F14" s="1" t="s">
        <v>352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352</v>
      </c>
      <c r="P14" s="465"/>
      <c r="Q14" s="465"/>
    </row>
    <row r="15" spans="1:17">
      <c r="A15" s="1" t="s">
        <v>1281</v>
      </c>
      <c r="B15" s="275" t="s">
        <v>940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1281</v>
      </c>
      <c r="B16" s="275" t="s">
        <v>941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323</v>
      </c>
      <c r="P16" s="465"/>
      <c r="Q16" s="465"/>
    </row>
    <row r="17" spans="1:17">
      <c r="A17" s="1" t="s">
        <v>1281</v>
      </c>
      <c r="B17" s="275" t="s">
        <v>942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1281</v>
      </c>
      <c r="B18" s="275" t="s">
        <v>943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1281</v>
      </c>
      <c r="B19" s="275" t="s">
        <v>944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1281</v>
      </c>
      <c r="B20" s="275" t="s">
        <v>945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1281</v>
      </c>
      <c r="B21" s="275" t="s">
        <v>946</v>
      </c>
      <c r="C21" s="1" t="s">
        <v>1435</v>
      </c>
      <c r="D21" s="1" t="s">
        <v>289</v>
      </c>
      <c r="E21" s="1" t="s">
        <v>292</v>
      </c>
      <c r="F21" s="1" t="s">
        <v>293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354</v>
      </c>
      <c r="P21" s="465"/>
      <c r="Q21" s="465"/>
    </row>
    <row r="22" spans="1:17">
      <c r="A22" s="1" t="s">
        <v>1281</v>
      </c>
      <c r="B22" s="275" t="s">
        <v>947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1281</v>
      </c>
      <c r="B23" s="275" t="s">
        <v>948</v>
      </c>
      <c r="C23" s="1" t="s">
        <v>976</v>
      </c>
      <c r="D23" s="1" t="s">
        <v>360</v>
      </c>
      <c r="E23" s="1" t="s">
        <v>364</v>
      </c>
      <c r="F23" s="1" t="s">
        <v>1436</v>
      </c>
      <c r="G23" s="1" t="s">
        <v>356</v>
      </c>
      <c r="H23" s="1" t="s">
        <v>356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328</v>
      </c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6.5"/>
  <sheetData>
    <row r="1" spans="1:17">
      <c r="A1" s="1" t="s">
        <v>1255</v>
      </c>
      <c r="B1" s="1" t="s">
        <v>450</v>
      </c>
      <c r="C1" s="1" t="s">
        <v>954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1262</v>
      </c>
      <c r="K1" s="1" t="s">
        <v>1263</v>
      </c>
      <c r="L1" s="1" t="s">
        <v>1264</v>
      </c>
      <c r="M1" s="1" t="s">
        <v>1265</v>
      </c>
      <c r="N1" s="1" t="s">
        <v>1266</v>
      </c>
      <c r="O1" s="1" t="s">
        <v>1267</v>
      </c>
      <c r="P1" s="1" t="s">
        <v>901</v>
      </c>
    </row>
    <row r="2" spans="1:17">
      <c r="A2" s="1" t="s">
        <v>1281</v>
      </c>
      <c r="B2" s="275" t="s">
        <v>453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321</v>
      </c>
      <c r="Q2" s="465">
        <v>43045.229883090302</v>
      </c>
    </row>
    <row r="3" spans="1:17">
      <c r="A3" s="1" t="s">
        <v>1281</v>
      </c>
      <c r="B3" s="275" t="s">
        <v>453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331</v>
      </c>
      <c r="Q3" s="465">
        <v>43045.229883090302</v>
      </c>
    </row>
    <row r="4" spans="1:17">
      <c r="A4" s="1" t="s">
        <v>1281</v>
      </c>
      <c r="B4" s="275" t="s">
        <v>453</v>
      </c>
      <c r="C4" s="1" t="s">
        <v>956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1281</v>
      </c>
      <c r="B5" s="275" t="s">
        <v>453</v>
      </c>
      <c r="C5" s="1" t="s">
        <v>957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286</v>
      </c>
      <c r="Q5" s="465">
        <v>43045.229883090302</v>
      </c>
    </row>
    <row r="6" spans="1:17">
      <c r="A6" s="1" t="s">
        <v>1281</v>
      </c>
      <c r="B6" s="275" t="s">
        <v>487</v>
      </c>
      <c r="C6" s="1" t="s">
        <v>957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289</v>
      </c>
      <c r="Q6" s="465">
        <v>43045.229883090302</v>
      </c>
    </row>
    <row r="7" spans="1:17">
      <c r="A7" s="1" t="s">
        <v>1281</v>
      </c>
      <c r="B7" s="275" t="s">
        <v>520</v>
      </c>
      <c r="C7" s="1" t="s">
        <v>957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1281</v>
      </c>
      <c r="B8" s="275" t="s">
        <v>549</v>
      </c>
      <c r="C8" s="1" t="s">
        <v>957</v>
      </c>
      <c r="D8" s="1" t="s">
        <v>295</v>
      </c>
      <c r="E8" s="1" t="s">
        <v>310</v>
      </c>
      <c r="F8" s="1" t="s">
        <v>1437</v>
      </c>
      <c r="G8" s="1" t="s">
        <v>1438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297</v>
      </c>
      <c r="Q8" s="465">
        <v>43045.229883090302</v>
      </c>
    </row>
    <row r="9" spans="1:17">
      <c r="A9" s="1" t="s">
        <v>1281</v>
      </c>
      <c r="B9" s="275" t="s">
        <v>578</v>
      </c>
      <c r="C9" s="1" t="s">
        <v>957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1281</v>
      </c>
      <c r="B10" s="275" t="s">
        <v>610</v>
      </c>
      <c r="C10" s="1" t="s">
        <v>957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1281</v>
      </c>
      <c r="B11" s="275" t="s">
        <v>611</v>
      </c>
      <c r="C11" s="1" t="s">
        <v>957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320</v>
      </c>
      <c r="Q11" s="465">
        <v>43045.229883090302</v>
      </c>
    </row>
    <row r="12" spans="1:17">
      <c r="A12" s="1" t="s">
        <v>1281</v>
      </c>
      <c r="B12" s="275" t="s">
        <v>914</v>
      </c>
      <c r="C12" s="1" t="s">
        <v>957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336</v>
      </c>
      <c r="Q12" s="465">
        <v>43045.229883090302</v>
      </c>
    </row>
    <row r="13" spans="1:17">
      <c r="A13" s="1" t="s">
        <v>1281</v>
      </c>
      <c r="B13" s="275" t="s">
        <v>915</v>
      </c>
      <c r="C13" s="1" t="s">
        <v>957</v>
      </c>
      <c r="D13" s="1" t="s">
        <v>1439</v>
      </c>
      <c r="E13" s="1" t="s">
        <v>374</v>
      </c>
      <c r="F13" s="1" t="s">
        <v>371</v>
      </c>
      <c r="G13" s="1" t="s">
        <v>937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344</v>
      </c>
      <c r="Q13" s="465">
        <v>43045.229883090302</v>
      </c>
    </row>
    <row r="14" spans="1:17">
      <c r="A14" s="1" t="s">
        <v>1281</v>
      </c>
      <c r="B14" s="275" t="s">
        <v>928</v>
      </c>
      <c r="C14" s="1" t="s">
        <v>957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323</v>
      </c>
      <c r="Q14" s="465">
        <v>43045.229883090302</v>
      </c>
    </row>
    <row r="15" spans="1:17">
      <c r="A15" s="1" t="s">
        <v>1281</v>
      </c>
      <c r="B15" s="275" t="s">
        <v>929</v>
      </c>
      <c r="C15" s="1" t="s">
        <v>957</v>
      </c>
      <c r="D15" s="1" t="s">
        <v>334</v>
      </c>
      <c r="E15" s="1" t="s">
        <v>930</v>
      </c>
      <c r="F15" s="1" t="s">
        <v>315</v>
      </c>
      <c r="G15" s="1" t="s">
        <v>352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939</v>
      </c>
      <c r="Q15" s="465">
        <v>43045.229883090302</v>
      </c>
    </row>
    <row r="16" spans="1:17">
      <c r="A16" s="1" t="s">
        <v>1281</v>
      </c>
      <c r="B16" s="275" t="s">
        <v>940</v>
      </c>
      <c r="C16" s="1" t="s">
        <v>957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1281</v>
      </c>
      <c r="B17" s="275" t="s">
        <v>963</v>
      </c>
      <c r="C17" s="1" t="s">
        <v>957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1281</v>
      </c>
      <c r="B18" s="275" t="s">
        <v>964</v>
      </c>
      <c r="C18" s="1" t="s">
        <v>957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1281</v>
      </c>
      <c r="B19" s="275" t="s">
        <v>965</v>
      </c>
      <c r="C19" s="1" t="s">
        <v>957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1281</v>
      </c>
      <c r="B20" s="275" t="s">
        <v>966</v>
      </c>
      <c r="C20" s="1" t="s">
        <v>957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1281</v>
      </c>
      <c r="B21" s="275" t="s">
        <v>967</v>
      </c>
      <c r="C21" s="1" t="s">
        <v>957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1281</v>
      </c>
      <c r="B22" s="275" t="s">
        <v>968</v>
      </c>
      <c r="C22" s="1" t="s">
        <v>957</v>
      </c>
      <c r="D22" s="1" t="s">
        <v>939</v>
      </c>
      <c r="E22" s="1" t="s">
        <v>329</v>
      </c>
      <c r="F22" s="1" t="s">
        <v>316</v>
      </c>
      <c r="G22" s="1" t="s">
        <v>310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939</v>
      </c>
    </row>
    <row r="23" spans="1:17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6.5"/>
  <sheetData>
    <row r="1" spans="1:15">
      <c r="A1" s="466" t="s">
        <v>1255</v>
      </c>
      <c r="B1" s="466" t="s">
        <v>450</v>
      </c>
      <c r="C1" s="466" t="s">
        <v>1256</v>
      </c>
      <c r="D1" s="466" t="s">
        <v>1257</v>
      </c>
      <c r="E1" s="466" t="s">
        <v>1258</v>
      </c>
      <c r="F1" s="466" t="s">
        <v>1259</v>
      </c>
      <c r="G1" s="466" t="s">
        <v>1260</v>
      </c>
      <c r="H1" s="466" t="s">
        <v>1261</v>
      </c>
      <c r="I1" s="466" t="s">
        <v>1262</v>
      </c>
      <c r="J1" s="466" t="s">
        <v>1263</v>
      </c>
      <c r="K1" s="466" t="s">
        <v>1264</v>
      </c>
      <c r="L1" s="466" t="s">
        <v>1265</v>
      </c>
      <c r="M1" s="466" t="s">
        <v>1266</v>
      </c>
      <c r="N1" s="466" t="s">
        <v>1267</v>
      </c>
      <c r="O1" s="466" t="s">
        <v>1440</v>
      </c>
    </row>
    <row r="2" spans="1:15">
      <c r="A2" s="466" t="s">
        <v>1281</v>
      </c>
      <c r="B2" s="466" t="s">
        <v>453</v>
      </c>
      <c r="C2" s="466" t="s">
        <v>1441</v>
      </c>
      <c r="D2" s="466" t="s">
        <v>1442</v>
      </c>
      <c r="E2" s="466" t="s">
        <v>1443</v>
      </c>
      <c r="F2" s="466" t="s">
        <v>1444</v>
      </c>
      <c r="G2" s="466" t="s">
        <v>356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1445</v>
      </c>
    </row>
    <row r="3" spans="1:15">
      <c r="A3" s="466" t="s">
        <v>1281</v>
      </c>
      <c r="B3" s="466" t="s">
        <v>487</v>
      </c>
      <c r="C3" s="466" t="s">
        <v>1446</v>
      </c>
      <c r="D3" s="466" t="s">
        <v>1447</v>
      </c>
      <c r="E3" s="466" t="s">
        <v>1448</v>
      </c>
      <c r="F3" s="466" t="s">
        <v>1449</v>
      </c>
      <c r="G3" s="466" t="s">
        <v>356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1450</v>
      </c>
    </row>
    <row r="4" spans="1:15">
      <c r="A4" s="466" t="s">
        <v>1281</v>
      </c>
      <c r="B4" s="466" t="s">
        <v>520</v>
      </c>
      <c r="C4" s="466" t="s">
        <v>1451</v>
      </c>
      <c r="D4" s="466" t="s">
        <v>356</v>
      </c>
      <c r="E4" s="466" t="s">
        <v>1452</v>
      </c>
      <c r="F4" s="466" t="s">
        <v>1023</v>
      </c>
      <c r="G4" s="466" t="s">
        <v>356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1453</v>
      </c>
    </row>
    <row r="5" spans="1:15">
      <c r="A5" s="466" t="s">
        <v>1281</v>
      </c>
      <c r="B5" s="466" t="s">
        <v>549</v>
      </c>
      <c r="C5" s="466" t="s">
        <v>1454</v>
      </c>
      <c r="D5" s="466" t="s">
        <v>1455</v>
      </c>
      <c r="E5" s="466" t="s">
        <v>1456</v>
      </c>
      <c r="F5" s="466" t="s">
        <v>1454</v>
      </c>
      <c r="G5" s="466" t="s">
        <v>356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1454</v>
      </c>
    </row>
    <row r="6" spans="1:15">
      <c r="A6" s="466" t="s">
        <v>1281</v>
      </c>
      <c r="B6" s="466" t="s">
        <v>578</v>
      </c>
      <c r="C6" s="466" t="s">
        <v>1457</v>
      </c>
      <c r="D6" s="466" t="s">
        <v>1458</v>
      </c>
      <c r="E6" s="466" t="s">
        <v>1459</v>
      </c>
      <c r="F6" s="466" t="s">
        <v>1460</v>
      </c>
      <c r="G6" s="466" t="s">
        <v>356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1461</v>
      </c>
    </row>
    <row r="7" spans="1:15">
      <c r="A7" s="466" t="s">
        <v>1281</v>
      </c>
      <c r="B7" s="466" t="s">
        <v>610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1281</v>
      </c>
      <c r="B8" s="466" t="s">
        <v>611</v>
      </c>
      <c r="C8" s="466" t="s">
        <v>1462</v>
      </c>
      <c r="D8" s="466" t="s">
        <v>1463</v>
      </c>
      <c r="E8" s="466" t="s">
        <v>1464</v>
      </c>
      <c r="F8" s="466" t="s">
        <v>1465</v>
      </c>
      <c r="G8" s="466" t="s">
        <v>356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1466</v>
      </c>
    </row>
    <row r="9" spans="1:15">
      <c r="A9" s="466" t="s">
        <v>1281</v>
      </c>
      <c r="B9" s="466" t="s">
        <v>911</v>
      </c>
      <c r="C9" s="466" t="s">
        <v>1453</v>
      </c>
      <c r="D9" s="466" t="s">
        <v>1452</v>
      </c>
      <c r="E9" s="466" t="s">
        <v>1467</v>
      </c>
      <c r="F9" s="466" t="s">
        <v>1468</v>
      </c>
      <c r="G9" s="466" t="s">
        <v>356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1469</v>
      </c>
    </row>
    <row r="10" spans="1:15">
      <c r="A10" s="466" t="s">
        <v>1281</v>
      </c>
      <c r="B10" s="466" t="s">
        <v>914</v>
      </c>
      <c r="C10" s="466" t="s">
        <v>449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236</v>
      </c>
    </row>
    <row r="11" spans="1:15">
      <c r="A11" s="466" t="s">
        <v>1281</v>
      </c>
      <c r="B11" s="466" t="s">
        <v>915</v>
      </c>
      <c r="C11" s="466" t="s">
        <v>1470</v>
      </c>
      <c r="D11" s="466" t="s">
        <v>1471</v>
      </c>
      <c r="E11" s="466" t="s">
        <v>1468</v>
      </c>
      <c r="F11" s="466" t="s">
        <v>1472</v>
      </c>
      <c r="G11" s="466" t="s">
        <v>356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1454</v>
      </c>
    </row>
    <row r="12" spans="1:15">
      <c r="A12" s="466" t="s">
        <v>1281</v>
      </c>
      <c r="B12" s="466" t="s">
        <v>928</v>
      </c>
      <c r="C12" s="466" t="s">
        <v>1473</v>
      </c>
      <c r="D12" s="466" t="s">
        <v>1474</v>
      </c>
      <c r="E12" s="466" t="s">
        <v>1475</v>
      </c>
      <c r="F12" s="466" t="s">
        <v>1476</v>
      </c>
      <c r="G12" s="466" t="s">
        <v>356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1477</v>
      </c>
    </row>
    <row r="13" spans="1:15">
      <c r="A13" s="466" t="s">
        <v>1281</v>
      </c>
      <c r="B13" s="466" t="s">
        <v>929</v>
      </c>
      <c r="C13" s="466" t="s">
        <v>1478</v>
      </c>
      <c r="D13" s="466" t="s">
        <v>1479</v>
      </c>
      <c r="E13" s="466" t="s">
        <v>334</v>
      </c>
      <c r="F13" s="466" t="s">
        <v>1480</v>
      </c>
      <c r="G13" s="466" t="s">
        <v>356</v>
      </c>
      <c r="H13" s="466" t="s">
        <v>356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1437</v>
      </c>
    </row>
    <row r="14" spans="1:15">
      <c r="A14" s="466" t="s">
        <v>1281</v>
      </c>
      <c r="B14" s="466" t="s">
        <v>940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356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1281</v>
      </c>
      <c r="B15" s="466" t="s">
        <v>963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1281</v>
      </c>
      <c r="B16" s="466" t="s">
        <v>964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1281</v>
      </c>
      <c r="B17" s="466" t="s">
        <v>965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1281</v>
      </c>
      <c r="B18" s="466" t="s">
        <v>966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1281</v>
      </c>
      <c r="B19" s="466" t="s">
        <v>967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1281</v>
      </c>
      <c r="B20" s="466" t="s">
        <v>968</v>
      </c>
      <c r="C20" s="466" t="s">
        <v>1481</v>
      </c>
      <c r="D20" s="466" t="s">
        <v>1482</v>
      </c>
      <c r="E20" s="466" t="s">
        <v>1483</v>
      </c>
      <c r="F20" s="466" t="s">
        <v>1484</v>
      </c>
      <c r="G20" s="466" t="s">
        <v>356</v>
      </c>
      <c r="H20" s="466" t="s">
        <v>356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1485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2D193FBE-69DA-44B8-BAE2-E9C88EEB9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蔡晉毅</cp:lastModifiedBy>
  <cp:revision/>
  <dcterms:created xsi:type="dcterms:W3CDTF">2010-08-05T03:30:00Z</dcterms:created>
  <dcterms:modified xsi:type="dcterms:W3CDTF">2026-06-05T00:20:29Z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