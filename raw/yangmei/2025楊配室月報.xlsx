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taimotor.sharepoint.com/sites/HTKM_P0002/PB060/06.共同事務/A.月報/114年/月報新版共二頁/"/>
    </mc:Choice>
  </mc:AlternateContent>
  <xr:revisionPtr revIDLastSave="633" documentId="11_EFB8B816C1C5997769990B5053904FBB6BE27668" xr6:coauthVersionLast="47" xr6:coauthVersionMax="47" xr10:uidLastSave="{10D9E53B-FE77-45D6-BDCF-291DD5EA661E}"/>
  <bookViews>
    <workbookView xWindow="-135" yWindow="-135" windowWidth="19470" windowHeight="11070" tabRatio="774" xr2:uid="{00000000-000D-0000-FFFF-FFFF00000000}"/>
  </bookViews>
  <sheets>
    <sheet name="2025年" sheetId="14" r:id="rId1"/>
    <sheet name="出貨點數(其他附件)" sheetId="16" r:id="rId2"/>
    <sheet name="進貨點數(同期比)" sheetId="3" r:id="rId3"/>
    <sheet name="庫位使用率" sheetId="15" r:id="rId4"/>
    <sheet name="包材回收(同期比)" sheetId="5" r:id="rId5"/>
    <sheet name="加班時數" sheetId="17" r:id="rId6"/>
    <sheet name="優開SQL(中小物)" sheetId="18" r:id="rId7"/>
  </sheets>
  <definedNames>
    <definedName name="_xlnm.Print_Area" localSheetId="0">'2025年'!$A$1:$T$58</definedName>
    <definedName name="_xlnm.Print_Area" localSheetId="1">'出貨點數(其他附件)'!$A$214:$O$252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6" i="14" l="1"/>
  <c r="R48" i="14" l="1"/>
  <c r="AF296" i="15"/>
  <c r="AE296" i="15"/>
  <c r="AD296" i="15"/>
  <c r="Z296" i="15"/>
  <c r="Y296" i="15"/>
  <c r="X296" i="15"/>
  <c r="W296" i="15"/>
  <c r="V296" i="15"/>
  <c r="U296" i="15"/>
  <c r="T296" i="15"/>
  <c r="P296" i="15"/>
  <c r="O296" i="15"/>
  <c r="Q295" i="15"/>
  <c r="L295" i="15"/>
  <c r="G295" i="15"/>
  <c r="C295" i="15"/>
  <c r="Q294" i="15"/>
  <c r="Q296" i="15" s="1"/>
  <c r="L294" i="15"/>
  <c r="L296" i="15" s="1"/>
  <c r="G294" i="15"/>
  <c r="G296" i="15" s="1"/>
  <c r="C294" i="15"/>
  <c r="C296" i="15" s="1"/>
  <c r="AB293" i="15"/>
  <c r="P293" i="15"/>
  <c r="AC293" i="15" s="1"/>
  <c r="AC292" i="15"/>
  <c r="AB292" i="15"/>
  <c r="AB296" i="15" s="1"/>
  <c r="P292" i="15"/>
  <c r="AK291" i="15"/>
  <c r="AG291" i="15"/>
  <c r="AG296" i="15" s="1"/>
  <c r="AB291" i="15"/>
  <c r="P291" i="15"/>
  <c r="AC291" i="15" s="1"/>
  <c r="C8" i="15"/>
  <c r="G8" i="15"/>
  <c r="L8" i="15"/>
  <c r="O8" i="15"/>
  <c r="P8" i="15"/>
  <c r="Q8" i="15"/>
  <c r="T8" i="15"/>
  <c r="U8" i="15"/>
  <c r="V8" i="15"/>
  <c r="W8" i="15"/>
  <c r="X8" i="15"/>
  <c r="Y8" i="15"/>
  <c r="Z8" i="15"/>
  <c r="AB8" i="15"/>
  <c r="AC8" i="15"/>
  <c r="AD8" i="15"/>
  <c r="AE8" i="15"/>
  <c r="AF8" i="15"/>
  <c r="AG8" i="15"/>
  <c r="P9" i="15"/>
  <c r="AB9" i="15"/>
  <c r="AG9" i="15"/>
  <c r="AG14" i="15" s="1"/>
  <c r="AK9" i="15"/>
  <c r="P10" i="15"/>
  <c r="AC10" i="15" s="1"/>
  <c r="AB10" i="15"/>
  <c r="P11" i="15"/>
  <c r="AB11" i="15"/>
  <c r="C12" i="15"/>
  <c r="G12" i="15"/>
  <c r="L12" i="15"/>
  <c r="Q12" i="15"/>
  <c r="Q14" i="15" s="1"/>
  <c r="C13" i="15"/>
  <c r="G13" i="15"/>
  <c r="L13" i="15"/>
  <c r="Q13" i="15"/>
  <c r="O14" i="15"/>
  <c r="T14" i="15"/>
  <c r="U14" i="15"/>
  <c r="V14" i="15"/>
  <c r="W14" i="15"/>
  <c r="X14" i="15"/>
  <c r="Y14" i="15"/>
  <c r="Z14" i="15"/>
  <c r="AB14" i="15"/>
  <c r="AD14" i="15"/>
  <c r="AE14" i="15"/>
  <c r="AF14" i="15"/>
  <c r="P15" i="15"/>
  <c r="AB15" i="15"/>
  <c r="AG15" i="15"/>
  <c r="AK15" i="15"/>
  <c r="P16" i="15"/>
  <c r="AB16" i="15"/>
  <c r="P17" i="15"/>
  <c r="AB17" i="15"/>
  <c r="C18" i="15"/>
  <c r="G18" i="15"/>
  <c r="L18" i="15"/>
  <c r="Q18" i="15"/>
  <c r="C19" i="15"/>
  <c r="G19" i="15"/>
  <c r="G20" i="15" s="1"/>
  <c r="L19" i="15"/>
  <c r="Q19" i="15"/>
  <c r="O20" i="15"/>
  <c r="T20" i="15"/>
  <c r="U20" i="15"/>
  <c r="V20" i="15"/>
  <c r="W20" i="15"/>
  <c r="X20" i="15"/>
  <c r="Y20" i="15"/>
  <c r="Z20" i="15"/>
  <c r="AD20" i="15"/>
  <c r="AE20" i="15"/>
  <c r="AF20" i="15"/>
  <c r="AG20" i="15"/>
  <c r="P21" i="15"/>
  <c r="AB21" i="15"/>
  <c r="AG21" i="15"/>
  <c r="AG26" i="15" s="1"/>
  <c r="AK21" i="15"/>
  <c r="P22" i="15"/>
  <c r="AB22" i="15"/>
  <c r="P23" i="15"/>
  <c r="AC23" i="15" s="1"/>
  <c r="AB23" i="15"/>
  <c r="C24" i="15"/>
  <c r="G24" i="15"/>
  <c r="G26" i="15" s="1"/>
  <c r="L24" i="15"/>
  <c r="L26" i="15" s="1"/>
  <c r="Q24" i="15"/>
  <c r="C25" i="15"/>
  <c r="G25" i="15"/>
  <c r="L25" i="15"/>
  <c r="Q25" i="15"/>
  <c r="O26" i="15"/>
  <c r="T26" i="15"/>
  <c r="U26" i="15"/>
  <c r="V26" i="15"/>
  <c r="W26" i="15"/>
  <c r="X26" i="15"/>
  <c r="Y26" i="15"/>
  <c r="Z26" i="15"/>
  <c r="AD26" i="15"/>
  <c r="AE26" i="15"/>
  <c r="AF26" i="15"/>
  <c r="P27" i="15"/>
  <c r="AB27" i="15"/>
  <c r="AG27" i="15"/>
  <c r="AK27" i="15"/>
  <c r="P28" i="15"/>
  <c r="AB28" i="15"/>
  <c r="P29" i="15"/>
  <c r="AB29" i="15"/>
  <c r="C30" i="15"/>
  <c r="G30" i="15"/>
  <c r="L30" i="15"/>
  <c r="Q30" i="15"/>
  <c r="C31" i="15"/>
  <c r="G31" i="15"/>
  <c r="L31" i="15"/>
  <c r="Q31" i="15"/>
  <c r="O32" i="15"/>
  <c r="T32" i="15"/>
  <c r="U32" i="15"/>
  <c r="V32" i="15"/>
  <c r="W32" i="15"/>
  <c r="X32" i="15"/>
  <c r="Y32" i="15"/>
  <c r="Z32" i="15"/>
  <c r="AD32" i="15"/>
  <c r="AE32" i="15"/>
  <c r="AF32" i="15"/>
  <c r="AG32" i="15"/>
  <c r="P33" i="15"/>
  <c r="AB33" i="15"/>
  <c r="AG33" i="15"/>
  <c r="AG38" i="15" s="1"/>
  <c r="AK33" i="15"/>
  <c r="P34" i="15"/>
  <c r="AB34" i="15"/>
  <c r="P35" i="15"/>
  <c r="AB35" i="15"/>
  <c r="C36" i="15"/>
  <c r="G36" i="15"/>
  <c r="L36" i="15"/>
  <c r="Q36" i="15"/>
  <c r="C37" i="15"/>
  <c r="G37" i="15"/>
  <c r="L37" i="15"/>
  <c r="Q37" i="15"/>
  <c r="O38" i="15"/>
  <c r="T38" i="15"/>
  <c r="U38" i="15"/>
  <c r="V38" i="15"/>
  <c r="W38" i="15"/>
  <c r="X38" i="15"/>
  <c r="Y38" i="15"/>
  <c r="Z38" i="15"/>
  <c r="AD38" i="15"/>
  <c r="AE38" i="15"/>
  <c r="AF38" i="15"/>
  <c r="P39" i="15"/>
  <c r="AB39" i="15"/>
  <c r="AG39" i="15"/>
  <c r="AG44" i="15" s="1"/>
  <c r="AK39" i="15"/>
  <c r="P40" i="15"/>
  <c r="AB40" i="15"/>
  <c r="P41" i="15"/>
  <c r="AC41" i="15" s="1"/>
  <c r="AB41" i="15"/>
  <c r="C42" i="15"/>
  <c r="G42" i="15"/>
  <c r="L42" i="15"/>
  <c r="Q42" i="15"/>
  <c r="C43" i="15"/>
  <c r="G43" i="15"/>
  <c r="L43" i="15"/>
  <c r="Q43" i="15"/>
  <c r="O44" i="15"/>
  <c r="T44" i="15"/>
  <c r="U44" i="15"/>
  <c r="V44" i="15"/>
  <c r="W44" i="15"/>
  <c r="X44" i="15"/>
  <c r="Y44" i="15"/>
  <c r="Z44" i="15"/>
  <c r="AD44" i="15"/>
  <c r="AE44" i="15"/>
  <c r="AF44" i="15"/>
  <c r="P45" i="15"/>
  <c r="AB45" i="15"/>
  <c r="AG45" i="15"/>
  <c r="AG50" i="15" s="1"/>
  <c r="AK45" i="15"/>
  <c r="P46" i="15"/>
  <c r="AB46" i="15"/>
  <c r="AC46" i="15" s="1"/>
  <c r="P47" i="15"/>
  <c r="AB47" i="15"/>
  <c r="C48" i="15"/>
  <c r="G48" i="15"/>
  <c r="L48" i="15"/>
  <c r="Q48" i="15"/>
  <c r="C49" i="15"/>
  <c r="G49" i="15"/>
  <c r="L49" i="15"/>
  <c r="Q49" i="15"/>
  <c r="O50" i="15"/>
  <c r="T50" i="15"/>
  <c r="U50" i="15"/>
  <c r="V50" i="15"/>
  <c r="W50" i="15"/>
  <c r="X50" i="15"/>
  <c r="Y50" i="15"/>
  <c r="Z50" i="15"/>
  <c r="AD50" i="15"/>
  <c r="AE50" i="15"/>
  <c r="AF50" i="15"/>
  <c r="P51" i="15"/>
  <c r="AB51" i="15"/>
  <c r="AG51" i="15"/>
  <c r="AG56" i="15" s="1"/>
  <c r="AK51" i="15"/>
  <c r="P52" i="15"/>
  <c r="AB52" i="15"/>
  <c r="AC52" i="15" s="1"/>
  <c r="P53" i="15"/>
  <c r="AB53" i="15"/>
  <c r="C54" i="15"/>
  <c r="G54" i="15"/>
  <c r="L54" i="15"/>
  <c r="Q54" i="15"/>
  <c r="C55" i="15"/>
  <c r="G55" i="15"/>
  <c r="L55" i="15"/>
  <c r="Q55" i="15"/>
  <c r="O56" i="15"/>
  <c r="T56" i="15"/>
  <c r="U56" i="15"/>
  <c r="V56" i="15"/>
  <c r="W56" i="15"/>
  <c r="X56" i="15"/>
  <c r="Y56" i="15"/>
  <c r="Z56" i="15"/>
  <c r="AD56" i="15"/>
  <c r="AE56" i="15"/>
  <c r="AF56" i="15"/>
  <c r="P57" i="15"/>
  <c r="AB57" i="15"/>
  <c r="AG57" i="15"/>
  <c r="AG62" i="15" s="1"/>
  <c r="AK57" i="15"/>
  <c r="P58" i="15"/>
  <c r="AB58" i="15"/>
  <c r="P59" i="15"/>
  <c r="AB59" i="15"/>
  <c r="C60" i="15"/>
  <c r="C62" i="15" s="1"/>
  <c r="G60" i="15"/>
  <c r="L60" i="15"/>
  <c r="Q60" i="15"/>
  <c r="C61" i="15"/>
  <c r="G61" i="15"/>
  <c r="L61" i="15"/>
  <c r="Q61" i="15"/>
  <c r="O62" i="15"/>
  <c r="T62" i="15"/>
  <c r="U62" i="15"/>
  <c r="V62" i="15"/>
  <c r="W62" i="15"/>
  <c r="X62" i="15"/>
  <c r="Y62" i="15"/>
  <c r="Z62" i="15"/>
  <c r="AD62" i="15"/>
  <c r="AE62" i="15"/>
  <c r="AF62" i="15"/>
  <c r="P63" i="15"/>
  <c r="AC63" i="15" s="1"/>
  <c r="AB63" i="15"/>
  <c r="AG63" i="15"/>
  <c r="AG68" i="15" s="1"/>
  <c r="AK63" i="15"/>
  <c r="P64" i="15"/>
  <c r="AB64" i="15"/>
  <c r="P65" i="15"/>
  <c r="AB65" i="15"/>
  <c r="C66" i="15"/>
  <c r="G66" i="15"/>
  <c r="L66" i="15"/>
  <c r="Q66" i="15"/>
  <c r="C67" i="15"/>
  <c r="C68" i="15" s="1"/>
  <c r="G67" i="15"/>
  <c r="G68" i="15" s="1"/>
  <c r="L67" i="15"/>
  <c r="Q67" i="15"/>
  <c r="O68" i="15"/>
  <c r="T68" i="15"/>
  <c r="U68" i="15"/>
  <c r="V68" i="15"/>
  <c r="W68" i="15"/>
  <c r="X68" i="15"/>
  <c r="Y68" i="15"/>
  <c r="Z68" i="15"/>
  <c r="AD68" i="15"/>
  <c r="AE68" i="15"/>
  <c r="AF68" i="15"/>
  <c r="P69" i="15"/>
  <c r="AB69" i="15"/>
  <c r="AG69" i="15"/>
  <c r="AG74" i="15" s="1"/>
  <c r="AK69" i="15"/>
  <c r="P70" i="15"/>
  <c r="AC70" i="15" s="1"/>
  <c r="AB70" i="15"/>
  <c r="P71" i="15"/>
  <c r="AB71" i="15"/>
  <c r="C72" i="15"/>
  <c r="G72" i="15"/>
  <c r="G74" i="15" s="1"/>
  <c r="L72" i="15"/>
  <c r="Q72" i="15"/>
  <c r="C73" i="15"/>
  <c r="G73" i="15"/>
  <c r="L73" i="15"/>
  <c r="Q73" i="15"/>
  <c r="L74" i="15"/>
  <c r="O74" i="15"/>
  <c r="T74" i="15"/>
  <c r="U74" i="15"/>
  <c r="V74" i="15"/>
  <c r="W74" i="15"/>
  <c r="X74" i="15"/>
  <c r="Y74" i="15"/>
  <c r="Z74" i="15"/>
  <c r="AD74" i="15"/>
  <c r="AE74" i="15"/>
  <c r="AF74" i="15"/>
  <c r="P75" i="15"/>
  <c r="AC75" i="15" s="1"/>
  <c r="AB75" i="15"/>
  <c r="AG75" i="15"/>
  <c r="AG80" i="15" s="1"/>
  <c r="AK75" i="15"/>
  <c r="P76" i="15"/>
  <c r="AB76" i="15"/>
  <c r="P77" i="15"/>
  <c r="AB77" i="15"/>
  <c r="C78" i="15"/>
  <c r="G78" i="15"/>
  <c r="L78" i="15"/>
  <c r="Q78" i="15"/>
  <c r="C79" i="15"/>
  <c r="G79" i="15"/>
  <c r="G80" i="15" s="1"/>
  <c r="L79" i="15"/>
  <c r="Q79" i="15"/>
  <c r="O80" i="15"/>
  <c r="T80" i="15"/>
  <c r="U80" i="15"/>
  <c r="V80" i="15"/>
  <c r="W80" i="15"/>
  <c r="X80" i="15"/>
  <c r="Y80" i="15"/>
  <c r="Z80" i="15"/>
  <c r="AD80" i="15"/>
  <c r="AE80" i="15"/>
  <c r="AF80" i="15"/>
  <c r="P81" i="15"/>
  <c r="AB81" i="15"/>
  <c r="AG81" i="15"/>
  <c r="AG86" i="15" s="1"/>
  <c r="AK81" i="15"/>
  <c r="P82" i="15"/>
  <c r="AB82" i="15"/>
  <c r="P83" i="15"/>
  <c r="AB83" i="15"/>
  <c r="C84" i="15"/>
  <c r="G84" i="15"/>
  <c r="L84" i="15"/>
  <c r="Q84" i="15"/>
  <c r="C85" i="15"/>
  <c r="G85" i="15"/>
  <c r="L85" i="15"/>
  <c r="Q85" i="15"/>
  <c r="O86" i="15"/>
  <c r="T86" i="15"/>
  <c r="U86" i="15"/>
  <c r="V86" i="15"/>
  <c r="W86" i="15"/>
  <c r="X86" i="15"/>
  <c r="Y86" i="15"/>
  <c r="Z86" i="15"/>
  <c r="AD86" i="15"/>
  <c r="AE86" i="15"/>
  <c r="AF86" i="15"/>
  <c r="P87" i="15"/>
  <c r="AB87" i="15"/>
  <c r="AG87" i="15"/>
  <c r="AG92" i="15" s="1"/>
  <c r="AK87" i="15"/>
  <c r="P88" i="15"/>
  <c r="AB88" i="15"/>
  <c r="P89" i="15"/>
  <c r="AC89" i="15" s="1"/>
  <c r="AB89" i="15"/>
  <c r="C90" i="15"/>
  <c r="G90" i="15"/>
  <c r="L90" i="15"/>
  <c r="Q90" i="15"/>
  <c r="C91" i="15"/>
  <c r="G91" i="15"/>
  <c r="G92" i="15" s="1"/>
  <c r="L91" i="15"/>
  <c r="Q91" i="15"/>
  <c r="C92" i="15"/>
  <c r="O92" i="15"/>
  <c r="T92" i="15"/>
  <c r="U92" i="15"/>
  <c r="V92" i="15"/>
  <c r="W92" i="15"/>
  <c r="X92" i="15"/>
  <c r="Y92" i="15"/>
  <c r="Z92" i="15"/>
  <c r="AD92" i="15"/>
  <c r="AE92" i="15"/>
  <c r="AF92" i="15"/>
  <c r="P93" i="15"/>
  <c r="P98" i="15" s="1"/>
  <c r="AB93" i="15"/>
  <c r="AG93" i="15"/>
  <c r="AG98" i="15" s="1"/>
  <c r="AK93" i="15"/>
  <c r="P94" i="15"/>
  <c r="AC94" i="15" s="1"/>
  <c r="AB94" i="15"/>
  <c r="P95" i="15"/>
  <c r="AB95" i="15"/>
  <c r="C96" i="15"/>
  <c r="G96" i="15"/>
  <c r="G98" i="15" s="1"/>
  <c r="L96" i="15"/>
  <c r="Q96" i="15"/>
  <c r="C97" i="15"/>
  <c r="G97" i="15"/>
  <c r="L97" i="15"/>
  <c r="Q97" i="15"/>
  <c r="L98" i="15"/>
  <c r="O98" i="15"/>
  <c r="T98" i="15"/>
  <c r="U98" i="15"/>
  <c r="V98" i="15"/>
  <c r="W98" i="15"/>
  <c r="X98" i="15"/>
  <c r="Y98" i="15"/>
  <c r="Z98" i="15"/>
  <c r="AD98" i="15"/>
  <c r="AE98" i="15"/>
  <c r="AF98" i="15"/>
  <c r="P99" i="15"/>
  <c r="AB99" i="15"/>
  <c r="AG99" i="15"/>
  <c r="AG104" i="15" s="1"/>
  <c r="AK99" i="15"/>
  <c r="P100" i="15"/>
  <c r="AB100" i="15"/>
  <c r="AC100" i="15" s="1"/>
  <c r="P101" i="15"/>
  <c r="AB101" i="15"/>
  <c r="C102" i="15"/>
  <c r="G102" i="15"/>
  <c r="L102" i="15"/>
  <c r="Q102" i="15"/>
  <c r="C103" i="15"/>
  <c r="G103" i="15"/>
  <c r="G104" i="15" s="1"/>
  <c r="L103" i="15"/>
  <c r="Q103" i="15"/>
  <c r="O104" i="15"/>
  <c r="T104" i="15"/>
  <c r="U104" i="15"/>
  <c r="V104" i="15"/>
  <c r="W104" i="15"/>
  <c r="X104" i="15"/>
  <c r="Y104" i="15"/>
  <c r="Z104" i="15"/>
  <c r="AD104" i="15"/>
  <c r="AE104" i="15"/>
  <c r="AF104" i="15"/>
  <c r="P105" i="15"/>
  <c r="AB105" i="15"/>
  <c r="AG105" i="15"/>
  <c r="AG110" i="15" s="1"/>
  <c r="AK105" i="15"/>
  <c r="P106" i="15"/>
  <c r="AB106" i="15"/>
  <c r="P107" i="15"/>
  <c r="AB107" i="15"/>
  <c r="C108" i="15"/>
  <c r="G108" i="15"/>
  <c r="L108" i="15"/>
  <c r="Q108" i="15"/>
  <c r="C109" i="15"/>
  <c r="G109" i="15"/>
  <c r="L109" i="15"/>
  <c r="Q109" i="15"/>
  <c r="O110" i="15"/>
  <c r="T110" i="15"/>
  <c r="U110" i="15"/>
  <c r="V110" i="15"/>
  <c r="W110" i="15"/>
  <c r="X110" i="15"/>
  <c r="Y110" i="15"/>
  <c r="Z110" i="15"/>
  <c r="AD110" i="15"/>
  <c r="AE110" i="15"/>
  <c r="AF110" i="15"/>
  <c r="P111" i="15"/>
  <c r="AC111" i="15" s="1"/>
  <c r="AB111" i="15"/>
  <c r="AG111" i="15"/>
  <c r="AG116" i="15" s="1"/>
  <c r="AK111" i="15"/>
  <c r="P112" i="15"/>
  <c r="AB112" i="15"/>
  <c r="P113" i="15"/>
  <c r="AB113" i="15"/>
  <c r="C114" i="15"/>
  <c r="G114" i="15"/>
  <c r="L114" i="15"/>
  <c r="L116" i="15" s="1"/>
  <c r="Q114" i="15"/>
  <c r="C115" i="15"/>
  <c r="G115" i="15"/>
  <c r="L115" i="15"/>
  <c r="Q115" i="15"/>
  <c r="O116" i="15"/>
  <c r="T116" i="15"/>
  <c r="U116" i="15"/>
  <c r="V116" i="15"/>
  <c r="W116" i="15"/>
  <c r="X116" i="15"/>
  <c r="Y116" i="15"/>
  <c r="Z116" i="15"/>
  <c r="AD116" i="15"/>
  <c r="AE116" i="15"/>
  <c r="AF116" i="15"/>
  <c r="P117" i="15"/>
  <c r="P122" i="15" s="1"/>
  <c r="AB117" i="15"/>
  <c r="AG117" i="15"/>
  <c r="AG122" i="15" s="1"/>
  <c r="AK117" i="15"/>
  <c r="P118" i="15"/>
  <c r="AC118" i="15" s="1"/>
  <c r="AB118" i="15"/>
  <c r="P119" i="15"/>
  <c r="AB119" i="15"/>
  <c r="C120" i="15"/>
  <c r="G120" i="15"/>
  <c r="L120" i="15"/>
  <c r="Q120" i="15"/>
  <c r="C121" i="15"/>
  <c r="G121" i="15"/>
  <c r="L121" i="15"/>
  <c r="Q121" i="15"/>
  <c r="O122" i="15"/>
  <c r="T122" i="15"/>
  <c r="U122" i="15"/>
  <c r="V122" i="15"/>
  <c r="W122" i="15"/>
  <c r="X122" i="15"/>
  <c r="Y122" i="15"/>
  <c r="Z122" i="15"/>
  <c r="AD122" i="15"/>
  <c r="AE122" i="15"/>
  <c r="AF122" i="15"/>
  <c r="P123" i="15"/>
  <c r="AB123" i="15"/>
  <c r="AG123" i="15"/>
  <c r="AK123" i="15"/>
  <c r="P124" i="15"/>
  <c r="AB124" i="15"/>
  <c r="AC124" i="15" s="1"/>
  <c r="P125" i="15"/>
  <c r="AB125" i="15"/>
  <c r="C126" i="15"/>
  <c r="G126" i="15"/>
  <c r="L126" i="15"/>
  <c r="Q126" i="15"/>
  <c r="C127" i="15"/>
  <c r="G127" i="15"/>
  <c r="L127" i="15"/>
  <c r="Q127" i="15"/>
  <c r="O128" i="15"/>
  <c r="T128" i="15"/>
  <c r="U128" i="15"/>
  <c r="V128" i="15"/>
  <c r="W128" i="15"/>
  <c r="X128" i="15"/>
  <c r="Y128" i="15"/>
  <c r="Z128" i="15"/>
  <c r="AD128" i="15"/>
  <c r="AE128" i="15"/>
  <c r="AF128" i="15"/>
  <c r="AG128" i="15"/>
  <c r="P129" i="15"/>
  <c r="AB129" i="15"/>
  <c r="AG129" i="15"/>
  <c r="AG134" i="15" s="1"/>
  <c r="AK129" i="15"/>
  <c r="P130" i="15"/>
  <c r="AB130" i="15"/>
  <c r="P131" i="15"/>
  <c r="AB131" i="15"/>
  <c r="C132" i="15"/>
  <c r="G132" i="15"/>
  <c r="L132" i="15"/>
  <c r="Q132" i="15"/>
  <c r="C133" i="15"/>
  <c r="G133" i="15"/>
  <c r="L133" i="15"/>
  <c r="L134" i="15" s="1"/>
  <c r="Q133" i="15"/>
  <c r="O134" i="15"/>
  <c r="T134" i="15"/>
  <c r="U134" i="15"/>
  <c r="V134" i="15"/>
  <c r="W134" i="15"/>
  <c r="X134" i="15"/>
  <c r="Y134" i="15"/>
  <c r="Z134" i="15"/>
  <c r="AD134" i="15"/>
  <c r="AE134" i="15"/>
  <c r="AF134" i="15"/>
  <c r="P135" i="15"/>
  <c r="AC135" i="15" s="1"/>
  <c r="AB135" i="15"/>
  <c r="AG135" i="15"/>
  <c r="AK135" i="15"/>
  <c r="P136" i="15"/>
  <c r="AB136" i="15"/>
  <c r="P137" i="15"/>
  <c r="AB137" i="15"/>
  <c r="C138" i="15"/>
  <c r="G138" i="15"/>
  <c r="L138" i="15"/>
  <c r="Q138" i="15"/>
  <c r="C139" i="15"/>
  <c r="G139" i="15"/>
  <c r="L139" i="15"/>
  <c r="Q139" i="15"/>
  <c r="O140" i="15"/>
  <c r="T140" i="15"/>
  <c r="U140" i="15"/>
  <c r="V140" i="15"/>
  <c r="W140" i="15"/>
  <c r="X140" i="15"/>
  <c r="Y140" i="15"/>
  <c r="Z140" i="15"/>
  <c r="AD140" i="15"/>
  <c r="AE140" i="15"/>
  <c r="AF140" i="15"/>
  <c r="AG140" i="15"/>
  <c r="P141" i="15"/>
  <c r="AB141" i="15"/>
  <c r="AG141" i="15"/>
  <c r="AK141" i="15"/>
  <c r="P142" i="15"/>
  <c r="AC142" i="15" s="1"/>
  <c r="AB142" i="15"/>
  <c r="P143" i="15"/>
  <c r="AB143" i="15"/>
  <c r="C144" i="15"/>
  <c r="G144" i="15"/>
  <c r="G146" i="15" s="1"/>
  <c r="L144" i="15"/>
  <c r="Q144" i="15"/>
  <c r="C145" i="15"/>
  <c r="G145" i="15"/>
  <c r="L145" i="15"/>
  <c r="Q145" i="15"/>
  <c r="O146" i="15"/>
  <c r="T146" i="15"/>
  <c r="U146" i="15"/>
  <c r="V146" i="15"/>
  <c r="W146" i="15"/>
  <c r="X146" i="15"/>
  <c r="Y146" i="15"/>
  <c r="Z146" i="15"/>
  <c r="AD146" i="15"/>
  <c r="AE146" i="15"/>
  <c r="AF146" i="15"/>
  <c r="AG146" i="15"/>
  <c r="P147" i="15"/>
  <c r="P152" i="15" s="1"/>
  <c r="AB147" i="15"/>
  <c r="AG147" i="15"/>
  <c r="AG152" i="15" s="1"/>
  <c r="AK147" i="15"/>
  <c r="P148" i="15"/>
  <c r="AB148" i="15"/>
  <c r="P149" i="15"/>
  <c r="AB149" i="15"/>
  <c r="C150" i="15"/>
  <c r="G150" i="15"/>
  <c r="L150" i="15"/>
  <c r="Q150" i="15"/>
  <c r="C151" i="15"/>
  <c r="G151" i="15"/>
  <c r="L151" i="15"/>
  <c r="Q151" i="15"/>
  <c r="O152" i="15"/>
  <c r="T152" i="15"/>
  <c r="U152" i="15"/>
  <c r="V152" i="15"/>
  <c r="W152" i="15"/>
  <c r="X152" i="15"/>
  <c r="Y152" i="15"/>
  <c r="Z152" i="15"/>
  <c r="AD152" i="15"/>
  <c r="AE152" i="15"/>
  <c r="AF152" i="15"/>
  <c r="P153" i="15"/>
  <c r="AB153" i="15"/>
  <c r="AG153" i="15"/>
  <c r="AG158" i="15" s="1"/>
  <c r="AK153" i="15"/>
  <c r="P154" i="15"/>
  <c r="AC154" i="15" s="1"/>
  <c r="AB154" i="15"/>
  <c r="P155" i="15"/>
  <c r="AC155" i="15" s="1"/>
  <c r="AB155" i="15"/>
  <c r="C156" i="15"/>
  <c r="G156" i="15"/>
  <c r="L156" i="15"/>
  <c r="Q156" i="15"/>
  <c r="Q158" i="15" s="1"/>
  <c r="C157" i="15"/>
  <c r="C158" i="15" s="1"/>
  <c r="G157" i="15"/>
  <c r="L157" i="15"/>
  <c r="L158" i="15" s="1"/>
  <c r="Q157" i="15"/>
  <c r="O158" i="15"/>
  <c r="T158" i="15"/>
  <c r="U158" i="15"/>
  <c r="V158" i="15"/>
  <c r="W158" i="15"/>
  <c r="X158" i="15"/>
  <c r="Y158" i="15"/>
  <c r="Z158" i="15"/>
  <c r="AD158" i="15"/>
  <c r="AE158" i="15"/>
  <c r="AF158" i="15"/>
  <c r="P159" i="15"/>
  <c r="AC159" i="15" s="1"/>
  <c r="AB159" i="15"/>
  <c r="AG159" i="15"/>
  <c r="AG164" i="15" s="1"/>
  <c r="AK159" i="15"/>
  <c r="P160" i="15"/>
  <c r="AB160" i="15"/>
  <c r="P161" i="15"/>
  <c r="AB161" i="15"/>
  <c r="C162" i="15"/>
  <c r="C164" i="15" s="1"/>
  <c r="G162" i="15"/>
  <c r="L162" i="15"/>
  <c r="Q162" i="15"/>
  <c r="C163" i="15"/>
  <c r="G163" i="15"/>
  <c r="L163" i="15"/>
  <c r="Q163" i="15"/>
  <c r="G164" i="15"/>
  <c r="O164" i="15"/>
  <c r="T164" i="15"/>
  <c r="U164" i="15"/>
  <c r="V164" i="15"/>
  <c r="W164" i="15"/>
  <c r="X164" i="15"/>
  <c r="Y164" i="15"/>
  <c r="Z164" i="15"/>
  <c r="AD164" i="15"/>
  <c r="AE164" i="15"/>
  <c r="AF164" i="15"/>
  <c r="P165" i="15"/>
  <c r="AB165" i="15"/>
  <c r="AG165" i="15"/>
  <c r="AG170" i="15" s="1"/>
  <c r="AK165" i="15"/>
  <c r="P166" i="15"/>
  <c r="AC166" i="15" s="1"/>
  <c r="AB166" i="15"/>
  <c r="P167" i="15"/>
  <c r="AB167" i="15"/>
  <c r="C168" i="15"/>
  <c r="G168" i="15"/>
  <c r="L168" i="15"/>
  <c r="Q168" i="15"/>
  <c r="C169" i="15"/>
  <c r="G169" i="15"/>
  <c r="L169" i="15"/>
  <c r="Q169" i="15"/>
  <c r="O170" i="15"/>
  <c r="T170" i="15"/>
  <c r="U170" i="15"/>
  <c r="V170" i="15"/>
  <c r="W170" i="15"/>
  <c r="X170" i="15"/>
  <c r="Y170" i="15"/>
  <c r="Z170" i="15"/>
  <c r="AD170" i="15"/>
  <c r="AE170" i="15"/>
  <c r="AF170" i="15"/>
  <c r="P171" i="15"/>
  <c r="AB171" i="15"/>
  <c r="AG171" i="15"/>
  <c r="AG176" i="15" s="1"/>
  <c r="AK171" i="15"/>
  <c r="P172" i="15"/>
  <c r="AB172" i="15"/>
  <c r="P173" i="15"/>
  <c r="AB173" i="15"/>
  <c r="C174" i="15"/>
  <c r="G174" i="15"/>
  <c r="L174" i="15"/>
  <c r="Q174" i="15"/>
  <c r="C175" i="15"/>
  <c r="C176" i="15" s="1"/>
  <c r="G175" i="15"/>
  <c r="L175" i="15"/>
  <c r="Q175" i="15"/>
  <c r="O176" i="15"/>
  <c r="T176" i="15"/>
  <c r="U176" i="15"/>
  <c r="V176" i="15"/>
  <c r="W176" i="15"/>
  <c r="X176" i="15"/>
  <c r="Y176" i="15"/>
  <c r="Z176" i="15"/>
  <c r="AD176" i="15"/>
  <c r="AE176" i="15"/>
  <c r="AF176" i="15"/>
  <c r="P177" i="15"/>
  <c r="AB177" i="15"/>
  <c r="AG177" i="15"/>
  <c r="AG182" i="15" s="1"/>
  <c r="AK177" i="15"/>
  <c r="P178" i="15"/>
  <c r="AB178" i="15"/>
  <c r="P179" i="15"/>
  <c r="AB179" i="15"/>
  <c r="C180" i="15"/>
  <c r="G180" i="15"/>
  <c r="L180" i="15"/>
  <c r="Q180" i="15"/>
  <c r="C181" i="15"/>
  <c r="G181" i="15"/>
  <c r="L181" i="15"/>
  <c r="Q181" i="15"/>
  <c r="O182" i="15"/>
  <c r="T182" i="15"/>
  <c r="U182" i="15"/>
  <c r="V182" i="15"/>
  <c r="W182" i="15"/>
  <c r="X182" i="15"/>
  <c r="Y182" i="15"/>
  <c r="Z182" i="15"/>
  <c r="AD182" i="15"/>
  <c r="AE182" i="15"/>
  <c r="AF182" i="15"/>
  <c r="P183" i="15"/>
  <c r="AB183" i="15"/>
  <c r="AG183" i="15"/>
  <c r="AG188" i="15" s="1"/>
  <c r="AK183" i="15"/>
  <c r="P184" i="15"/>
  <c r="AB184" i="15"/>
  <c r="P185" i="15"/>
  <c r="AC185" i="15" s="1"/>
  <c r="AB185" i="15"/>
  <c r="C186" i="15"/>
  <c r="G186" i="15"/>
  <c r="L186" i="15"/>
  <c r="L188" i="15" s="1"/>
  <c r="Q186" i="15"/>
  <c r="C187" i="15"/>
  <c r="C188" i="15" s="1"/>
  <c r="G187" i="15"/>
  <c r="G188" i="15" s="1"/>
  <c r="L187" i="15"/>
  <c r="Q187" i="15"/>
  <c r="O188" i="15"/>
  <c r="T188" i="15"/>
  <c r="U188" i="15"/>
  <c r="V188" i="15"/>
  <c r="W188" i="15"/>
  <c r="X188" i="15"/>
  <c r="Y188" i="15"/>
  <c r="Z188" i="15"/>
  <c r="AD188" i="15"/>
  <c r="AE188" i="15"/>
  <c r="AF188" i="15"/>
  <c r="P189" i="15"/>
  <c r="AB189" i="15"/>
  <c r="AG189" i="15"/>
  <c r="AG194" i="15" s="1"/>
  <c r="AK189" i="15"/>
  <c r="P190" i="15"/>
  <c r="AB190" i="15"/>
  <c r="AC190" i="15" s="1"/>
  <c r="P191" i="15"/>
  <c r="AB191" i="15"/>
  <c r="C192" i="15"/>
  <c r="G192" i="15"/>
  <c r="L192" i="15"/>
  <c r="Q192" i="15"/>
  <c r="C193" i="15"/>
  <c r="G193" i="15"/>
  <c r="L193" i="15"/>
  <c r="Q193" i="15"/>
  <c r="O194" i="15"/>
  <c r="T194" i="15"/>
  <c r="U194" i="15"/>
  <c r="V194" i="15"/>
  <c r="W194" i="15"/>
  <c r="X194" i="15"/>
  <c r="Y194" i="15"/>
  <c r="Z194" i="15"/>
  <c r="AD194" i="15"/>
  <c r="AE194" i="15"/>
  <c r="AF194" i="15"/>
  <c r="P195" i="15"/>
  <c r="AB195" i="15"/>
  <c r="AG195" i="15"/>
  <c r="AK195" i="15"/>
  <c r="P196" i="15"/>
  <c r="AB196" i="15"/>
  <c r="P197" i="15"/>
  <c r="AB197" i="15"/>
  <c r="C198" i="15"/>
  <c r="G198" i="15"/>
  <c r="L198" i="15"/>
  <c r="Q198" i="15"/>
  <c r="Q200" i="15" s="1"/>
  <c r="C199" i="15"/>
  <c r="G199" i="15"/>
  <c r="G200" i="15" s="1"/>
  <c r="L199" i="15"/>
  <c r="Q199" i="15"/>
  <c r="O200" i="15"/>
  <c r="T200" i="15"/>
  <c r="U200" i="15"/>
  <c r="V200" i="15"/>
  <c r="W200" i="15"/>
  <c r="X200" i="15"/>
  <c r="Y200" i="15"/>
  <c r="Z200" i="15"/>
  <c r="AD200" i="15"/>
  <c r="AE200" i="15"/>
  <c r="AF200" i="15"/>
  <c r="AG200" i="15"/>
  <c r="P201" i="15"/>
  <c r="AB201" i="15"/>
  <c r="AG201" i="15"/>
  <c r="AG206" i="15" s="1"/>
  <c r="AK201" i="15"/>
  <c r="P202" i="15"/>
  <c r="AB202" i="15"/>
  <c r="AC202" i="15"/>
  <c r="P203" i="15"/>
  <c r="AB203" i="15"/>
  <c r="C204" i="15"/>
  <c r="C206" i="15" s="1"/>
  <c r="G204" i="15"/>
  <c r="L204" i="15"/>
  <c r="Q204" i="15"/>
  <c r="C205" i="15"/>
  <c r="G205" i="15"/>
  <c r="L205" i="15"/>
  <c r="Q205" i="15"/>
  <c r="Q206" i="15" s="1"/>
  <c r="O206" i="15"/>
  <c r="T206" i="15"/>
  <c r="U206" i="15"/>
  <c r="V206" i="15"/>
  <c r="W206" i="15"/>
  <c r="X206" i="15"/>
  <c r="Y206" i="15"/>
  <c r="Z206" i="15"/>
  <c r="AD206" i="15"/>
  <c r="AE206" i="15"/>
  <c r="AF206" i="15"/>
  <c r="P207" i="15"/>
  <c r="AB207" i="15"/>
  <c r="AG207" i="15"/>
  <c r="AG212" i="15" s="1"/>
  <c r="AK207" i="15"/>
  <c r="P208" i="15"/>
  <c r="AB208" i="15"/>
  <c r="P209" i="15"/>
  <c r="AC209" i="15" s="1"/>
  <c r="AB209" i="15"/>
  <c r="C210" i="15"/>
  <c r="G210" i="15"/>
  <c r="L210" i="15"/>
  <c r="L212" i="15" s="1"/>
  <c r="Q210" i="15"/>
  <c r="C211" i="15"/>
  <c r="C212" i="15" s="1"/>
  <c r="G211" i="15"/>
  <c r="L211" i="15"/>
  <c r="Q211" i="15"/>
  <c r="O212" i="15"/>
  <c r="T212" i="15"/>
  <c r="U212" i="15"/>
  <c r="V212" i="15"/>
  <c r="W212" i="15"/>
  <c r="X212" i="15"/>
  <c r="Y212" i="15"/>
  <c r="Z212" i="15"/>
  <c r="AD212" i="15"/>
  <c r="AE212" i="15"/>
  <c r="AF212" i="15"/>
  <c r="P213" i="15"/>
  <c r="AC213" i="15" s="1"/>
  <c r="AB213" i="15"/>
  <c r="AG213" i="15"/>
  <c r="AG218" i="15" s="1"/>
  <c r="AK213" i="15"/>
  <c r="P214" i="15"/>
  <c r="AB214" i="15"/>
  <c r="P215" i="15"/>
  <c r="AB215" i="15"/>
  <c r="C216" i="15"/>
  <c r="G216" i="15"/>
  <c r="L216" i="15"/>
  <c r="Q216" i="15"/>
  <c r="C217" i="15"/>
  <c r="G217" i="15"/>
  <c r="L217" i="15"/>
  <c r="Q217" i="15"/>
  <c r="O218" i="15"/>
  <c r="T218" i="15"/>
  <c r="U218" i="15"/>
  <c r="V218" i="15"/>
  <c r="W218" i="15"/>
  <c r="X218" i="15"/>
  <c r="Y218" i="15"/>
  <c r="Z218" i="15"/>
  <c r="AD218" i="15"/>
  <c r="AE218" i="15"/>
  <c r="AF218" i="15"/>
  <c r="P219" i="15"/>
  <c r="AB219" i="15"/>
  <c r="AG219" i="15"/>
  <c r="AG224" i="15" s="1"/>
  <c r="AK219" i="15"/>
  <c r="P220" i="15"/>
  <c r="AC220" i="15" s="1"/>
  <c r="AB220" i="15"/>
  <c r="P221" i="15"/>
  <c r="AB221" i="15"/>
  <c r="C222" i="15"/>
  <c r="G222" i="15"/>
  <c r="L222" i="15"/>
  <c r="Q222" i="15"/>
  <c r="C223" i="15"/>
  <c r="G223" i="15"/>
  <c r="L223" i="15"/>
  <c r="Q223" i="15"/>
  <c r="O224" i="15"/>
  <c r="T224" i="15"/>
  <c r="U224" i="15"/>
  <c r="V224" i="15"/>
  <c r="W224" i="15"/>
  <c r="X224" i="15"/>
  <c r="Y224" i="15"/>
  <c r="Z224" i="15"/>
  <c r="AD224" i="15"/>
  <c r="AE224" i="15"/>
  <c r="AF224" i="15"/>
  <c r="P225" i="15"/>
  <c r="AB225" i="15"/>
  <c r="AG225" i="15"/>
  <c r="AG230" i="15" s="1"/>
  <c r="AK225" i="15"/>
  <c r="P226" i="15"/>
  <c r="AB226" i="15"/>
  <c r="P227" i="15"/>
  <c r="AB227" i="15"/>
  <c r="C228" i="15"/>
  <c r="G228" i="15"/>
  <c r="L228" i="15"/>
  <c r="Q228" i="15"/>
  <c r="C229" i="15"/>
  <c r="C230" i="15" s="1"/>
  <c r="G229" i="15"/>
  <c r="L229" i="15"/>
  <c r="Q229" i="15"/>
  <c r="O230" i="15"/>
  <c r="T230" i="15"/>
  <c r="U230" i="15"/>
  <c r="V230" i="15"/>
  <c r="W230" i="15"/>
  <c r="X230" i="15"/>
  <c r="Y230" i="15"/>
  <c r="Z230" i="15"/>
  <c r="AD230" i="15"/>
  <c r="AE230" i="15"/>
  <c r="AF230" i="15"/>
  <c r="P231" i="15"/>
  <c r="AB231" i="15"/>
  <c r="AB236" i="15" s="1"/>
  <c r="AG231" i="15"/>
  <c r="AG236" i="15" s="1"/>
  <c r="AK231" i="15"/>
  <c r="P232" i="15"/>
  <c r="AB232" i="15"/>
  <c r="P233" i="15"/>
  <c r="AB233" i="15"/>
  <c r="C234" i="15"/>
  <c r="C236" i="15" s="1"/>
  <c r="G234" i="15"/>
  <c r="G236" i="15" s="1"/>
  <c r="L234" i="15"/>
  <c r="Q234" i="15"/>
  <c r="C235" i="15"/>
  <c r="G235" i="15"/>
  <c r="L235" i="15"/>
  <c r="Q235" i="15"/>
  <c r="O236" i="15"/>
  <c r="T236" i="15"/>
  <c r="U236" i="15"/>
  <c r="V236" i="15"/>
  <c r="W236" i="15"/>
  <c r="X236" i="15"/>
  <c r="Y236" i="15"/>
  <c r="Z236" i="15"/>
  <c r="AD236" i="15"/>
  <c r="AE236" i="15"/>
  <c r="AF236" i="15"/>
  <c r="P237" i="15"/>
  <c r="AB237" i="15"/>
  <c r="AG237" i="15"/>
  <c r="AG242" i="15" s="1"/>
  <c r="AK237" i="15"/>
  <c r="P238" i="15"/>
  <c r="AB238" i="15"/>
  <c r="P239" i="15"/>
  <c r="P242" i="15" s="1"/>
  <c r="AB239" i="15"/>
  <c r="C240" i="15"/>
  <c r="G240" i="15"/>
  <c r="L240" i="15"/>
  <c r="L242" i="15" s="1"/>
  <c r="Q240" i="15"/>
  <c r="C241" i="15"/>
  <c r="G241" i="15"/>
  <c r="L241" i="15"/>
  <c r="Q241" i="15"/>
  <c r="O242" i="15"/>
  <c r="T242" i="15"/>
  <c r="U242" i="15"/>
  <c r="V242" i="15"/>
  <c r="W242" i="15"/>
  <c r="X242" i="15"/>
  <c r="Y242" i="15"/>
  <c r="Z242" i="15"/>
  <c r="AD242" i="15"/>
  <c r="AE242" i="15"/>
  <c r="AF242" i="15"/>
  <c r="P243" i="15"/>
  <c r="AB243" i="15"/>
  <c r="AG243" i="15"/>
  <c r="AG248" i="15" s="1"/>
  <c r="AK243" i="15"/>
  <c r="P244" i="15"/>
  <c r="AB244" i="15"/>
  <c r="P245" i="15"/>
  <c r="AB245" i="15"/>
  <c r="C246" i="15"/>
  <c r="G246" i="15"/>
  <c r="L246" i="15"/>
  <c r="Q246" i="15"/>
  <c r="C247" i="15"/>
  <c r="G247" i="15"/>
  <c r="L247" i="15"/>
  <c r="L248" i="15" s="1"/>
  <c r="Q247" i="15"/>
  <c r="O248" i="15"/>
  <c r="T248" i="15"/>
  <c r="U248" i="15"/>
  <c r="V248" i="15"/>
  <c r="W248" i="15"/>
  <c r="X248" i="15"/>
  <c r="Y248" i="15"/>
  <c r="Z248" i="15"/>
  <c r="AD248" i="15"/>
  <c r="AE248" i="15"/>
  <c r="AF248" i="15"/>
  <c r="P249" i="15"/>
  <c r="AB249" i="15"/>
  <c r="AG249" i="15"/>
  <c r="AG254" i="15" s="1"/>
  <c r="AK249" i="15"/>
  <c r="P250" i="15"/>
  <c r="AB250" i="15"/>
  <c r="P251" i="15"/>
  <c r="AB251" i="15"/>
  <c r="C252" i="15"/>
  <c r="G252" i="15"/>
  <c r="L252" i="15"/>
  <c r="Q252" i="15"/>
  <c r="C253" i="15"/>
  <c r="C254" i="15" s="1"/>
  <c r="G253" i="15"/>
  <c r="L253" i="15"/>
  <c r="Q253" i="15"/>
  <c r="O254" i="15"/>
  <c r="T254" i="15"/>
  <c r="U254" i="15"/>
  <c r="V254" i="15"/>
  <c r="W254" i="15"/>
  <c r="X254" i="15"/>
  <c r="Y254" i="15"/>
  <c r="Z254" i="15"/>
  <c r="AD254" i="15"/>
  <c r="AE254" i="15"/>
  <c r="AF254" i="15"/>
  <c r="P255" i="15"/>
  <c r="AB255" i="15"/>
  <c r="AG255" i="15"/>
  <c r="AG260" i="15" s="1"/>
  <c r="AK255" i="15"/>
  <c r="P256" i="15"/>
  <c r="AB256" i="15"/>
  <c r="P257" i="15"/>
  <c r="AB257" i="15"/>
  <c r="C258" i="15"/>
  <c r="G258" i="15"/>
  <c r="G260" i="15" s="1"/>
  <c r="L258" i="15"/>
  <c r="Q258" i="15"/>
  <c r="C259" i="15"/>
  <c r="G259" i="15"/>
  <c r="L259" i="15"/>
  <c r="Q259" i="15"/>
  <c r="O260" i="15"/>
  <c r="T260" i="15"/>
  <c r="U260" i="15"/>
  <c r="V260" i="15"/>
  <c r="W260" i="15"/>
  <c r="X260" i="15"/>
  <c r="Y260" i="15"/>
  <c r="Z260" i="15"/>
  <c r="AD260" i="15"/>
  <c r="AE260" i="15"/>
  <c r="AF260" i="15"/>
  <c r="P261" i="15"/>
  <c r="AB261" i="15"/>
  <c r="AG261" i="15"/>
  <c r="AK261" i="15"/>
  <c r="AB262" i="15"/>
  <c r="AC262" i="15" s="1"/>
  <c r="P263" i="15"/>
  <c r="AB263" i="15"/>
  <c r="C264" i="15"/>
  <c r="G264" i="15"/>
  <c r="L264" i="15"/>
  <c r="Q264" i="15"/>
  <c r="C265" i="15"/>
  <c r="G265" i="15"/>
  <c r="G266" i="15" s="1"/>
  <c r="L265" i="15"/>
  <c r="Q265" i="15"/>
  <c r="Q266" i="15" s="1"/>
  <c r="O266" i="15"/>
  <c r="T266" i="15"/>
  <c r="U266" i="15"/>
  <c r="V266" i="15"/>
  <c r="W266" i="15"/>
  <c r="X266" i="15"/>
  <c r="Y266" i="15"/>
  <c r="Z266" i="15"/>
  <c r="AD266" i="15"/>
  <c r="AE266" i="15"/>
  <c r="AF266" i="15"/>
  <c r="AG266" i="15"/>
  <c r="P267" i="15"/>
  <c r="AB267" i="15"/>
  <c r="AB272" i="15" s="1"/>
  <c r="AG267" i="15"/>
  <c r="AG272" i="15" s="1"/>
  <c r="AK267" i="15"/>
  <c r="AB268" i="15"/>
  <c r="AC268" i="15" s="1"/>
  <c r="P269" i="15"/>
  <c r="AB269" i="15"/>
  <c r="C270" i="15"/>
  <c r="G270" i="15"/>
  <c r="L270" i="15"/>
  <c r="Q270" i="15"/>
  <c r="C271" i="15"/>
  <c r="G271" i="15"/>
  <c r="L271" i="15"/>
  <c r="Q271" i="15"/>
  <c r="O272" i="15"/>
  <c r="T272" i="15"/>
  <c r="U272" i="15"/>
  <c r="V272" i="15"/>
  <c r="W272" i="15"/>
  <c r="X272" i="15"/>
  <c r="Y272" i="15"/>
  <c r="Z272" i="15"/>
  <c r="AD272" i="15"/>
  <c r="AE272" i="15"/>
  <c r="AF272" i="15"/>
  <c r="P273" i="15"/>
  <c r="AC273" i="15" s="1"/>
  <c r="AB273" i="15"/>
  <c r="AG273" i="15"/>
  <c r="AG278" i="15" s="1"/>
  <c r="AK273" i="15"/>
  <c r="AB274" i="15"/>
  <c r="AC274" i="15" s="1"/>
  <c r="P275" i="15"/>
  <c r="AB275" i="15"/>
  <c r="C276" i="15"/>
  <c r="C278" i="15" s="1"/>
  <c r="G276" i="15"/>
  <c r="L276" i="15"/>
  <c r="Q276" i="15"/>
  <c r="C277" i="15"/>
  <c r="G277" i="15"/>
  <c r="L277" i="15"/>
  <c r="Q277" i="15"/>
  <c r="G278" i="15"/>
  <c r="O278" i="15"/>
  <c r="T278" i="15"/>
  <c r="U278" i="15"/>
  <c r="V278" i="15"/>
  <c r="W278" i="15"/>
  <c r="X278" i="15"/>
  <c r="Y278" i="15"/>
  <c r="Z278" i="15"/>
  <c r="AD278" i="15"/>
  <c r="AE278" i="15"/>
  <c r="AF278" i="15"/>
  <c r="P279" i="15"/>
  <c r="AB279" i="15"/>
  <c r="AG279" i="15"/>
  <c r="AK279" i="15"/>
  <c r="P280" i="15"/>
  <c r="AC280" i="15" s="1"/>
  <c r="AB280" i="15"/>
  <c r="P281" i="15"/>
  <c r="AB281" i="15"/>
  <c r="C282" i="15"/>
  <c r="G282" i="15"/>
  <c r="L282" i="15"/>
  <c r="Q282" i="15"/>
  <c r="C283" i="15"/>
  <c r="G283" i="15"/>
  <c r="L283" i="15"/>
  <c r="Q283" i="15"/>
  <c r="O284" i="15"/>
  <c r="T284" i="15"/>
  <c r="U284" i="15"/>
  <c r="V284" i="15"/>
  <c r="W284" i="15"/>
  <c r="X284" i="15"/>
  <c r="Y284" i="15"/>
  <c r="Z284" i="15"/>
  <c r="AD284" i="15"/>
  <c r="AE284" i="15"/>
  <c r="AF284" i="15"/>
  <c r="AG284" i="15"/>
  <c r="AB285" i="15"/>
  <c r="AC285" i="15" s="1"/>
  <c r="AG285" i="15"/>
  <c r="AG290" i="15" s="1"/>
  <c r="AK285" i="15"/>
  <c r="AB286" i="15"/>
  <c r="AC286" i="15" s="1"/>
  <c r="AB287" i="15"/>
  <c r="AC287" i="15" s="1"/>
  <c r="C288" i="15"/>
  <c r="G288" i="15"/>
  <c r="L288" i="15"/>
  <c r="Q288" i="15"/>
  <c r="C289" i="15"/>
  <c r="G289" i="15"/>
  <c r="L289" i="15"/>
  <c r="Q289" i="15"/>
  <c r="O290" i="15"/>
  <c r="P290" i="15"/>
  <c r="T290" i="15"/>
  <c r="U290" i="15"/>
  <c r="V290" i="15"/>
  <c r="W290" i="15"/>
  <c r="X290" i="15"/>
  <c r="Y290" i="15"/>
  <c r="Z290" i="15"/>
  <c r="AD290" i="15"/>
  <c r="AE290" i="15"/>
  <c r="AF290" i="15"/>
  <c r="R35" i="14"/>
  <c r="AC296" i="15" l="1"/>
  <c r="AC76" i="15"/>
  <c r="Q224" i="15"/>
  <c r="G212" i="15"/>
  <c r="G206" i="15"/>
  <c r="Q170" i="15"/>
  <c r="AC137" i="15"/>
  <c r="AC17" i="15"/>
  <c r="P248" i="15"/>
  <c r="L284" i="15"/>
  <c r="P278" i="15"/>
  <c r="C272" i="15"/>
  <c r="L224" i="15"/>
  <c r="AC183" i="15"/>
  <c r="L170" i="15"/>
  <c r="G140" i="15"/>
  <c r="AB134" i="15"/>
  <c r="G116" i="15"/>
  <c r="P110" i="15"/>
  <c r="AC51" i="15"/>
  <c r="Q284" i="15"/>
  <c r="C290" i="15"/>
  <c r="AB284" i="15"/>
  <c r="AC251" i="15"/>
  <c r="L230" i="15"/>
  <c r="AB224" i="15"/>
  <c r="G170" i="15"/>
  <c r="P146" i="15"/>
  <c r="C134" i="15"/>
  <c r="C128" i="15"/>
  <c r="C116" i="15"/>
  <c r="AC58" i="15"/>
  <c r="C20" i="15"/>
  <c r="Q140" i="15"/>
  <c r="Q128" i="15"/>
  <c r="L56" i="15"/>
  <c r="L50" i="15"/>
  <c r="G44" i="15"/>
  <c r="C32" i="15"/>
  <c r="P32" i="15"/>
  <c r="P104" i="15"/>
  <c r="AB92" i="15"/>
  <c r="G56" i="15"/>
  <c r="C44" i="15"/>
  <c r="AC226" i="15"/>
  <c r="AC250" i="15"/>
  <c r="AC238" i="15"/>
  <c r="AC231" i="15"/>
  <c r="AB152" i="15"/>
  <c r="AC106" i="15"/>
  <c r="AC87" i="15"/>
  <c r="AC65" i="15"/>
  <c r="Q44" i="15"/>
  <c r="L38" i="15"/>
  <c r="AC255" i="15"/>
  <c r="AC245" i="15"/>
  <c r="AC201" i="15"/>
  <c r="AC206" i="15" s="1"/>
  <c r="AC196" i="15"/>
  <c r="AC189" i="15"/>
  <c r="AC113" i="15"/>
  <c r="AB38" i="15"/>
  <c r="AB218" i="15"/>
  <c r="P170" i="15"/>
  <c r="AC45" i="15"/>
  <c r="Q248" i="15"/>
  <c r="P224" i="15"/>
  <c r="L182" i="15"/>
  <c r="AC179" i="15"/>
  <c r="L176" i="15"/>
  <c r="C170" i="15"/>
  <c r="L164" i="15"/>
  <c r="AC161" i="15"/>
  <c r="G134" i="15"/>
  <c r="G122" i="15"/>
  <c r="Q116" i="15"/>
  <c r="Q110" i="15"/>
  <c r="AC88" i="15"/>
  <c r="P86" i="15"/>
  <c r="Q80" i="15"/>
  <c r="AC64" i="15"/>
  <c r="AC68" i="15" s="1"/>
  <c r="Q62" i="15"/>
  <c r="AB62" i="15"/>
  <c r="P62" i="15"/>
  <c r="Q56" i="15"/>
  <c r="AC35" i="15"/>
  <c r="AC16" i="15"/>
  <c r="P176" i="15"/>
  <c r="AC257" i="15"/>
  <c r="AC214" i="15"/>
  <c r="AC69" i="15"/>
  <c r="P254" i="15"/>
  <c r="Q254" i="15"/>
  <c r="AC237" i="15"/>
  <c r="L218" i="15"/>
  <c r="AC207" i="15"/>
  <c r="P200" i="15"/>
  <c r="AB158" i="15"/>
  <c r="L152" i="15"/>
  <c r="C140" i="15"/>
  <c r="AB140" i="15"/>
  <c r="AC130" i="15"/>
  <c r="AC95" i="15"/>
  <c r="Q92" i="15"/>
  <c r="Q86" i="15"/>
  <c r="Q68" i="15"/>
  <c r="C14" i="15"/>
  <c r="AC233" i="15"/>
  <c r="Q278" i="15"/>
  <c r="L266" i="15"/>
  <c r="L290" i="15"/>
  <c r="L278" i="15"/>
  <c r="Q260" i="15"/>
  <c r="G224" i="15"/>
  <c r="G218" i="15"/>
  <c r="AB188" i="15"/>
  <c r="C182" i="15"/>
  <c r="AC178" i="15"/>
  <c r="AC167" i="15"/>
  <c r="Q146" i="15"/>
  <c r="Q134" i="15"/>
  <c r="Q122" i="15"/>
  <c r="AB110" i="15"/>
  <c r="AB98" i="15"/>
  <c r="G62" i="15"/>
  <c r="G50" i="15"/>
  <c r="C38" i="15"/>
  <c r="AC34" i="15"/>
  <c r="L20" i="15"/>
  <c r="AC40" i="15"/>
  <c r="Q290" i="15"/>
  <c r="L272" i="15"/>
  <c r="AB266" i="15"/>
  <c r="Q236" i="15"/>
  <c r="L194" i="15"/>
  <c r="Q182" i="15"/>
  <c r="Q164" i="15"/>
  <c r="C152" i="15"/>
  <c r="L146" i="15"/>
  <c r="L140" i="15"/>
  <c r="P128" i="15"/>
  <c r="L122" i="15"/>
  <c r="C98" i="15"/>
  <c r="G86" i="15"/>
  <c r="AC82" i="15"/>
  <c r="C74" i="15"/>
  <c r="C50" i="15"/>
  <c r="AC39" i="15"/>
  <c r="Q38" i="15"/>
  <c r="AC22" i="15"/>
  <c r="AB20" i="15"/>
  <c r="L14" i="15"/>
  <c r="AC11" i="15"/>
  <c r="Q26" i="15"/>
  <c r="C266" i="15"/>
  <c r="C260" i="15"/>
  <c r="L236" i="15"/>
  <c r="AB230" i="15"/>
  <c r="AC215" i="15"/>
  <c r="G194" i="15"/>
  <c r="G158" i="15"/>
  <c r="Q152" i="15"/>
  <c r="AC123" i="15"/>
  <c r="AC117" i="15"/>
  <c r="AB116" i="15"/>
  <c r="L110" i="15"/>
  <c r="AC107" i="15"/>
  <c r="C104" i="15"/>
  <c r="Q98" i="15"/>
  <c r="L92" i="15"/>
  <c r="AB86" i="15"/>
  <c r="AC71" i="15"/>
  <c r="L32" i="15"/>
  <c r="AC29" i="15"/>
  <c r="AB212" i="15"/>
  <c r="P194" i="15"/>
  <c r="AC275" i="15"/>
  <c r="AC278" i="15" s="1"/>
  <c r="G272" i="15"/>
  <c r="L254" i="15"/>
  <c r="G248" i="15"/>
  <c r="AC244" i="15"/>
  <c r="AB242" i="15"/>
  <c r="G290" i="15"/>
  <c r="AB290" i="15"/>
  <c r="AC281" i="15"/>
  <c r="AB260" i="15"/>
  <c r="G254" i="15"/>
  <c r="C248" i="15"/>
  <c r="Q242" i="15"/>
  <c r="Q230" i="15"/>
  <c r="AC227" i="15"/>
  <c r="P230" i="15"/>
  <c r="AB182" i="15"/>
  <c r="AC177" i="15"/>
  <c r="G176" i="15"/>
  <c r="AC172" i="15"/>
  <c r="AB170" i="15"/>
  <c r="AC119" i="15"/>
  <c r="G110" i="15"/>
  <c r="Q104" i="15"/>
  <c r="C86" i="15"/>
  <c r="L80" i="15"/>
  <c r="AC77" i="15"/>
  <c r="AC80" i="15" s="1"/>
  <c r="P56" i="15"/>
  <c r="AB56" i="15"/>
  <c r="AB44" i="15"/>
  <c r="P38" i="15"/>
  <c r="G32" i="15"/>
  <c r="AC28" i="15"/>
  <c r="C26" i="15"/>
  <c r="AB26" i="15"/>
  <c r="Q20" i="15"/>
  <c r="AC92" i="15"/>
  <c r="AB74" i="15"/>
  <c r="P26" i="15"/>
  <c r="C284" i="15"/>
  <c r="AC261" i="15"/>
  <c r="G242" i="15"/>
  <c r="G230" i="15"/>
  <c r="C224" i="15"/>
  <c r="Q218" i="15"/>
  <c r="Q212" i="15"/>
  <c r="AC195" i="15"/>
  <c r="AC191" i="15"/>
  <c r="G182" i="15"/>
  <c r="Q176" i="15"/>
  <c r="AC141" i="15"/>
  <c r="P134" i="15"/>
  <c r="G128" i="15"/>
  <c r="C122" i="15"/>
  <c r="AB122" i="15"/>
  <c r="AB104" i="15"/>
  <c r="L86" i="15"/>
  <c r="AC83" i="15"/>
  <c r="C80" i="15"/>
  <c r="P74" i="15"/>
  <c r="Q74" i="15"/>
  <c r="L68" i="15"/>
  <c r="AC47" i="15"/>
  <c r="G38" i="15"/>
  <c r="Q32" i="15"/>
  <c r="AC267" i="15"/>
  <c r="P218" i="15"/>
  <c r="AB206" i="15"/>
  <c r="AC143" i="15"/>
  <c r="AC131" i="15"/>
  <c r="AC99" i="15"/>
  <c r="AC93" i="15"/>
  <c r="AC98" i="15" s="1"/>
  <c r="AC53" i="15"/>
  <c r="AC56" i="15" s="1"/>
  <c r="AC15" i="15"/>
  <c r="P14" i="15"/>
  <c r="AB50" i="15"/>
  <c r="AB32" i="15"/>
  <c r="AB194" i="15"/>
  <c r="Q272" i="15"/>
  <c r="AC269" i="15"/>
  <c r="P272" i="15"/>
  <c r="L260" i="15"/>
  <c r="AB254" i="15"/>
  <c r="AC239" i="15"/>
  <c r="C218" i="15"/>
  <c r="L206" i="15"/>
  <c r="AC203" i="15"/>
  <c r="C200" i="15"/>
  <c r="Q194" i="15"/>
  <c r="Q188" i="15"/>
  <c r="AC165" i="15"/>
  <c r="AB164" i="15"/>
  <c r="AC153" i="15"/>
  <c r="AC158" i="15" s="1"/>
  <c r="G152" i="15"/>
  <c r="AC148" i="15"/>
  <c r="C146" i="15"/>
  <c r="AB146" i="15"/>
  <c r="C110" i="15"/>
  <c r="L104" i="15"/>
  <c r="AC101" i="15"/>
  <c r="P80" i="15"/>
  <c r="AB80" i="15"/>
  <c r="AB68" i="15"/>
  <c r="L62" i="15"/>
  <c r="AC59" i="15"/>
  <c r="C56" i="15"/>
  <c r="P50" i="15"/>
  <c r="Q50" i="15"/>
  <c r="L44" i="15"/>
  <c r="AC27" i="15"/>
  <c r="AC21" i="15"/>
  <c r="G14" i="15"/>
  <c r="AC232" i="15"/>
  <c r="AC236" i="15" s="1"/>
  <c r="P236" i="15"/>
  <c r="AC212" i="15"/>
  <c r="AC197" i="15"/>
  <c r="AC147" i="15"/>
  <c r="AC125" i="15"/>
  <c r="AC128" i="15" s="1"/>
  <c r="AC219" i="15"/>
  <c r="AC224" i="15" s="1"/>
  <c r="AC184" i="15"/>
  <c r="AC188" i="15" s="1"/>
  <c r="P188" i="15"/>
  <c r="AB176" i="15"/>
  <c r="AC160" i="15"/>
  <c r="P164" i="15"/>
  <c r="AC221" i="15"/>
  <c r="AC171" i="15"/>
  <c r="AC149" i="15"/>
  <c r="AC112" i="15"/>
  <c r="AC116" i="15" s="1"/>
  <c r="P116" i="15"/>
  <c r="G284" i="15"/>
  <c r="L200" i="15"/>
  <c r="AC263" i="15"/>
  <c r="P266" i="15"/>
  <c r="AC256" i="15"/>
  <c r="AC260" i="15" s="1"/>
  <c r="P260" i="15"/>
  <c r="C242" i="15"/>
  <c r="AB278" i="15"/>
  <c r="AB248" i="15"/>
  <c r="AC208" i="15"/>
  <c r="P212" i="15"/>
  <c r="C194" i="15"/>
  <c r="AC173" i="15"/>
  <c r="AC136" i="15"/>
  <c r="AC140" i="15" s="1"/>
  <c r="P140" i="15"/>
  <c r="L128" i="15"/>
  <c r="AC290" i="15"/>
  <c r="AC279" i="15"/>
  <c r="P284" i="15"/>
  <c r="AC243" i="15"/>
  <c r="AB200" i="15"/>
  <c r="AB128" i="15"/>
  <c r="P206" i="15"/>
  <c r="P182" i="15"/>
  <c r="P158" i="15"/>
  <c r="AC249" i="15"/>
  <c r="AC225" i="15"/>
  <c r="AC129" i="15"/>
  <c r="AC105" i="15"/>
  <c r="AC110" i="15" s="1"/>
  <c r="AC81" i="15"/>
  <c r="AC57" i="15"/>
  <c r="AC33" i="15"/>
  <c r="AC38" i="15" s="1"/>
  <c r="AC9" i="15"/>
  <c r="P92" i="15"/>
  <c r="P68" i="15"/>
  <c r="P44" i="15"/>
  <c r="P20" i="15"/>
  <c r="F34" i="14"/>
  <c r="F33" i="14"/>
  <c r="F32" i="14"/>
  <c r="F30" i="14"/>
  <c r="F29" i="14"/>
  <c r="F26" i="14"/>
  <c r="F23" i="14"/>
  <c r="R58" i="14"/>
  <c r="R57" i="14"/>
  <c r="F57" i="14" s="1"/>
  <c r="R56" i="14"/>
  <c r="F56" i="14" s="1"/>
  <c r="R55" i="14"/>
  <c r="F55" i="14" s="1"/>
  <c r="R54" i="14"/>
  <c r="F54" i="14" s="1"/>
  <c r="R53" i="14"/>
  <c r="F53" i="14" s="1"/>
  <c r="R52" i="14"/>
  <c r="F52" i="14" s="1"/>
  <c r="R51" i="14"/>
  <c r="F51" i="14" s="1"/>
  <c r="R50" i="14"/>
  <c r="F50" i="14" s="1"/>
  <c r="R49" i="14"/>
  <c r="F49" i="14" s="1"/>
  <c r="F48" i="14"/>
  <c r="R36" i="14"/>
  <c r="R37" i="14" s="1"/>
  <c r="F37" i="14" s="1"/>
  <c r="R39" i="14"/>
  <c r="R40" i="14"/>
  <c r="R12" i="14"/>
  <c r="R9" i="14"/>
  <c r="R4" i="14"/>
  <c r="R6" i="14"/>
  <c r="AC62" i="15" l="1"/>
  <c r="AC272" i="15"/>
  <c r="AC14" i="15"/>
  <c r="AC284" i="15"/>
  <c r="AC266" i="15"/>
  <c r="AC50" i="15"/>
  <c r="AC254" i="15"/>
  <c r="AC242" i="15"/>
  <c r="AC164" i="15"/>
  <c r="AC104" i="15"/>
  <c r="AC74" i="15"/>
  <c r="AC44" i="15"/>
  <c r="AC194" i="15"/>
  <c r="AC146" i="15"/>
  <c r="AC122" i="15"/>
  <c r="AC182" i="15"/>
  <c r="AC170" i="15"/>
  <c r="AC20" i="15"/>
  <c r="AC26" i="15"/>
  <c r="AC152" i="15"/>
  <c r="AC32" i="15"/>
  <c r="AC200" i="15"/>
  <c r="AC218" i="15"/>
  <c r="AC134" i="15"/>
  <c r="AC230" i="15"/>
  <c r="AC248" i="15"/>
  <c r="AC86" i="15"/>
  <c r="AC176" i="15"/>
  <c r="R41" i="14"/>
  <c r="F41" i="14" s="1"/>
  <c r="Q46" i="14" l="1"/>
  <c r="Q58" i="14" l="1"/>
  <c r="F58" i="14" s="1"/>
  <c r="Q39" i="14"/>
  <c r="Q40" i="14"/>
  <c r="Q35" i="14"/>
  <c r="Q36" i="14"/>
  <c r="Q12" i="14"/>
  <c r="Q9" i="14"/>
  <c r="Q4" i="14"/>
  <c r="Q6" i="14"/>
  <c r="Q37" i="14" l="1"/>
  <c r="Q41" i="14"/>
  <c r="K239" i="16" l="1"/>
  <c r="K15" i="17"/>
  <c r="K10" i="17"/>
  <c r="P58" i="14" l="1"/>
  <c r="P46" i="14"/>
  <c r="P39" i="14"/>
  <c r="P40" i="14"/>
  <c r="P35" i="14"/>
  <c r="P36" i="14"/>
  <c r="P9" i="14"/>
  <c r="P12" i="14"/>
  <c r="P4" i="14"/>
  <c r="P6" i="14"/>
  <c r="P37" i="14" l="1"/>
  <c r="P41" i="14"/>
  <c r="L46" i="14"/>
  <c r="M46" i="14"/>
  <c r="N46" i="14"/>
  <c r="O46" i="14"/>
  <c r="O35" i="14" l="1"/>
  <c r="O36" i="14"/>
  <c r="O39" i="14"/>
  <c r="O40" i="14"/>
  <c r="O12" i="14"/>
  <c r="O9" i="14"/>
  <c r="O4" i="14"/>
  <c r="O6" i="14"/>
  <c r="N39" i="14"/>
  <c r="N40" i="14"/>
  <c r="N35" i="14"/>
  <c r="N36" i="14"/>
  <c r="N37" i="14" l="1"/>
  <c r="N41" i="14"/>
  <c r="O37" i="14"/>
  <c r="O41" i="14"/>
  <c r="O58" i="14"/>
  <c r="N12" i="14"/>
  <c r="N9" i="14"/>
  <c r="N4" i="14"/>
  <c r="N6" i="14"/>
  <c r="N58" i="14" l="1"/>
  <c r="M58" i="14" l="1"/>
  <c r="M39" i="14"/>
  <c r="M40" i="14"/>
  <c r="M35" i="14"/>
  <c r="M36" i="14"/>
  <c r="M9" i="14"/>
  <c r="M12" i="14"/>
  <c r="M4" i="14"/>
  <c r="M6" i="14"/>
  <c r="M41" i="14" l="1"/>
  <c r="M37" i="14"/>
  <c r="L58" i="14" l="1"/>
  <c r="L40" i="14"/>
  <c r="L39" i="14"/>
  <c r="L36" i="14"/>
  <c r="L35" i="14"/>
  <c r="L12" i="14"/>
  <c r="L9" i="14"/>
  <c r="L6" i="14"/>
  <c r="L4" i="14"/>
  <c r="L37" i="14" l="1"/>
  <c r="L41" i="14"/>
  <c r="F216" i="16" l="1"/>
  <c r="G216" i="16"/>
  <c r="L10" i="14" s="1"/>
  <c r="K58" i="14" l="1"/>
  <c r="K46" i="14"/>
  <c r="K39" i="14"/>
  <c r="K40" i="14"/>
  <c r="K36" i="14"/>
  <c r="K35" i="14"/>
  <c r="K12" i="14"/>
  <c r="K9" i="14"/>
  <c r="K10" i="14"/>
  <c r="K4" i="14"/>
  <c r="K6" i="14"/>
  <c r="F15" i="17"/>
  <c r="K37" i="14" l="1"/>
  <c r="K41" i="14"/>
  <c r="J58" i="14" l="1"/>
  <c r="J46" i="14" l="1"/>
  <c r="E216" i="16" l="1"/>
  <c r="J39" i="14" l="1"/>
  <c r="J40" i="14"/>
  <c r="J35" i="14"/>
  <c r="J36" i="14"/>
  <c r="J12" i="14"/>
  <c r="J9" i="14"/>
  <c r="J10" i="14"/>
  <c r="J4" i="14"/>
  <c r="J6" i="14"/>
  <c r="J41" i="14" l="1"/>
  <c r="J37" i="14"/>
  <c r="I46" i="14" l="1"/>
  <c r="I39" i="14"/>
  <c r="I40" i="14"/>
  <c r="I35" i="14"/>
  <c r="I36" i="14"/>
  <c r="I12" i="14"/>
  <c r="I9" i="14"/>
  <c r="I6" i="14"/>
  <c r="I4" i="14"/>
  <c r="I41" i="14" l="1"/>
  <c r="I37" i="14"/>
  <c r="H6" i="14"/>
  <c r="H4" i="14"/>
  <c r="S58" i="14" l="1"/>
  <c r="S57" i="14"/>
  <c r="S56" i="14"/>
  <c r="S55" i="14"/>
  <c r="S54" i="14"/>
  <c r="S53" i="14"/>
  <c r="S52" i="14"/>
  <c r="S51" i="14"/>
  <c r="S50" i="14"/>
  <c r="S49" i="14"/>
  <c r="S48" i="14"/>
  <c r="S45" i="14"/>
  <c r="S44" i="14"/>
  <c r="S43" i="14"/>
  <c r="S34" i="14"/>
  <c r="S33" i="14"/>
  <c r="S32" i="14"/>
  <c r="S30" i="14"/>
  <c r="S29" i="14"/>
  <c r="S26" i="14"/>
  <c r="S23" i="14"/>
  <c r="S21" i="14"/>
  <c r="S20" i="14"/>
  <c r="S19" i="14"/>
  <c r="S18" i="14"/>
  <c r="S17" i="14"/>
  <c r="S16" i="14"/>
  <c r="S14" i="14"/>
  <c r="S11" i="14"/>
  <c r="S3" i="14"/>
  <c r="H9" i="14" l="1"/>
  <c r="H46" i="14" l="1"/>
  <c r="G46" i="14"/>
  <c r="S46" i="14" s="1"/>
  <c r="H40" i="14"/>
  <c r="H39" i="14"/>
  <c r="H41" i="14" s="1"/>
  <c r="H36" i="14"/>
  <c r="H35" i="14"/>
  <c r="H12" i="14"/>
  <c r="H37" i="14" l="1"/>
  <c r="C235" i="16"/>
  <c r="H13" i="14" s="1"/>
  <c r="D235" i="16"/>
  <c r="I13" i="14" s="1"/>
  <c r="C236" i="16" l="1"/>
  <c r="C217" i="16"/>
  <c r="G40" i="14" l="1"/>
  <c r="S40" i="14" s="1"/>
  <c r="B249" i="16" l="1"/>
  <c r="B247" i="16"/>
  <c r="B245" i="16"/>
  <c r="B243" i="16"/>
  <c r="B241" i="16"/>
  <c r="B239" i="16"/>
  <c r="B237" i="16"/>
  <c r="B235" i="16"/>
  <c r="B230" i="16"/>
  <c r="B228" i="16"/>
  <c r="B226" i="16"/>
  <c r="B224" i="16"/>
  <c r="B222" i="16"/>
  <c r="B218" i="16"/>
  <c r="B216" i="16"/>
  <c r="T48" i="14"/>
  <c r="G39" i="14" l="1"/>
  <c r="G36" i="14"/>
  <c r="S36" i="14" s="1"/>
  <c r="G35" i="14"/>
  <c r="S35" i="14" l="1"/>
  <c r="G37" i="14"/>
  <c r="S37" i="14" s="1"/>
  <c r="S39" i="14"/>
  <c r="G41" i="14"/>
  <c r="S41" i="14" s="1"/>
  <c r="G6" i="14"/>
  <c r="S6" i="14" s="1"/>
  <c r="G4" i="14"/>
  <c r="S4" i="14" s="1"/>
  <c r="G12" i="14"/>
  <c r="S12" i="14" s="1"/>
  <c r="G9" i="14"/>
  <c r="S9" i="14" s="1"/>
  <c r="B50" i="3" l="1"/>
  <c r="B56" i="3"/>
  <c r="G7" i="14" s="1"/>
  <c r="B55" i="3"/>
  <c r="G5" i="14" s="1"/>
  <c r="E46" i="14"/>
  <c r="F43" i="14" s="1"/>
  <c r="D97" i="5" l="1"/>
  <c r="O97" i="5"/>
  <c r="N97" i="5"/>
  <c r="M97" i="5"/>
  <c r="L97" i="5"/>
  <c r="K97" i="5"/>
  <c r="J97" i="5"/>
  <c r="I97" i="5"/>
  <c r="H97" i="5"/>
  <c r="G97" i="5"/>
  <c r="F97" i="5"/>
  <c r="E97" i="5"/>
  <c r="O93" i="5"/>
  <c r="N93" i="5"/>
  <c r="M93" i="5"/>
  <c r="L93" i="5"/>
  <c r="K93" i="5"/>
  <c r="J93" i="5"/>
  <c r="I93" i="5"/>
  <c r="H93" i="5"/>
  <c r="G93" i="5"/>
  <c r="F93" i="5"/>
  <c r="E93" i="5"/>
  <c r="D93" i="5"/>
  <c r="M56" i="3"/>
  <c r="R7" i="14" s="1"/>
  <c r="L56" i="3"/>
  <c r="Q7" i="14" s="1"/>
  <c r="K56" i="3"/>
  <c r="P7" i="14" s="1"/>
  <c r="J56" i="3"/>
  <c r="O7" i="14" s="1"/>
  <c r="I56" i="3"/>
  <c r="N7" i="14" s="1"/>
  <c r="H56" i="3"/>
  <c r="M7" i="14" s="1"/>
  <c r="G56" i="3"/>
  <c r="L7" i="14" s="1"/>
  <c r="F56" i="3"/>
  <c r="K7" i="14" s="1"/>
  <c r="E56" i="3"/>
  <c r="J7" i="14" s="1"/>
  <c r="D56" i="3"/>
  <c r="I7" i="14" s="1"/>
  <c r="C56" i="3"/>
  <c r="H7" i="14" s="1"/>
  <c r="M55" i="3"/>
  <c r="R5" i="14" s="1"/>
  <c r="L55" i="3"/>
  <c r="Q5" i="14" s="1"/>
  <c r="K55" i="3"/>
  <c r="P5" i="14" s="1"/>
  <c r="J55" i="3"/>
  <c r="O5" i="14" s="1"/>
  <c r="I55" i="3"/>
  <c r="N5" i="14" s="1"/>
  <c r="H55" i="3"/>
  <c r="M5" i="14" s="1"/>
  <c r="G55" i="3"/>
  <c r="L5" i="14" s="1"/>
  <c r="F55" i="3"/>
  <c r="K5" i="14" s="1"/>
  <c r="E55" i="3"/>
  <c r="J5" i="14" s="1"/>
  <c r="D55" i="3"/>
  <c r="I5" i="14" s="1"/>
  <c r="C55" i="3"/>
  <c r="H5" i="14" s="1"/>
  <c r="B250" i="16"/>
  <c r="G13" i="14"/>
  <c r="B231" i="16"/>
  <c r="G10" i="14"/>
  <c r="M250" i="16"/>
  <c r="L250" i="16"/>
  <c r="K250" i="16"/>
  <c r="J250" i="16"/>
  <c r="I250" i="16"/>
  <c r="H250" i="16"/>
  <c r="G250" i="16"/>
  <c r="F250" i="16"/>
  <c r="E250" i="16"/>
  <c r="D250" i="16"/>
  <c r="C250" i="16"/>
  <c r="M249" i="16"/>
  <c r="L249" i="16"/>
  <c r="K249" i="16"/>
  <c r="J249" i="16"/>
  <c r="I249" i="16"/>
  <c r="H249" i="16"/>
  <c r="G249" i="16"/>
  <c r="F249" i="16"/>
  <c r="E249" i="16"/>
  <c r="D249" i="16"/>
  <c r="C249" i="16"/>
  <c r="O248" i="16"/>
  <c r="N248" i="16"/>
  <c r="M247" i="16"/>
  <c r="L247" i="16"/>
  <c r="K247" i="16"/>
  <c r="J247" i="16"/>
  <c r="I247" i="16"/>
  <c r="H247" i="16"/>
  <c r="G247" i="16"/>
  <c r="F247" i="16"/>
  <c r="E247" i="16"/>
  <c r="D247" i="16"/>
  <c r="C247" i="16"/>
  <c r="O246" i="16"/>
  <c r="N246" i="16"/>
  <c r="M245" i="16"/>
  <c r="L245" i="16"/>
  <c r="K245" i="16"/>
  <c r="J245" i="16"/>
  <c r="I245" i="16"/>
  <c r="H245" i="16"/>
  <c r="G245" i="16"/>
  <c r="F245" i="16"/>
  <c r="E245" i="16"/>
  <c r="D245" i="16"/>
  <c r="C245" i="16"/>
  <c r="O244" i="16"/>
  <c r="N244" i="16"/>
  <c r="M243" i="16"/>
  <c r="L243" i="16"/>
  <c r="K243" i="16"/>
  <c r="J243" i="16"/>
  <c r="I243" i="16"/>
  <c r="H243" i="16"/>
  <c r="G243" i="16"/>
  <c r="F243" i="16"/>
  <c r="E243" i="16"/>
  <c r="D243" i="16"/>
  <c r="C243" i="16"/>
  <c r="O242" i="16"/>
  <c r="N242" i="16"/>
  <c r="M241" i="16"/>
  <c r="L241" i="16"/>
  <c r="K241" i="16"/>
  <c r="J241" i="16"/>
  <c r="I241" i="16"/>
  <c r="H241" i="16"/>
  <c r="G241" i="16"/>
  <c r="F241" i="16"/>
  <c r="E241" i="16"/>
  <c r="D241" i="16"/>
  <c r="C241" i="16"/>
  <c r="O240" i="16"/>
  <c r="N240" i="16"/>
  <c r="M239" i="16"/>
  <c r="L239" i="16"/>
  <c r="J239" i="16"/>
  <c r="I239" i="16"/>
  <c r="H239" i="16"/>
  <c r="G239" i="16"/>
  <c r="F239" i="16"/>
  <c r="E239" i="16"/>
  <c r="D239" i="16"/>
  <c r="C239" i="16"/>
  <c r="O238" i="16"/>
  <c r="N238" i="16"/>
  <c r="M237" i="16"/>
  <c r="L237" i="16"/>
  <c r="K237" i="16"/>
  <c r="J237" i="16"/>
  <c r="I237" i="16"/>
  <c r="H237" i="16"/>
  <c r="G237" i="16"/>
  <c r="F237" i="16"/>
  <c r="E237" i="16"/>
  <c r="D237" i="16"/>
  <c r="C237" i="16"/>
  <c r="O236" i="16"/>
  <c r="N236" i="16"/>
  <c r="M235" i="16"/>
  <c r="R13" i="14" s="1"/>
  <c r="L235" i="16"/>
  <c r="Q13" i="14" s="1"/>
  <c r="K235" i="16"/>
  <c r="P13" i="14" s="1"/>
  <c r="J235" i="16"/>
  <c r="O13" i="14" s="1"/>
  <c r="I235" i="16"/>
  <c r="N13" i="14" s="1"/>
  <c r="H235" i="16"/>
  <c r="M13" i="14" s="1"/>
  <c r="G235" i="16"/>
  <c r="L13" i="14" s="1"/>
  <c r="F235" i="16"/>
  <c r="K13" i="14" s="1"/>
  <c r="E235" i="16"/>
  <c r="J13" i="14" s="1"/>
  <c r="O234" i="16"/>
  <c r="N234" i="16"/>
  <c r="M231" i="16"/>
  <c r="L231" i="16"/>
  <c r="K231" i="16"/>
  <c r="J231" i="16"/>
  <c r="I231" i="16"/>
  <c r="H231" i="16"/>
  <c r="G231" i="16"/>
  <c r="F231" i="16"/>
  <c r="E231" i="16"/>
  <c r="D231" i="16"/>
  <c r="C231" i="16"/>
  <c r="M230" i="16"/>
  <c r="L230" i="16"/>
  <c r="K230" i="16"/>
  <c r="J230" i="16"/>
  <c r="I230" i="16"/>
  <c r="H230" i="16"/>
  <c r="G230" i="16"/>
  <c r="F230" i="16"/>
  <c r="E230" i="16"/>
  <c r="D230" i="16"/>
  <c r="C230" i="16"/>
  <c r="O229" i="16"/>
  <c r="N229" i="16"/>
  <c r="M228" i="16"/>
  <c r="L228" i="16"/>
  <c r="K228" i="16"/>
  <c r="J228" i="16"/>
  <c r="I228" i="16"/>
  <c r="H228" i="16"/>
  <c r="G228" i="16"/>
  <c r="F228" i="16"/>
  <c r="E228" i="16"/>
  <c r="D228" i="16"/>
  <c r="C228" i="16"/>
  <c r="O227" i="16"/>
  <c r="N227" i="16"/>
  <c r="M226" i="16"/>
  <c r="L226" i="16"/>
  <c r="K226" i="16"/>
  <c r="J226" i="16"/>
  <c r="I226" i="16"/>
  <c r="H226" i="16"/>
  <c r="G226" i="16"/>
  <c r="F226" i="16"/>
  <c r="E226" i="16"/>
  <c r="D226" i="16"/>
  <c r="C226" i="16"/>
  <c r="O225" i="16"/>
  <c r="N225" i="16"/>
  <c r="M224" i="16"/>
  <c r="L224" i="16"/>
  <c r="K224" i="16"/>
  <c r="J224" i="16"/>
  <c r="I224" i="16"/>
  <c r="H224" i="16"/>
  <c r="G224" i="16"/>
  <c r="F224" i="16"/>
  <c r="E224" i="16"/>
  <c r="D224" i="16"/>
  <c r="C224" i="16"/>
  <c r="O223" i="16"/>
  <c r="N223" i="16"/>
  <c r="M222" i="16"/>
  <c r="L222" i="16"/>
  <c r="K222" i="16"/>
  <c r="J222" i="16"/>
  <c r="I222" i="16"/>
  <c r="H222" i="16"/>
  <c r="G222" i="16"/>
  <c r="F222" i="16"/>
  <c r="E222" i="16"/>
  <c r="D222" i="16"/>
  <c r="C222" i="16"/>
  <c r="O221" i="16"/>
  <c r="N221" i="16"/>
  <c r="M220" i="16"/>
  <c r="L220" i="16"/>
  <c r="K220" i="16"/>
  <c r="J220" i="16"/>
  <c r="I220" i="16"/>
  <c r="H220" i="16"/>
  <c r="G220" i="16"/>
  <c r="F220" i="16"/>
  <c r="E220" i="16"/>
  <c r="D220" i="16"/>
  <c r="C220" i="16"/>
  <c r="B220" i="16"/>
  <c r="O219" i="16"/>
  <c r="N219" i="16"/>
  <c r="M218" i="16"/>
  <c r="L218" i="16"/>
  <c r="K218" i="16"/>
  <c r="J218" i="16"/>
  <c r="I218" i="16"/>
  <c r="H218" i="16"/>
  <c r="G218" i="16"/>
  <c r="F218" i="16"/>
  <c r="E218" i="16"/>
  <c r="D218" i="16"/>
  <c r="C218" i="16"/>
  <c r="O217" i="16"/>
  <c r="N217" i="16"/>
  <c r="M216" i="16"/>
  <c r="R10" i="14" s="1"/>
  <c r="L216" i="16"/>
  <c r="Q10" i="14" s="1"/>
  <c r="K216" i="16"/>
  <c r="P10" i="14" s="1"/>
  <c r="J216" i="16"/>
  <c r="O10" i="14" s="1"/>
  <c r="I216" i="16"/>
  <c r="N10" i="14" s="1"/>
  <c r="H216" i="16"/>
  <c r="M10" i="14" s="1"/>
  <c r="D216" i="16"/>
  <c r="I10" i="14" s="1"/>
  <c r="C216" i="16"/>
  <c r="H10" i="14" s="1"/>
  <c r="O215" i="16"/>
  <c r="N215" i="16"/>
  <c r="S5" i="14" l="1"/>
  <c r="S13" i="14"/>
  <c r="S7" i="14"/>
  <c r="N247" i="16"/>
  <c r="S10" i="14"/>
  <c r="N243" i="16"/>
  <c r="N228" i="16"/>
  <c r="N239" i="16"/>
  <c r="N249" i="16"/>
  <c r="N245" i="16"/>
  <c r="N241" i="16"/>
  <c r="N237" i="16"/>
  <c r="N235" i="16"/>
  <c r="N230" i="16"/>
  <c r="N226" i="16"/>
  <c r="N224" i="16"/>
  <c r="N222" i="16"/>
  <c r="N231" i="16"/>
  <c r="N218" i="16"/>
  <c r="N220" i="16"/>
  <c r="N216" i="16"/>
  <c r="O231" i="16"/>
  <c r="O250" i="16"/>
  <c r="N250" i="16"/>
  <c r="L50" i="3" l="1"/>
  <c r="K50" i="3" l="1"/>
  <c r="N207" i="16" l="1"/>
  <c r="N176" i="16" l="1"/>
  <c r="N174" i="16"/>
  <c r="O174" i="16" l="1"/>
  <c r="N188" i="16" l="1"/>
  <c r="N186" i="16"/>
  <c r="N184" i="16"/>
  <c r="N182" i="16"/>
  <c r="N180" i="16"/>
  <c r="N178" i="16"/>
  <c r="N190" i="16" l="1"/>
  <c r="T30" i="14" l="1"/>
  <c r="T29" i="14"/>
  <c r="T26" i="14"/>
  <c r="T23" i="14"/>
  <c r="F31" i="14" l="1"/>
  <c r="F26" i="17" l="1"/>
  <c r="K22" i="14" s="1"/>
  <c r="F18" i="17"/>
  <c r="K15" i="14" s="1"/>
  <c r="F7" i="17"/>
  <c r="K8" i="14" s="1"/>
  <c r="F28" i="17" l="1"/>
  <c r="F175" i="16"/>
  <c r="D7" i="17" l="1"/>
  <c r="I8" i="14" s="1"/>
  <c r="E26" i="17" l="1"/>
  <c r="J22" i="14" s="1"/>
  <c r="G26" i="17"/>
  <c r="L22" i="14" s="1"/>
  <c r="H26" i="17"/>
  <c r="M22" i="14" s="1"/>
  <c r="I26" i="17"/>
  <c r="N22" i="14" s="1"/>
  <c r="J26" i="17"/>
  <c r="O22" i="14" s="1"/>
  <c r="K26" i="17"/>
  <c r="P22" i="14" s="1"/>
  <c r="L26" i="17"/>
  <c r="Q22" i="14" s="1"/>
  <c r="M26" i="17"/>
  <c r="R22" i="14" s="1"/>
  <c r="B26" i="17"/>
  <c r="G22" i="14" s="1"/>
  <c r="C26" i="17"/>
  <c r="H22" i="14" s="1"/>
  <c r="D26" i="17"/>
  <c r="I22" i="14" s="1"/>
  <c r="E18" i="17"/>
  <c r="J15" i="14" s="1"/>
  <c r="G18" i="17"/>
  <c r="L15" i="14" s="1"/>
  <c r="H18" i="17"/>
  <c r="M15" i="14" s="1"/>
  <c r="I18" i="17"/>
  <c r="N15" i="14" s="1"/>
  <c r="J18" i="17"/>
  <c r="O15" i="14" s="1"/>
  <c r="K18" i="17"/>
  <c r="P15" i="14" s="1"/>
  <c r="L18" i="17"/>
  <c r="Q15" i="14" s="1"/>
  <c r="M18" i="17"/>
  <c r="R15" i="14" s="1"/>
  <c r="B18" i="17"/>
  <c r="G15" i="14" s="1"/>
  <c r="C18" i="17"/>
  <c r="H15" i="14" s="1"/>
  <c r="D18" i="17"/>
  <c r="I15" i="14" s="1"/>
  <c r="E7" i="17"/>
  <c r="J8" i="14" s="1"/>
  <c r="G7" i="17"/>
  <c r="L8" i="14" s="1"/>
  <c r="H7" i="17"/>
  <c r="M8" i="14" s="1"/>
  <c r="I7" i="17"/>
  <c r="N8" i="14" s="1"/>
  <c r="J7" i="17"/>
  <c r="O8" i="14" s="1"/>
  <c r="K7" i="17"/>
  <c r="P8" i="14" s="1"/>
  <c r="L7" i="17"/>
  <c r="Q8" i="14" s="1"/>
  <c r="M7" i="17"/>
  <c r="R8" i="14" s="1"/>
  <c r="B7" i="17"/>
  <c r="G8" i="14" s="1"/>
  <c r="C7" i="17"/>
  <c r="H8" i="14" s="1"/>
  <c r="O193" i="16"/>
  <c r="N195" i="16"/>
  <c r="C198" i="16"/>
  <c r="C181" i="16"/>
  <c r="S8" i="14" l="1"/>
  <c r="S22" i="14"/>
  <c r="S15" i="14"/>
  <c r="J28" i="17"/>
  <c r="I28" i="17"/>
  <c r="K28" i="17"/>
  <c r="M28" i="17"/>
  <c r="L28" i="17"/>
  <c r="G28" i="17"/>
  <c r="H28" i="17"/>
  <c r="C28" i="17"/>
  <c r="B28" i="17"/>
  <c r="D28" i="17"/>
  <c r="E28" i="17"/>
  <c r="C51" i="3"/>
  <c r="C50" i="3"/>
  <c r="T58" i="14" l="1"/>
  <c r="E89" i="5" l="1"/>
  <c r="F89" i="5"/>
  <c r="F98" i="5" s="1"/>
  <c r="I42" i="14" s="1"/>
  <c r="G89" i="5"/>
  <c r="G98" i="5" s="1"/>
  <c r="J42" i="14" s="1"/>
  <c r="H89" i="5"/>
  <c r="H98" i="5" s="1"/>
  <c r="K42" i="14" s="1"/>
  <c r="I89" i="5"/>
  <c r="J89" i="5"/>
  <c r="K89" i="5"/>
  <c r="L89" i="5"/>
  <c r="M89" i="5"/>
  <c r="N89" i="5"/>
  <c r="O89" i="5"/>
  <c r="D89" i="5"/>
  <c r="D98" i="5" s="1"/>
  <c r="E85" i="5"/>
  <c r="F85" i="5"/>
  <c r="G85" i="5"/>
  <c r="H85" i="5"/>
  <c r="I85" i="5"/>
  <c r="I94" i="5" s="1"/>
  <c r="L38" i="14" s="1"/>
  <c r="J85" i="5"/>
  <c r="J94" i="5" s="1"/>
  <c r="M38" i="14" s="1"/>
  <c r="K85" i="5"/>
  <c r="K94" i="5" s="1"/>
  <c r="N38" i="14" s="1"/>
  <c r="L85" i="5"/>
  <c r="M85" i="5"/>
  <c r="N85" i="5"/>
  <c r="O85" i="5"/>
  <c r="O94" i="5" s="1"/>
  <c r="R38" i="14" s="1"/>
  <c r="D85" i="5"/>
  <c r="D94" i="5" s="1"/>
  <c r="H90" i="5"/>
  <c r="G90" i="5"/>
  <c r="M50" i="3"/>
  <c r="D50" i="3"/>
  <c r="E50" i="3"/>
  <c r="F50" i="3"/>
  <c r="G50" i="3"/>
  <c r="H50" i="3"/>
  <c r="I50" i="3"/>
  <c r="J50" i="3"/>
  <c r="D51" i="3"/>
  <c r="E51" i="3"/>
  <c r="F51" i="3"/>
  <c r="G51" i="3"/>
  <c r="H51" i="3"/>
  <c r="I51" i="3"/>
  <c r="J51" i="3"/>
  <c r="K51" i="3"/>
  <c r="L51" i="3"/>
  <c r="B51" i="3"/>
  <c r="M51" i="3"/>
  <c r="B208" i="16"/>
  <c r="B206" i="16"/>
  <c r="B204" i="16"/>
  <c r="B202" i="16"/>
  <c r="B200" i="16"/>
  <c r="B198" i="16"/>
  <c r="B196" i="16"/>
  <c r="B194" i="16"/>
  <c r="B189" i="16"/>
  <c r="B187" i="16"/>
  <c r="B185" i="16"/>
  <c r="B183" i="16"/>
  <c r="B181" i="16"/>
  <c r="B179" i="16"/>
  <c r="B177" i="16"/>
  <c r="B175" i="16"/>
  <c r="B168" i="16"/>
  <c r="B190" i="16"/>
  <c r="M209" i="16"/>
  <c r="M251" i="16" s="1"/>
  <c r="L209" i="16"/>
  <c r="L251" i="16" s="1"/>
  <c r="K209" i="16"/>
  <c r="K251" i="16" s="1"/>
  <c r="J209" i="16"/>
  <c r="J251" i="16" s="1"/>
  <c r="I209" i="16"/>
  <c r="I251" i="16" s="1"/>
  <c r="H209" i="16"/>
  <c r="H251" i="16" s="1"/>
  <c r="G209" i="16"/>
  <c r="G251" i="16" s="1"/>
  <c r="F209" i="16"/>
  <c r="F251" i="16" s="1"/>
  <c r="E209" i="16"/>
  <c r="E251" i="16" s="1"/>
  <c r="D209" i="16"/>
  <c r="D251" i="16" s="1"/>
  <c r="C209" i="16"/>
  <c r="C251" i="16" s="1"/>
  <c r="B209" i="16"/>
  <c r="B251" i="16" s="1"/>
  <c r="M208" i="16"/>
  <c r="L208" i="16"/>
  <c r="K208" i="16"/>
  <c r="J208" i="16"/>
  <c r="I208" i="16"/>
  <c r="H208" i="16"/>
  <c r="G208" i="16"/>
  <c r="F208" i="16"/>
  <c r="E208" i="16"/>
  <c r="D208" i="16"/>
  <c r="C208" i="16"/>
  <c r="O207" i="16"/>
  <c r="M206" i="16"/>
  <c r="L206" i="16"/>
  <c r="K206" i="16"/>
  <c r="J206" i="16"/>
  <c r="I206" i="16"/>
  <c r="H206" i="16"/>
  <c r="G206" i="16"/>
  <c r="F206" i="16"/>
  <c r="E206" i="16"/>
  <c r="D206" i="16"/>
  <c r="C206" i="16"/>
  <c r="O205" i="16"/>
  <c r="N205" i="16"/>
  <c r="M204" i="16"/>
  <c r="L204" i="16"/>
  <c r="K204" i="16"/>
  <c r="J204" i="16"/>
  <c r="I204" i="16"/>
  <c r="H204" i="16"/>
  <c r="G204" i="16"/>
  <c r="F204" i="16"/>
  <c r="E204" i="16"/>
  <c r="D204" i="16"/>
  <c r="C204" i="16"/>
  <c r="O203" i="16"/>
  <c r="N203" i="16"/>
  <c r="M202" i="16"/>
  <c r="L202" i="16"/>
  <c r="K202" i="16"/>
  <c r="J202" i="16"/>
  <c r="I202" i="16"/>
  <c r="H202" i="16"/>
  <c r="G202" i="16"/>
  <c r="F202" i="16"/>
  <c r="E202" i="16"/>
  <c r="D202" i="16"/>
  <c r="C202" i="16"/>
  <c r="O201" i="16"/>
  <c r="N201" i="16"/>
  <c r="M200" i="16"/>
  <c r="L200" i="16"/>
  <c r="K200" i="16"/>
  <c r="J200" i="16"/>
  <c r="I200" i="16"/>
  <c r="H200" i="16"/>
  <c r="G200" i="16"/>
  <c r="F200" i="16"/>
  <c r="E200" i="16"/>
  <c r="D200" i="16"/>
  <c r="C200" i="16"/>
  <c r="O199" i="16"/>
  <c r="N199" i="16"/>
  <c r="M198" i="16"/>
  <c r="L198" i="16"/>
  <c r="K198" i="16"/>
  <c r="J198" i="16"/>
  <c r="I198" i="16"/>
  <c r="H198" i="16"/>
  <c r="G198" i="16"/>
  <c r="F198" i="16"/>
  <c r="E198" i="16"/>
  <c r="D198" i="16"/>
  <c r="O197" i="16"/>
  <c r="N197" i="16"/>
  <c r="M196" i="16"/>
  <c r="L196" i="16"/>
  <c r="K196" i="16"/>
  <c r="J196" i="16"/>
  <c r="I196" i="16"/>
  <c r="H196" i="16"/>
  <c r="G196" i="16"/>
  <c r="F196" i="16"/>
  <c r="E196" i="16"/>
  <c r="D196" i="16"/>
  <c r="C196" i="16"/>
  <c r="O195" i="16"/>
  <c r="M194" i="16"/>
  <c r="L194" i="16"/>
  <c r="K194" i="16"/>
  <c r="J194" i="16"/>
  <c r="I194" i="16"/>
  <c r="H194" i="16"/>
  <c r="G194" i="16"/>
  <c r="F194" i="16"/>
  <c r="E194" i="16"/>
  <c r="D194" i="16"/>
  <c r="C194" i="16"/>
  <c r="N193" i="16"/>
  <c r="M190" i="16"/>
  <c r="M232" i="16" s="1"/>
  <c r="L190" i="16"/>
  <c r="L232" i="16" s="1"/>
  <c r="K190" i="16"/>
  <c r="K232" i="16" s="1"/>
  <c r="J190" i="16"/>
  <c r="J232" i="16" s="1"/>
  <c r="I190" i="16"/>
  <c r="I232" i="16" s="1"/>
  <c r="H190" i="16"/>
  <c r="H232" i="16" s="1"/>
  <c r="G190" i="16"/>
  <c r="G232" i="16" s="1"/>
  <c r="F190" i="16"/>
  <c r="F232" i="16" s="1"/>
  <c r="E190" i="16"/>
  <c r="E232" i="16" s="1"/>
  <c r="D190" i="16"/>
  <c r="D232" i="16" s="1"/>
  <c r="C190" i="16"/>
  <c r="C232" i="16" s="1"/>
  <c r="M189" i="16"/>
  <c r="L189" i="16"/>
  <c r="K189" i="16"/>
  <c r="J189" i="16"/>
  <c r="I189" i="16"/>
  <c r="H189" i="16"/>
  <c r="G189" i="16"/>
  <c r="F189" i="16"/>
  <c r="E189" i="16"/>
  <c r="D189" i="16"/>
  <c r="C189" i="16"/>
  <c r="O188" i="16"/>
  <c r="M187" i="16"/>
  <c r="L187" i="16"/>
  <c r="K187" i="16"/>
  <c r="J187" i="16"/>
  <c r="I187" i="16"/>
  <c r="H187" i="16"/>
  <c r="G187" i="16"/>
  <c r="F187" i="16"/>
  <c r="E187" i="16"/>
  <c r="D187" i="16"/>
  <c r="C187" i="16"/>
  <c r="O186" i="16"/>
  <c r="M185" i="16"/>
  <c r="L185" i="16"/>
  <c r="K185" i="16"/>
  <c r="J185" i="16"/>
  <c r="I185" i="16"/>
  <c r="H185" i="16"/>
  <c r="G185" i="16"/>
  <c r="F185" i="16"/>
  <c r="E185" i="16"/>
  <c r="D185" i="16"/>
  <c r="C185" i="16"/>
  <c r="O184" i="16"/>
  <c r="M183" i="16"/>
  <c r="L183" i="16"/>
  <c r="K183" i="16"/>
  <c r="J183" i="16"/>
  <c r="I183" i="16"/>
  <c r="H183" i="16"/>
  <c r="G183" i="16"/>
  <c r="F183" i="16"/>
  <c r="E183" i="16"/>
  <c r="D183" i="16"/>
  <c r="C183" i="16"/>
  <c r="O182" i="16"/>
  <c r="M181" i="16"/>
  <c r="L181" i="16"/>
  <c r="K181" i="16"/>
  <c r="J181" i="16"/>
  <c r="I181" i="16"/>
  <c r="H181" i="16"/>
  <c r="G181" i="16"/>
  <c r="F181" i="16"/>
  <c r="E181" i="16"/>
  <c r="D181" i="16"/>
  <c r="O180" i="16"/>
  <c r="M179" i="16"/>
  <c r="L179" i="16"/>
  <c r="K179" i="16"/>
  <c r="J179" i="16"/>
  <c r="I179" i="16"/>
  <c r="H179" i="16"/>
  <c r="G179" i="16"/>
  <c r="F179" i="16"/>
  <c r="E179" i="16"/>
  <c r="D179" i="16"/>
  <c r="C179" i="16"/>
  <c r="O178" i="16"/>
  <c r="M177" i="16"/>
  <c r="L177" i="16"/>
  <c r="K177" i="16"/>
  <c r="J177" i="16"/>
  <c r="I177" i="16"/>
  <c r="H177" i="16"/>
  <c r="G177" i="16"/>
  <c r="F177" i="16"/>
  <c r="E177" i="16"/>
  <c r="D177" i="16"/>
  <c r="C177" i="16"/>
  <c r="O176" i="16"/>
  <c r="M175" i="16"/>
  <c r="L175" i="16"/>
  <c r="K175" i="16"/>
  <c r="J175" i="16"/>
  <c r="I175" i="16"/>
  <c r="H175" i="16"/>
  <c r="G175" i="16"/>
  <c r="E175" i="16"/>
  <c r="D175" i="16"/>
  <c r="C175" i="16"/>
  <c r="T57" i="14"/>
  <c r="I86" i="5" l="1"/>
  <c r="F90" i="5"/>
  <c r="N206" i="16"/>
  <c r="H94" i="5"/>
  <c r="K38" i="14" s="1"/>
  <c r="D90" i="5"/>
  <c r="G42" i="14"/>
  <c r="O98" i="5"/>
  <c r="R42" i="14" s="1"/>
  <c r="N183" i="16"/>
  <c r="N98" i="5"/>
  <c r="Q42" i="14" s="1"/>
  <c r="K98" i="5"/>
  <c r="N42" i="14" s="1"/>
  <c r="G94" i="5"/>
  <c r="J38" i="14" s="1"/>
  <c r="G86" i="5"/>
  <c r="N177" i="16"/>
  <c r="N175" i="16"/>
  <c r="G38" i="14"/>
  <c r="D86" i="5"/>
  <c r="N181" i="16"/>
  <c r="N94" i="5"/>
  <c r="Q38" i="14" s="1"/>
  <c r="I90" i="5"/>
  <c r="I98" i="5"/>
  <c r="L42" i="14" s="1"/>
  <c r="N179" i="16"/>
  <c r="F94" i="5"/>
  <c r="I38" i="14" s="1"/>
  <c r="F86" i="5"/>
  <c r="M98" i="5"/>
  <c r="P42" i="14" s="1"/>
  <c r="L98" i="5"/>
  <c r="O42" i="14" s="1"/>
  <c r="N189" i="16"/>
  <c r="J90" i="5"/>
  <c r="J98" i="5"/>
  <c r="M42" i="14" s="1"/>
  <c r="B232" i="16"/>
  <c r="N232" i="16" s="1"/>
  <c r="M94" i="5"/>
  <c r="P38" i="14" s="1"/>
  <c r="L94" i="5"/>
  <c r="O38" i="14" s="1"/>
  <c r="N187" i="16"/>
  <c r="E86" i="5"/>
  <c r="E94" i="5"/>
  <c r="H38" i="14" s="1"/>
  <c r="N251" i="16"/>
  <c r="E90" i="5"/>
  <c r="E98" i="5"/>
  <c r="H42" i="14" s="1"/>
  <c r="N209" i="16"/>
  <c r="O209" i="16"/>
  <c r="N185" i="16"/>
  <c r="N202" i="16"/>
  <c r="O190" i="16"/>
  <c r="N198" i="16"/>
  <c r="N200" i="16"/>
  <c r="N204" i="16"/>
  <c r="N208" i="16"/>
  <c r="N194" i="16"/>
  <c r="N196" i="16"/>
  <c r="T50" i="14"/>
  <c r="T51" i="14"/>
  <c r="M135" i="16"/>
  <c r="M154" i="16"/>
  <c r="S42" i="14" l="1"/>
  <c r="S38" i="14"/>
  <c r="M150" i="16"/>
  <c r="M191" i="16" s="1"/>
  <c r="M169" i="16"/>
  <c r="M210" i="16" s="1"/>
  <c r="M166" i="16"/>
  <c r="M147" i="16"/>
  <c r="M168" i="16"/>
  <c r="M149" i="16"/>
  <c r="M164" i="16"/>
  <c r="M145" i="16"/>
  <c r="M143" i="16"/>
  <c r="M162" i="16"/>
  <c r="M160" i="16"/>
  <c r="M141" i="16"/>
  <c r="M158" i="16"/>
  <c r="M139" i="16"/>
  <c r="M137" i="16"/>
  <c r="M156" i="16"/>
  <c r="L168" i="16" l="1"/>
  <c r="L166" i="16"/>
  <c r="L164" i="16"/>
  <c r="L162" i="16"/>
  <c r="L160" i="16"/>
  <c r="L158" i="16"/>
  <c r="L156" i="16"/>
  <c r="L154" i="16"/>
  <c r="L150" i="16"/>
  <c r="L191" i="16" s="1"/>
  <c r="L149" i="16"/>
  <c r="L147" i="16"/>
  <c r="L145" i="16"/>
  <c r="L143" i="16"/>
  <c r="L141" i="16"/>
  <c r="L139" i="16"/>
  <c r="L137" i="16"/>
  <c r="L135" i="16"/>
  <c r="L169" i="16"/>
  <c r="L210" i="16" s="1"/>
  <c r="T33" i="14" l="1"/>
  <c r="O167" i="16"/>
  <c r="O153" i="16"/>
  <c r="O136" i="16"/>
  <c r="O134" i="16"/>
  <c r="K169" i="16" l="1"/>
  <c r="K210" i="16" s="1"/>
  <c r="K168" i="16"/>
  <c r="K166" i="16"/>
  <c r="K164" i="16"/>
  <c r="K162" i="16"/>
  <c r="K160" i="16"/>
  <c r="K158" i="16"/>
  <c r="K156" i="16"/>
  <c r="K154" i="16"/>
  <c r="K150" i="16"/>
  <c r="K191" i="16" s="1"/>
  <c r="K149" i="16"/>
  <c r="K147" i="16"/>
  <c r="K145" i="16"/>
  <c r="K143" i="16"/>
  <c r="K141" i="16"/>
  <c r="K139" i="16"/>
  <c r="K137" i="16"/>
  <c r="K135" i="16"/>
  <c r="H77" i="5" l="1"/>
  <c r="H86" i="5" s="1"/>
  <c r="J169" i="16" l="1"/>
  <c r="J210" i="16" s="1"/>
  <c r="J168" i="16"/>
  <c r="J166" i="16"/>
  <c r="J150" i="16"/>
  <c r="J191" i="16" s="1"/>
  <c r="J149" i="16"/>
  <c r="J147" i="16"/>
  <c r="J145" i="16"/>
  <c r="J164" i="16"/>
  <c r="J162" i="16"/>
  <c r="J143" i="16"/>
  <c r="J160" i="16"/>
  <c r="J158" i="16"/>
  <c r="J141" i="16"/>
  <c r="J139" i="16"/>
  <c r="J156" i="16"/>
  <c r="J137" i="16"/>
  <c r="J154" i="16" l="1"/>
  <c r="J135" i="16"/>
  <c r="B169" i="16"/>
  <c r="B210" i="16" s="1"/>
  <c r="N168" i="16"/>
  <c r="B154" i="16"/>
  <c r="B139" i="16"/>
  <c r="B137" i="16"/>
  <c r="B135" i="16"/>
  <c r="N134" i="16"/>
  <c r="I169" i="16"/>
  <c r="I210" i="16" s="1"/>
  <c r="I168" i="16"/>
  <c r="I166" i="16"/>
  <c r="I150" i="16"/>
  <c r="I191" i="16" s="1"/>
  <c r="I149" i="16"/>
  <c r="I147" i="16"/>
  <c r="I164" i="16"/>
  <c r="I145" i="16"/>
  <c r="I143" i="16"/>
  <c r="I162" i="16"/>
  <c r="I160" i="16"/>
  <c r="I141" i="16"/>
  <c r="I156" i="16"/>
  <c r="I137" i="16"/>
  <c r="K77" i="5" l="1"/>
  <c r="K78" i="5" l="1"/>
  <c r="K86" i="5"/>
  <c r="I154" i="16"/>
  <c r="I135" i="16"/>
  <c r="I158" i="16" l="1"/>
  <c r="I139" i="16"/>
  <c r="H150" i="16" l="1"/>
  <c r="I45" i="3"/>
  <c r="L77" i="5"/>
  <c r="M77" i="5"/>
  <c r="N77" i="5"/>
  <c r="O77" i="5"/>
  <c r="L81" i="5"/>
  <c r="M81" i="5"/>
  <c r="N81" i="5"/>
  <c r="O81" i="5"/>
  <c r="K81" i="5"/>
  <c r="L78" i="5" l="1"/>
  <c r="L86" i="5"/>
  <c r="K82" i="5"/>
  <c r="K90" i="5"/>
  <c r="O82" i="5"/>
  <c r="O90" i="5"/>
  <c r="N82" i="5"/>
  <c r="N90" i="5"/>
  <c r="M82" i="5"/>
  <c r="M90" i="5"/>
  <c r="L82" i="5"/>
  <c r="L90" i="5"/>
  <c r="O86" i="5"/>
  <c r="O78" i="5"/>
  <c r="N86" i="5"/>
  <c r="N78" i="5"/>
  <c r="M86" i="5"/>
  <c r="M78" i="5"/>
  <c r="H191" i="16"/>
  <c r="J82" i="5"/>
  <c r="H46" i="3"/>
  <c r="H45" i="3"/>
  <c r="H154" i="16" l="1"/>
  <c r="H135" i="16"/>
  <c r="J77" i="5" l="1"/>
  <c r="J78" i="5" l="1"/>
  <c r="J86" i="5"/>
  <c r="I129" i="16"/>
  <c r="I170" i="16" s="1"/>
  <c r="J129" i="16"/>
  <c r="J170" i="16" s="1"/>
  <c r="K129" i="16"/>
  <c r="K170" i="16" s="1"/>
  <c r="L129" i="16"/>
  <c r="L170" i="16" s="1"/>
  <c r="M129" i="16"/>
  <c r="M170" i="16" s="1"/>
  <c r="H129" i="16"/>
  <c r="H169" i="16"/>
  <c r="H149" i="16"/>
  <c r="H168" i="16"/>
  <c r="H166" i="16"/>
  <c r="H147" i="16"/>
  <c r="H145" i="16"/>
  <c r="H156" i="16"/>
  <c r="H164" i="16"/>
  <c r="H143" i="16"/>
  <c r="H162" i="16"/>
  <c r="H141" i="16"/>
  <c r="H160" i="16"/>
  <c r="H137" i="16"/>
  <c r="H170" i="16" l="1"/>
  <c r="H210" i="16"/>
  <c r="H158" i="16"/>
  <c r="H139" i="16"/>
  <c r="G139" i="16"/>
  <c r="G169" i="16" l="1"/>
  <c r="G210" i="16" s="1"/>
  <c r="F135" i="16"/>
  <c r="G135" i="16"/>
  <c r="I82" i="5" l="1"/>
  <c r="I78" i="5"/>
  <c r="G154" i="16" l="1"/>
  <c r="F149" i="16"/>
  <c r="G150" i="16"/>
  <c r="G191" i="16" s="1"/>
  <c r="G137" i="16"/>
  <c r="G156" i="16"/>
  <c r="G158" i="16"/>
  <c r="G162" i="16" l="1"/>
  <c r="G164" i="16"/>
  <c r="G166" i="16"/>
  <c r="G147" i="16"/>
  <c r="G145" i="16"/>
  <c r="G143" i="16"/>
  <c r="G168" i="16"/>
  <c r="G149" i="16"/>
  <c r="G160" i="16" l="1"/>
  <c r="G141" i="16"/>
  <c r="F150" i="16" l="1"/>
  <c r="F191" i="16" s="1"/>
  <c r="F169" i="16"/>
  <c r="F210" i="16" s="1"/>
  <c r="E169" i="16"/>
  <c r="E210" i="16" s="1"/>
  <c r="D169" i="16"/>
  <c r="D210" i="16" s="1"/>
  <c r="C169" i="16"/>
  <c r="C210" i="16" s="1"/>
  <c r="H82" i="5"/>
  <c r="H78" i="5"/>
  <c r="N210" i="16" l="1"/>
  <c r="F154" i="16" l="1"/>
  <c r="F147" i="16" l="1"/>
  <c r="F166" i="16"/>
  <c r="F164" i="16"/>
  <c r="F162" i="16"/>
  <c r="F145" i="16"/>
  <c r="F143" i="16"/>
  <c r="F168" i="16"/>
  <c r="F160" i="16"/>
  <c r="F141" i="16"/>
  <c r="F156" i="16"/>
  <c r="F137" i="16"/>
  <c r="F158" i="16" l="1"/>
  <c r="F139" i="16"/>
  <c r="G78" i="5" l="1"/>
  <c r="G82" i="5"/>
  <c r="E154" i="16" l="1"/>
  <c r="E135" i="16"/>
  <c r="E168" i="16" l="1"/>
  <c r="E166" i="16"/>
  <c r="E164" i="16"/>
  <c r="E162" i="16"/>
  <c r="E160" i="16"/>
  <c r="E150" i="16"/>
  <c r="E191" i="16" s="1"/>
  <c r="E147" i="16"/>
  <c r="E145" i="16"/>
  <c r="E143" i="16"/>
  <c r="E141" i="16"/>
  <c r="E158" i="16"/>
  <c r="E139" i="16"/>
  <c r="E149" i="16"/>
  <c r="E156" i="16"/>
  <c r="E137" i="16"/>
  <c r="N148" i="16" l="1"/>
  <c r="D158" i="16" l="1"/>
  <c r="D139" i="16"/>
  <c r="F82" i="5" l="1"/>
  <c r="F78" i="5"/>
  <c r="D154" i="16" l="1"/>
  <c r="D135" i="16"/>
  <c r="D156" i="16" l="1"/>
  <c r="D137" i="16"/>
  <c r="D150" i="16"/>
  <c r="D191" i="16" s="1"/>
  <c r="D141" i="16"/>
  <c r="D147" i="16"/>
  <c r="D160" i="16"/>
  <c r="D166" i="16"/>
  <c r="D164" i="16"/>
  <c r="D145" i="16"/>
  <c r="D162" i="16"/>
  <c r="D143" i="16"/>
  <c r="D168" i="16"/>
  <c r="D149" i="16"/>
  <c r="N155" i="16" l="1"/>
  <c r="N157" i="16"/>
  <c r="N159" i="16"/>
  <c r="N161" i="16"/>
  <c r="N163" i="16"/>
  <c r="N165" i="16"/>
  <c r="N167" i="16"/>
  <c r="E82" i="5" l="1"/>
  <c r="E78" i="5"/>
  <c r="C168" i="16" l="1"/>
  <c r="C166" i="16"/>
  <c r="T56" i="14" l="1"/>
  <c r="T55" i="14"/>
  <c r="T54" i="14"/>
  <c r="T53" i="14"/>
  <c r="T52" i="14"/>
  <c r="T34" i="14"/>
  <c r="B156" i="16" l="1"/>
  <c r="B166" i="16"/>
  <c r="N166" i="16" s="1"/>
  <c r="B149" i="16"/>
  <c r="N149" i="16" s="1"/>
  <c r="D82" i="5" l="1"/>
  <c r="D78" i="5"/>
  <c r="C45" i="3" l="1"/>
  <c r="D45" i="3"/>
  <c r="E45" i="3"/>
  <c r="F45" i="3"/>
  <c r="G45" i="3"/>
  <c r="J45" i="3"/>
  <c r="K45" i="3"/>
  <c r="L45" i="3"/>
  <c r="M45" i="3"/>
  <c r="C46" i="3"/>
  <c r="D46" i="3"/>
  <c r="E46" i="3"/>
  <c r="F46" i="3"/>
  <c r="G46" i="3"/>
  <c r="I46" i="3"/>
  <c r="J46" i="3"/>
  <c r="K46" i="3"/>
  <c r="L46" i="3"/>
  <c r="M46" i="3"/>
  <c r="B46" i="3"/>
  <c r="B45" i="3"/>
  <c r="B9" i="16" l="1"/>
  <c r="C9" i="16"/>
  <c r="D9" i="16"/>
  <c r="E9" i="16"/>
  <c r="F9" i="16"/>
  <c r="G9" i="16"/>
  <c r="H9" i="16"/>
  <c r="I9" i="16"/>
  <c r="J9" i="16"/>
  <c r="K9" i="16"/>
  <c r="L9" i="16"/>
  <c r="M9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21" i="16"/>
  <c r="O21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3" i="16"/>
  <c r="O23" i="16"/>
  <c r="B24" i="16"/>
  <c r="C24" i="16"/>
  <c r="D24" i="16"/>
  <c r="E24" i="16"/>
  <c r="F24" i="16"/>
  <c r="G24" i="16"/>
  <c r="H24" i="16"/>
  <c r="I24" i="16"/>
  <c r="J24" i="16"/>
  <c r="K24" i="16"/>
  <c r="L24" i="16"/>
  <c r="M24" i="16"/>
  <c r="N25" i="16"/>
  <c r="O25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7" i="16"/>
  <c r="O27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9" i="16"/>
  <c r="O29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1" i="16"/>
  <c r="O31" i="16"/>
  <c r="B32" i="16"/>
  <c r="C32" i="16"/>
  <c r="D32" i="16"/>
  <c r="E32" i="16"/>
  <c r="F32" i="16"/>
  <c r="G32" i="16"/>
  <c r="H32" i="16"/>
  <c r="I32" i="16"/>
  <c r="J32" i="16"/>
  <c r="K32" i="16"/>
  <c r="L32" i="16"/>
  <c r="M32" i="16"/>
  <c r="N33" i="16"/>
  <c r="O33" i="16"/>
  <c r="B34" i="16"/>
  <c r="C34" i="16"/>
  <c r="D34" i="16"/>
  <c r="E34" i="16"/>
  <c r="F34" i="16"/>
  <c r="G34" i="16"/>
  <c r="H34" i="16"/>
  <c r="I34" i="16"/>
  <c r="J34" i="16"/>
  <c r="K34" i="16"/>
  <c r="L34" i="16"/>
  <c r="M34" i="16"/>
  <c r="B35" i="16"/>
  <c r="C35" i="16"/>
  <c r="D35" i="16"/>
  <c r="E35" i="16"/>
  <c r="F35" i="16"/>
  <c r="G35" i="16"/>
  <c r="H35" i="16"/>
  <c r="I35" i="16"/>
  <c r="J35" i="16"/>
  <c r="K35" i="16"/>
  <c r="L35" i="16"/>
  <c r="M35" i="16"/>
  <c r="N38" i="16"/>
  <c r="O38" i="16"/>
  <c r="B39" i="16"/>
  <c r="C39" i="16"/>
  <c r="D39" i="16"/>
  <c r="E39" i="16"/>
  <c r="F39" i="16"/>
  <c r="G39" i="16"/>
  <c r="H39" i="16"/>
  <c r="I39" i="16"/>
  <c r="J39" i="16"/>
  <c r="K39" i="16"/>
  <c r="L39" i="16"/>
  <c r="M39" i="16"/>
  <c r="N40" i="16"/>
  <c r="O40" i="16"/>
  <c r="B41" i="16"/>
  <c r="C41" i="16"/>
  <c r="D41" i="16"/>
  <c r="E41" i="16"/>
  <c r="F41" i="16"/>
  <c r="G41" i="16"/>
  <c r="H41" i="16"/>
  <c r="I41" i="16"/>
  <c r="J41" i="16"/>
  <c r="K41" i="16"/>
  <c r="L41" i="16"/>
  <c r="M41" i="16"/>
  <c r="N42" i="16"/>
  <c r="O42" i="16"/>
  <c r="N44" i="16"/>
  <c r="O44" i="16"/>
  <c r="B45" i="16"/>
  <c r="C45" i="16"/>
  <c r="D45" i="16"/>
  <c r="E45" i="16"/>
  <c r="F45" i="16"/>
  <c r="G45" i="16"/>
  <c r="H45" i="16"/>
  <c r="I45" i="16"/>
  <c r="J45" i="16"/>
  <c r="K45" i="16"/>
  <c r="L45" i="16"/>
  <c r="M45" i="16"/>
  <c r="N46" i="16"/>
  <c r="O46" i="16"/>
  <c r="B47" i="16"/>
  <c r="C47" i="16"/>
  <c r="D47" i="16"/>
  <c r="E47" i="16"/>
  <c r="F47" i="16"/>
  <c r="G47" i="16"/>
  <c r="H47" i="16"/>
  <c r="I47" i="16"/>
  <c r="J47" i="16"/>
  <c r="K47" i="16"/>
  <c r="L47" i="16"/>
  <c r="M47" i="16"/>
  <c r="N48" i="16"/>
  <c r="O48" i="16"/>
  <c r="B49" i="16"/>
  <c r="C49" i="16"/>
  <c r="D49" i="16"/>
  <c r="E49" i="16"/>
  <c r="F49" i="16"/>
  <c r="G49" i="16"/>
  <c r="H49" i="16"/>
  <c r="I49" i="16"/>
  <c r="J49" i="16"/>
  <c r="K49" i="16"/>
  <c r="L49" i="16"/>
  <c r="M49" i="16"/>
  <c r="N50" i="16"/>
  <c r="O50" i="16"/>
  <c r="B51" i="16"/>
  <c r="C51" i="16"/>
  <c r="D51" i="16"/>
  <c r="E51" i="16"/>
  <c r="F51" i="16"/>
  <c r="G51" i="16"/>
  <c r="H51" i="16"/>
  <c r="I51" i="16"/>
  <c r="J51" i="16"/>
  <c r="K51" i="16"/>
  <c r="L51" i="16"/>
  <c r="M51" i="16"/>
  <c r="B52" i="16"/>
  <c r="C52" i="16"/>
  <c r="D52" i="16"/>
  <c r="E52" i="16"/>
  <c r="F52" i="16"/>
  <c r="G52" i="16"/>
  <c r="H52" i="16"/>
  <c r="I52" i="16"/>
  <c r="J52" i="16"/>
  <c r="K52" i="16"/>
  <c r="K53" i="16" s="1"/>
  <c r="L52" i="16"/>
  <c r="M52" i="16"/>
  <c r="B164" i="16"/>
  <c r="C164" i="16"/>
  <c r="C162" i="16"/>
  <c r="B162" i="16"/>
  <c r="C160" i="16"/>
  <c r="B160" i="16"/>
  <c r="C156" i="16"/>
  <c r="N156" i="16" s="1"/>
  <c r="C158" i="16"/>
  <c r="B158" i="16"/>
  <c r="C36" i="16" l="1"/>
  <c r="G53" i="16"/>
  <c r="N160" i="16"/>
  <c r="C53" i="16"/>
  <c r="N158" i="16"/>
  <c r="J36" i="16"/>
  <c r="N162" i="16"/>
  <c r="N164" i="16"/>
  <c r="D53" i="16"/>
  <c r="G36" i="16"/>
  <c r="L36" i="16"/>
  <c r="D36" i="16"/>
  <c r="H53" i="16"/>
  <c r="K36" i="16"/>
  <c r="N51" i="16"/>
  <c r="L53" i="16"/>
  <c r="N52" i="16"/>
  <c r="N35" i="16"/>
  <c r="B36" i="16"/>
  <c r="N32" i="16"/>
  <c r="N49" i="16"/>
  <c r="F53" i="16"/>
  <c r="F36" i="16"/>
  <c r="N34" i="16"/>
  <c r="N24" i="16"/>
  <c r="M53" i="16"/>
  <c r="E53" i="16"/>
  <c r="N39" i="16"/>
  <c r="M36" i="16"/>
  <c r="E36" i="16"/>
  <c r="N26" i="16"/>
  <c r="N28" i="16"/>
  <c r="N45" i="16"/>
  <c r="N41" i="16"/>
  <c r="N22" i="16"/>
  <c r="J53" i="16"/>
  <c r="B53" i="16"/>
  <c r="N30" i="16"/>
  <c r="O52" i="16"/>
  <c r="N47" i="16"/>
  <c r="I36" i="16"/>
  <c r="O35" i="16"/>
  <c r="I53" i="16"/>
  <c r="H36" i="16"/>
  <c r="C154" i="16"/>
  <c r="C149" i="16"/>
  <c r="C147" i="16"/>
  <c r="B147" i="16"/>
  <c r="C145" i="16"/>
  <c r="B145" i="16"/>
  <c r="C143" i="16"/>
  <c r="B143" i="16"/>
  <c r="C141" i="16"/>
  <c r="B141" i="16"/>
  <c r="C137" i="16"/>
  <c r="N137" i="16" s="1"/>
  <c r="C135" i="16"/>
  <c r="N135" i="16" s="1"/>
  <c r="O165" i="16"/>
  <c r="O163" i="16"/>
  <c r="O161" i="16"/>
  <c r="O159" i="16"/>
  <c r="O157" i="16"/>
  <c r="O155" i="16"/>
  <c r="N153" i="16"/>
  <c r="C150" i="16"/>
  <c r="C191" i="16" s="1"/>
  <c r="B150" i="16"/>
  <c r="O148" i="16"/>
  <c r="O146" i="16"/>
  <c r="N146" i="16"/>
  <c r="O144" i="16"/>
  <c r="N144" i="16"/>
  <c r="O142" i="16"/>
  <c r="N142" i="16"/>
  <c r="O140" i="16"/>
  <c r="N140" i="16"/>
  <c r="C139" i="16"/>
  <c r="N139" i="16" s="1"/>
  <c r="O138" i="16"/>
  <c r="N138" i="16"/>
  <c r="N136" i="16"/>
  <c r="B191" i="16" l="1"/>
  <c r="N191" i="16" s="1"/>
  <c r="N36" i="16"/>
  <c r="N53" i="16"/>
  <c r="N143" i="16"/>
  <c r="N145" i="16"/>
  <c r="N147" i="16"/>
  <c r="N154" i="16"/>
  <c r="N141" i="16"/>
  <c r="N150" i="16"/>
  <c r="N169" i="16"/>
  <c r="O169" i="16"/>
  <c r="O150" i="16"/>
  <c r="M126" i="16" l="1"/>
  <c r="M124" i="16"/>
  <c r="M122" i="16"/>
  <c r="M120" i="16"/>
  <c r="M116" i="16"/>
  <c r="M114" i="16"/>
  <c r="M97" i="16"/>
  <c r="M95" i="16"/>
  <c r="M107" i="16" l="1"/>
  <c r="M105" i="16"/>
  <c r="M103" i="16"/>
  <c r="M101" i="16"/>
  <c r="M118" i="16" l="1"/>
  <c r="M99" i="16"/>
  <c r="N74" i="5" l="1"/>
  <c r="L114" i="16" l="1"/>
  <c r="L95" i="16" l="1"/>
  <c r="L116" i="16" l="1"/>
  <c r="L97" i="16"/>
  <c r="L126" i="16" l="1"/>
  <c r="L124" i="16"/>
  <c r="L107" i="16"/>
  <c r="L105" i="16"/>
  <c r="L103" i="16"/>
  <c r="L122" i="16"/>
  <c r="L120" i="16"/>
  <c r="L101" i="16"/>
  <c r="L118" i="16" l="1"/>
  <c r="L99" i="16"/>
  <c r="N96" i="16" l="1"/>
  <c r="O94" i="16"/>
  <c r="N94" i="16" l="1"/>
  <c r="K114" i="16" l="1"/>
  <c r="K95" i="16"/>
  <c r="K124" i="16" l="1"/>
  <c r="K122" i="16"/>
  <c r="K120" i="16"/>
  <c r="K126" i="16"/>
  <c r="K107" i="16"/>
  <c r="K105" i="16"/>
  <c r="K103" i="16"/>
  <c r="K101" i="16"/>
  <c r="K116" i="16"/>
  <c r="K97" i="16"/>
  <c r="K118" i="16" l="1"/>
  <c r="K99" i="16"/>
  <c r="L70" i="5" l="1"/>
  <c r="J114" i="16" l="1"/>
  <c r="J95" i="16"/>
  <c r="J97" i="16" l="1"/>
  <c r="J126" i="16"/>
  <c r="J124" i="16"/>
  <c r="J122" i="16"/>
  <c r="J120" i="16"/>
  <c r="J116" i="16"/>
  <c r="J101" i="16"/>
  <c r="J107" i="16"/>
  <c r="J105" i="16"/>
  <c r="J103" i="16"/>
  <c r="J118" i="16" l="1"/>
  <c r="J99" i="16"/>
  <c r="N127" i="16" l="1"/>
  <c r="N125" i="16"/>
  <c r="O108" i="16"/>
  <c r="N108" i="16"/>
  <c r="O127" i="16" l="1"/>
  <c r="O125" i="16"/>
  <c r="O123" i="16"/>
  <c r="O121" i="16"/>
  <c r="O119" i="16"/>
  <c r="O117" i="16"/>
  <c r="O115" i="16"/>
  <c r="O113" i="16"/>
  <c r="O106" i="16"/>
  <c r="O100" i="16"/>
  <c r="O98" i="16"/>
  <c r="O96" i="16"/>
  <c r="I97" i="16"/>
  <c r="I114" i="16"/>
  <c r="I95" i="16"/>
  <c r="I116" i="16" l="1"/>
  <c r="I126" i="16"/>
  <c r="I124" i="16"/>
  <c r="I122" i="16"/>
  <c r="I120" i="16"/>
  <c r="I107" i="16"/>
  <c r="I105" i="16"/>
  <c r="I103" i="16"/>
  <c r="I101" i="16"/>
  <c r="B126" i="16"/>
  <c r="B129" i="16"/>
  <c r="B170" i="16" s="1"/>
  <c r="C110" i="16"/>
  <c r="C151" i="16" s="1"/>
  <c r="D110" i="16"/>
  <c r="D151" i="16" s="1"/>
  <c r="E110" i="16"/>
  <c r="E151" i="16" s="1"/>
  <c r="F110" i="16"/>
  <c r="F151" i="16" s="1"/>
  <c r="G110" i="16"/>
  <c r="G151" i="16" s="1"/>
  <c r="H110" i="16"/>
  <c r="H151" i="16" s="1"/>
  <c r="I110" i="16"/>
  <c r="I151" i="16" s="1"/>
  <c r="J110" i="16"/>
  <c r="J151" i="16" s="1"/>
  <c r="K110" i="16"/>
  <c r="K151" i="16" s="1"/>
  <c r="L110" i="16"/>
  <c r="L151" i="16" s="1"/>
  <c r="M110" i="16"/>
  <c r="M151" i="16" s="1"/>
  <c r="B110" i="16"/>
  <c r="B151" i="16" s="1"/>
  <c r="I118" i="16" l="1"/>
  <c r="I99" i="16"/>
  <c r="H114" i="16" l="1"/>
  <c r="H95" i="16"/>
  <c r="H126" i="16" l="1"/>
  <c r="H124" i="16"/>
  <c r="H122" i="16"/>
  <c r="H107" i="16"/>
  <c r="H105" i="16"/>
  <c r="H103" i="16"/>
  <c r="H120" i="16"/>
  <c r="H101" i="16"/>
  <c r="H118" i="16"/>
  <c r="H99" i="16"/>
  <c r="H116" i="16"/>
  <c r="H97" i="16"/>
  <c r="G129" i="16" l="1"/>
  <c r="G170" i="16" s="1"/>
  <c r="G126" i="16"/>
  <c r="G124" i="16"/>
  <c r="G122" i="16"/>
  <c r="G120" i="16"/>
  <c r="G107" i="16"/>
  <c r="G105" i="16"/>
  <c r="G103" i="16"/>
  <c r="G101" i="16"/>
  <c r="G114" i="16"/>
  <c r="G95" i="16"/>
  <c r="G116" i="16"/>
  <c r="G97" i="16"/>
  <c r="G118" i="16" l="1"/>
  <c r="G99" i="16"/>
  <c r="F114" i="16" l="1"/>
  <c r="F95" i="16"/>
  <c r="F129" i="16" l="1"/>
  <c r="F170" i="16" s="1"/>
  <c r="F116" i="16"/>
  <c r="F97" i="16"/>
  <c r="F118" i="16"/>
  <c r="F99" i="16"/>
  <c r="F120" i="16"/>
  <c r="F126" i="16"/>
  <c r="F124" i="16"/>
  <c r="F122" i="16"/>
  <c r="F103" i="16"/>
  <c r="F105" i="16"/>
  <c r="F107" i="16"/>
  <c r="F101" i="16"/>
  <c r="E114" i="16" l="1"/>
  <c r="E95" i="16"/>
  <c r="E116" i="16" l="1"/>
  <c r="E97" i="16"/>
  <c r="E118" i="16"/>
  <c r="E99" i="16"/>
  <c r="E129" i="16" l="1"/>
  <c r="E170" i="16" s="1"/>
  <c r="E126" i="16"/>
  <c r="E124" i="16"/>
  <c r="E122" i="16"/>
  <c r="E120" i="16"/>
  <c r="E107" i="16"/>
  <c r="E105" i="16"/>
  <c r="E103" i="16"/>
  <c r="E101" i="16"/>
  <c r="D129" i="16" l="1"/>
  <c r="D170" i="16" s="1"/>
  <c r="D114" i="16" l="1"/>
  <c r="D95" i="16"/>
  <c r="D126" i="16" l="1"/>
  <c r="D124" i="16"/>
  <c r="D122" i="16"/>
  <c r="D120" i="16"/>
  <c r="D116" i="16"/>
  <c r="D97" i="16"/>
  <c r="D101" i="16"/>
  <c r="D107" i="16"/>
  <c r="D105" i="16"/>
  <c r="D103" i="16"/>
  <c r="D118" i="16" l="1"/>
  <c r="D99" i="16"/>
  <c r="N123" i="16" l="1"/>
  <c r="N121" i="16"/>
  <c r="N119" i="16"/>
  <c r="N117" i="16"/>
  <c r="N115" i="16"/>
  <c r="N113" i="16"/>
  <c r="C120" i="16" l="1"/>
  <c r="C101" i="16"/>
  <c r="N106" i="16" l="1"/>
  <c r="N104" i="16"/>
  <c r="N102" i="16"/>
  <c r="N100" i="16"/>
  <c r="C129" i="16" l="1"/>
  <c r="C170" i="16" l="1"/>
  <c r="N170" i="16" s="1"/>
  <c r="O129" i="16"/>
  <c r="B101" i="16" l="1"/>
  <c r="B124" i="16" l="1"/>
  <c r="C122" i="16"/>
  <c r="B122" i="16"/>
  <c r="B120" i="16"/>
  <c r="B118" i="16" l="1"/>
  <c r="D70" i="5" l="1"/>
  <c r="O74" i="5"/>
  <c r="M74" i="5"/>
  <c r="L74" i="5"/>
  <c r="K74" i="5"/>
  <c r="J74" i="5"/>
  <c r="I74" i="5"/>
  <c r="H74" i="5"/>
  <c r="G74" i="5"/>
  <c r="F74" i="5"/>
  <c r="E74" i="5"/>
  <c r="D74" i="5"/>
  <c r="O70" i="5"/>
  <c r="N70" i="5"/>
  <c r="M70" i="5"/>
  <c r="K70" i="5"/>
  <c r="J70" i="5"/>
  <c r="I70" i="5"/>
  <c r="H70" i="5"/>
  <c r="G70" i="5"/>
  <c r="F70" i="5"/>
  <c r="E70" i="5"/>
  <c r="J40" i="3"/>
  <c r="I40" i="3"/>
  <c r="B41" i="3"/>
  <c r="B40" i="3"/>
  <c r="M41" i="3"/>
  <c r="L41" i="3"/>
  <c r="K41" i="3"/>
  <c r="J41" i="3"/>
  <c r="I41" i="3"/>
  <c r="H41" i="3"/>
  <c r="G41" i="3"/>
  <c r="F41" i="3"/>
  <c r="E41" i="3"/>
  <c r="D41" i="3"/>
  <c r="C41" i="3"/>
  <c r="M40" i="3"/>
  <c r="L40" i="3"/>
  <c r="K40" i="3"/>
  <c r="H40" i="3"/>
  <c r="G40" i="3"/>
  <c r="F40" i="3"/>
  <c r="E40" i="3"/>
  <c r="D40" i="3"/>
  <c r="C40" i="3"/>
  <c r="B80" i="16" l="1"/>
  <c r="C118" i="16"/>
  <c r="C116" i="16"/>
  <c r="B116" i="16"/>
  <c r="C114" i="16"/>
  <c r="B114" i="16"/>
  <c r="N114" i="16" s="1"/>
  <c r="C107" i="16"/>
  <c r="B107" i="16"/>
  <c r="B103" i="16"/>
  <c r="N101" i="16"/>
  <c r="B99" i="16"/>
  <c r="B97" i="16"/>
  <c r="B95" i="16"/>
  <c r="N107" i="16" l="1"/>
  <c r="C126" i="16"/>
  <c r="C124" i="16"/>
  <c r="N116" i="16"/>
  <c r="C105" i="16"/>
  <c r="B105" i="16"/>
  <c r="O102" i="16"/>
  <c r="C103" i="16"/>
  <c r="N103" i="16" s="1"/>
  <c r="C99" i="16"/>
  <c r="C97" i="16"/>
  <c r="N97" i="16" s="1"/>
  <c r="C95" i="16"/>
  <c r="N95" i="16" s="1"/>
  <c r="O104" i="16"/>
  <c r="N98" i="16"/>
  <c r="N105" i="16" l="1"/>
  <c r="N110" i="16"/>
  <c r="N151" i="16" s="1"/>
  <c r="O110" i="16"/>
  <c r="N129" i="16"/>
  <c r="N99" i="16"/>
  <c r="N126" i="16"/>
  <c r="N124" i="16"/>
  <c r="M89" i="16" l="1"/>
  <c r="M130" i="16" s="1"/>
  <c r="M88" i="16"/>
  <c r="M86" i="16"/>
  <c r="M84" i="16"/>
  <c r="M82" i="16"/>
  <c r="M72" i="16"/>
  <c r="M111" i="16" s="1"/>
  <c r="M71" i="16"/>
  <c r="M69" i="16"/>
  <c r="M67" i="16"/>
  <c r="M65" i="16"/>
  <c r="M76" i="16" l="1"/>
  <c r="M59" i="16"/>
  <c r="M80" i="16" l="1"/>
  <c r="M63" i="16"/>
  <c r="M78" i="16"/>
  <c r="M61" i="16"/>
  <c r="L89" i="16" l="1"/>
  <c r="L130" i="16" s="1"/>
  <c r="L76" i="16" l="1"/>
  <c r="L78" i="16"/>
  <c r="L88" i="16"/>
  <c r="L86" i="16"/>
  <c r="L84" i="16"/>
  <c r="L82" i="16"/>
  <c r="L59" i="16"/>
  <c r="L61" i="16"/>
  <c r="L72" i="16"/>
  <c r="L111" i="16" s="1"/>
  <c r="L71" i="16"/>
  <c r="L69" i="16"/>
  <c r="L67" i="16"/>
  <c r="L65" i="16"/>
  <c r="K80" i="16" l="1"/>
  <c r="L80" i="16"/>
  <c r="L63" i="16"/>
  <c r="O77" i="16"/>
  <c r="O75" i="16"/>
  <c r="K89" i="16"/>
  <c r="K130" i="16" s="1"/>
  <c r="K76" i="16" l="1"/>
  <c r="K59" i="16"/>
  <c r="K72" i="16" l="1"/>
  <c r="K111" i="16" s="1"/>
  <c r="K88" i="16"/>
  <c r="K86" i="16"/>
  <c r="K84" i="16"/>
  <c r="K82" i="16"/>
  <c r="K65" i="16"/>
  <c r="K69" i="16"/>
  <c r="K71" i="16"/>
  <c r="K67" i="16"/>
  <c r="K78" i="16" l="1"/>
  <c r="K61" i="16"/>
  <c r="K63" i="16" l="1"/>
  <c r="J89" i="16" l="1"/>
  <c r="J130" i="16" s="1"/>
  <c r="J76" i="16"/>
  <c r="J59" i="16"/>
  <c r="J72" i="16" l="1"/>
  <c r="J111" i="16" s="1"/>
  <c r="J88" i="16"/>
  <c r="J86" i="16"/>
  <c r="J84" i="16"/>
  <c r="J82" i="16"/>
  <c r="J78" i="16" l="1"/>
  <c r="J61" i="16"/>
  <c r="J65" i="16"/>
  <c r="J71" i="16"/>
  <c r="J69" i="16"/>
  <c r="J67" i="16"/>
  <c r="J80" i="16" l="1"/>
  <c r="J63" i="16"/>
  <c r="H78" i="16"/>
  <c r="N58" i="16" l="1"/>
  <c r="O58" i="16"/>
  <c r="I89" i="16" l="1"/>
  <c r="I130" i="16" s="1"/>
  <c r="I76" i="16"/>
  <c r="I72" i="16"/>
  <c r="I111" i="16" s="1"/>
  <c r="I59" i="16"/>
  <c r="I78" i="16" l="1"/>
  <c r="I61" i="16"/>
  <c r="I88" i="16"/>
  <c r="I86" i="16"/>
  <c r="I84" i="16"/>
  <c r="I82" i="16"/>
  <c r="I65" i="16"/>
  <c r="I69" i="16"/>
  <c r="I71" i="16"/>
  <c r="I67" i="16"/>
  <c r="I80" i="16" l="1"/>
  <c r="I63" i="16"/>
  <c r="H72" i="16" l="1"/>
  <c r="H111" i="16" s="1"/>
  <c r="H89" i="16"/>
  <c r="H130" i="16" s="1"/>
  <c r="H88" i="16" l="1"/>
  <c r="H86" i="16"/>
  <c r="H84" i="16"/>
  <c r="H71" i="16"/>
  <c r="H69" i="16"/>
  <c r="H67" i="16"/>
  <c r="H82" i="16"/>
  <c r="H65" i="16"/>
  <c r="H61" i="16"/>
  <c r="H59" i="16" l="1"/>
  <c r="H76" i="16"/>
  <c r="H80" i="16" l="1"/>
  <c r="H63" i="16" l="1"/>
  <c r="G89" i="16" l="1"/>
  <c r="G130" i="16" s="1"/>
  <c r="G78" i="16"/>
  <c r="G76" i="16"/>
  <c r="G61" i="16" l="1"/>
  <c r="G59" i="16"/>
  <c r="G88" i="16" l="1"/>
  <c r="G86" i="16"/>
  <c r="G84" i="16"/>
  <c r="G72" i="16"/>
  <c r="G111" i="16" s="1"/>
  <c r="G71" i="16"/>
  <c r="G69" i="16"/>
  <c r="G67" i="16"/>
  <c r="G82" i="16"/>
  <c r="G65" i="16"/>
  <c r="G80" i="16" l="1"/>
  <c r="G63" i="16"/>
  <c r="F89" i="16" l="1"/>
  <c r="F130" i="16" s="1"/>
  <c r="F88" i="16"/>
  <c r="F86" i="16"/>
  <c r="F84" i="16"/>
  <c r="F82" i="16"/>
  <c r="F76" i="16"/>
  <c r="F59" i="16"/>
  <c r="F72" i="16"/>
  <c r="F111" i="16" s="1"/>
  <c r="F71" i="16"/>
  <c r="F69" i="16"/>
  <c r="F67" i="16"/>
  <c r="F65" i="16"/>
  <c r="F63" i="16"/>
  <c r="H66" i="5" l="1"/>
  <c r="F78" i="16" l="1"/>
  <c r="F61" i="16"/>
  <c r="F80" i="16" l="1"/>
  <c r="E76" i="16" l="1"/>
  <c r="E59" i="16"/>
  <c r="E89" i="16"/>
  <c r="E130" i="16" s="1"/>
  <c r="E88" i="16"/>
  <c r="E86" i="16"/>
  <c r="E84" i="16"/>
  <c r="E82" i="16"/>
  <c r="E72" i="16"/>
  <c r="E111" i="16" s="1"/>
  <c r="E71" i="16"/>
  <c r="E69" i="16"/>
  <c r="E67" i="16"/>
  <c r="E65" i="16"/>
  <c r="E78" i="16"/>
  <c r="E61" i="16"/>
  <c r="E80" i="16" l="1"/>
  <c r="E63" i="16"/>
  <c r="N87" i="16" l="1"/>
  <c r="N85" i="16"/>
  <c r="N83" i="16"/>
  <c r="N122" i="16" s="1"/>
  <c r="N81" i="16"/>
  <c r="N120" i="16" s="1"/>
  <c r="N79" i="16"/>
  <c r="N77" i="16"/>
  <c r="N75" i="16"/>
  <c r="N70" i="16"/>
  <c r="N68" i="16"/>
  <c r="N66" i="16"/>
  <c r="N64" i="16"/>
  <c r="N62" i="16"/>
  <c r="N60" i="16"/>
  <c r="O64" i="16" l="1"/>
  <c r="O62" i="16"/>
  <c r="O60" i="16"/>
  <c r="D59" i="16" l="1"/>
  <c r="D76" i="16"/>
  <c r="D78" i="16"/>
  <c r="D61" i="16"/>
  <c r="D89" i="16"/>
  <c r="D130" i="16" s="1"/>
  <c r="D88" i="16"/>
  <c r="D86" i="16"/>
  <c r="D84" i="16"/>
  <c r="D82" i="16"/>
  <c r="D72" i="16"/>
  <c r="D111" i="16" s="1"/>
  <c r="D71" i="16"/>
  <c r="D69" i="16"/>
  <c r="D67" i="16"/>
  <c r="D65" i="16"/>
  <c r="D80" i="16"/>
  <c r="D63" i="16"/>
  <c r="C76" i="16" l="1"/>
  <c r="C59" i="16"/>
  <c r="C89" i="16"/>
  <c r="C130" i="16" s="1"/>
  <c r="C88" i="16"/>
  <c r="N88" i="16" s="1"/>
  <c r="C86" i="16"/>
  <c r="N86" i="16" s="1"/>
  <c r="C84" i="16"/>
  <c r="N84" i="16" s="1"/>
  <c r="C82" i="16"/>
  <c r="C72" i="16"/>
  <c r="C111" i="16" s="1"/>
  <c r="C71" i="16"/>
  <c r="C69" i="16"/>
  <c r="C67" i="16"/>
  <c r="C65" i="16"/>
  <c r="N82" i="16" l="1"/>
  <c r="C78" i="16" l="1"/>
  <c r="N118" i="16" s="1"/>
  <c r="C61" i="16"/>
  <c r="C80" i="16" l="1"/>
  <c r="C63" i="16"/>
  <c r="N80" i="16" l="1"/>
  <c r="B89" i="16" l="1"/>
  <c r="B130" i="16" s="1"/>
  <c r="N130" i="16" s="1"/>
  <c r="N89" i="16" l="1"/>
  <c r="O89" i="16"/>
  <c r="B72" i="16"/>
  <c r="B111" i="16" s="1"/>
  <c r="N72" i="16" l="1"/>
  <c r="N111" i="16" s="1"/>
  <c r="B36" i="3" l="1"/>
  <c r="B35" i="3"/>
  <c r="B30" i="3"/>
  <c r="O66" i="5" l="1"/>
  <c r="N66" i="5"/>
  <c r="M66" i="5"/>
  <c r="L66" i="5"/>
  <c r="K66" i="5"/>
  <c r="J66" i="5"/>
  <c r="I66" i="5"/>
  <c r="G66" i="5"/>
  <c r="F66" i="5"/>
  <c r="E66" i="5"/>
  <c r="D66" i="5"/>
  <c r="O62" i="5"/>
  <c r="N62" i="5"/>
  <c r="M62" i="5"/>
  <c r="L62" i="5"/>
  <c r="K62" i="5"/>
  <c r="J62" i="5"/>
  <c r="I62" i="5"/>
  <c r="H62" i="5"/>
  <c r="G62" i="5"/>
  <c r="F62" i="5"/>
  <c r="E62" i="5"/>
  <c r="D62" i="5"/>
  <c r="M36" i="3"/>
  <c r="L36" i="3"/>
  <c r="K36" i="3"/>
  <c r="J36" i="3"/>
  <c r="I36" i="3"/>
  <c r="H36" i="3"/>
  <c r="G36" i="3"/>
  <c r="F36" i="3"/>
  <c r="E36" i="3"/>
  <c r="D36" i="3"/>
  <c r="C36" i="3"/>
  <c r="M35" i="3"/>
  <c r="L35" i="3"/>
  <c r="K35" i="3"/>
  <c r="J35" i="3"/>
  <c r="I35" i="3"/>
  <c r="H35" i="3"/>
  <c r="G35" i="3"/>
  <c r="F35" i="3"/>
  <c r="E35" i="3"/>
  <c r="D35" i="3"/>
  <c r="C35" i="3"/>
  <c r="B86" i="16" l="1"/>
  <c r="B88" i="16"/>
  <c r="B84" i="16"/>
  <c r="B82" i="16"/>
  <c r="B78" i="16"/>
  <c r="B76" i="16"/>
  <c r="N76" i="16" s="1"/>
  <c r="B67" i="16"/>
  <c r="N67" i="16" s="1"/>
  <c r="B65" i="16"/>
  <c r="N65" i="16" s="1"/>
  <c r="B63" i="16"/>
  <c r="N63" i="16" s="1"/>
  <c r="B61" i="16"/>
  <c r="N61" i="16" s="1"/>
  <c r="B59" i="16"/>
  <c r="N59" i="16" s="1"/>
  <c r="B71" i="16"/>
  <c r="N71" i="16" l="1"/>
  <c r="N78" i="16"/>
  <c r="B69" i="16"/>
  <c r="N69" i="16" s="1"/>
  <c r="O87" i="16" l="1"/>
  <c r="O85" i="16"/>
  <c r="O83" i="16"/>
  <c r="O81" i="16"/>
  <c r="O79" i="16"/>
  <c r="O70" i="16"/>
  <c r="O68" i="16"/>
  <c r="O66" i="16"/>
  <c r="O72" i="16" l="1"/>
  <c r="M73" i="16" l="1"/>
  <c r="M90" i="16"/>
  <c r="L73" i="16" l="1"/>
  <c r="K73" i="16" l="1"/>
  <c r="J73" i="16" l="1"/>
  <c r="I73" i="16" l="1"/>
  <c r="B90" i="16" l="1"/>
  <c r="C90" i="16"/>
  <c r="D90" i="16"/>
  <c r="E90" i="16"/>
  <c r="F90" i="16"/>
  <c r="G90" i="16"/>
  <c r="H90" i="16"/>
  <c r="I90" i="16"/>
  <c r="J90" i="16"/>
  <c r="K90" i="16"/>
  <c r="L90" i="16"/>
  <c r="B73" i="16"/>
  <c r="N90" i="16" l="1"/>
  <c r="H73" i="16"/>
  <c r="G73" i="16" l="1"/>
  <c r="F73" i="16" l="1"/>
  <c r="E73" i="16" l="1"/>
  <c r="D73" i="16" l="1"/>
  <c r="C73" i="16" l="1"/>
  <c r="N73" i="16" s="1"/>
  <c r="O58" i="5" l="1"/>
  <c r="N58" i="5"/>
  <c r="M58" i="5"/>
  <c r="L58" i="5"/>
  <c r="K58" i="5"/>
  <c r="J58" i="5"/>
  <c r="I58" i="5"/>
  <c r="H58" i="5"/>
  <c r="G58" i="5"/>
  <c r="F58" i="5"/>
  <c r="E58" i="5"/>
  <c r="O54" i="5"/>
  <c r="N54" i="5"/>
  <c r="M54" i="5"/>
  <c r="L54" i="5"/>
  <c r="K54" i="5"/>
  <c r="J54" i="5"/>
  <c r="I54" i="5"/>
  <c r="H54" i="5"/>
  <c r="G54" i="5"/>
  <c r="F54" i="5"/>
  <c r="E54" i="5"/>
  <c r="M31" i="3" l="1"/>
  <c r="L31" i="3"/>
  <c r="K31" i="3"/>
  <c r="J31" i="3"/>
  <c r="I31" i="3"/>
  <c r="H31" i="3"/>
  <c r="G31" i="3"/>
  <c r="F31" i="3"/>
  <c r="E31" i="3"/>
  <c r="D31" i="3"/>
  <c r="C31" i="3"/>
  <c r="B31" i="3"/>
  <c r="M30" i="3"/>
  <c r="L30" i="3"/>
  <c r="K30" i="3"/>
  <c r="J30" i="3"/>
  <c r="I30" i="3"/>
  <c r="H30" i="3"/>
  <c r="G30" i="3"/>
  <c r="F30" i="3"/>
  <c r="E30" i="3"/>
  <c r="D30" i="3"/>
  <c r="C30" i="3"/>
  <c r="M25" i="3" l="1"/>
  <c r="M26" i="3"/>
  <c r="L25" i="3" l="1"/>
  <c r="L26" i="3"/>
  <c r="L50" i="5" l="1"/>
  <c r="M50" i="5"/>
  <c r="K25" i="3" l="1"/>
  <c r="K26" i="3"/>
  <c r="J26" i="3" l="1"/>
  <c r="J25" i="3"/>
  <c r="K50" i="5" l="1"/>
  <c r="I25" i="3" l="1"/>
  <c r="I26" i="3"/>
  <c r="H25" i="3" l="1"/>
  <c r="H26" i="3"/>
  <c r="G25" i="3" l="1"/>
  <c r="G26" i="3"/>
  <c r="H50" i="5" l="1"/>
  <c r="F25" i="3" l="1"/>
  <c r="F26" i="3"/>
  <c r="G50" i="5" l="1"/>
  <c r="G46" i="5"/>
  <c r="E25" i="3"/>
  <c r="E26" i="3"/>
  <c r="D25" i="3"/>
  <c r="D26" i="3"/>
  <c r="C25" i="3"/>
  <c r="C26" i="3"/>
  <c r="D49" i="5"/>
  <c r="D58" i="5" s="1"/>
  <c r="D45" i="5"/>
  <c r="D54" i="5" s="1"/>
  <c r="O50" i="5"/>
  <c r="N50" i="5"/>
  <c r="J50" i="5"/>
  <c r="I50" i="5"/>
  <c r="F50" i="5"/>
  <c r="O46" i="5"/>
  <c r="N46" i="5"/>
  <c r="M46" i="5"/>
  <c r="L46" i="5"/>
  <c r="K46" i="5"/>
  <c r="J46" i="5"/>
  <c r="I46" i="5"/>
  <c r="H46" i="5"/>
  <c r="F46" i="5"/>
  <c r="B26" i="3"/>
  <c r="B25" i="3"/>
  <c r="B20" i="3"/>
  <c r="O42" i="5"/>
  <c r="M20" i="3"/>
  <c r="M21" i="3"/>
  <c r="N38" i="5"/>
  <c r="L20" i="3"/>
  <c r="L21" i="3"/>
  <c r="M42" i="5"/>
  <c r="N42" i="5"/>
  <c r="M38" i="5"/>
  <c r="O38" i="5"/>
  <c r="K20" i="3"/>
  <c r="K21" i="3"/>
  <c r="J20" i="3"/>
  <c r="J21" i="3"/>
  <c r="L42" i="5"/>
  <c r="L38" i="5"/>
  <c r="I21" i="3"/>
  <c r="I20" i="3"/>
  <c r="K42" i="5"/>
  <c r="K38" i="5"/>
  <c r="J42" i="5"/>
  <c r="J38" i="5"/>
  <c r="H21" i="3"/>
  <c r="H20" i="3"/>
  <c r="I42" i="5"/>
  <c r="I38" i="5"/>
  <c r="G21" i="3"/>
  <c r="G20" i="3"/>
  <c r="H42" i="5"/>
  <c r="H38" i="5"/>
  <c r="F21" i="3"/>
  <c r="F20" i="3"/>
  <c r="G42" i="5"/>
  <c r="G38" i="5"/>
  <c r="E21" i="3"/>
  <c r="E20" i="3"/>
  <c r="F42" i="5"/>
  <c r="F38" i="5"/>
  <c r="D21" i="3"/>
  <c r="D20" i="3"/>
  <c r="C21" i="3"/>
  <c r="C20" i="3"/>
  <c r="E41" i="5"/>
  <c r="E50" i="5" s="1"/>
  <c r="E42" i="5"/>
  <c r="D41" i="5"/>
  <c r="D42" i="5" s="1"/>
  <c r="E37" i="5"/>
  <c r="E46" i="5" s="1"/>
  <c r="D37" i="5"/>
  <c r="B21" i="3"/>
  <c r="M16" i="3"/>
  <c r="M15" i="3"/>
  <c r="L16" i="3"/>
  <c r="L15" i="3"/>
  <c r="N34" i="5"/>
  <c r="N30" i="5"/>
  <c r="M34" i="5"/>
  <c r="M30" i="5"/>
  <c r="K15" i="3"/>
  <c r="K16" i="3"/>
  <c r="J15" i="3"/>
  <c r="J16" i="3"/>
  <c r="L34" i="5"/>
  <c r="L30" i="5"/>
  <c r="I15" i="3"/>
  <c r="I16" i="3"/>
  <c r="K34" i="5"/>
  <c r="K30" i="5"/>
  <c r="H15" i="3"/>
  <c r="H16" i="3"/>
  <c r="J34" i="5"/>
  <c r="J30" i="5"/>
  <c r="G15" i="3"/>
  <c r="G16" i="3"/>
  <c r="I34" i="5"/>
  <c r="I30" i="5"/>
  <c r="F15" i="3"/>
  <c r="F16" i="3"/>
  <c r="H34" i="5"/>
  <c r="H30" i="5"/>
  <c r="E15" i="3"/>
  <c r="E16" i="3"/>
  <c r="G34" i="5"/>
  <c r="G30" i="5"/>
  <c r="D15" i="3"/>
  <c r="D16" i="3"/>
  <c r="F34" i="5"/>
  <c r="F30" i="5"/>
  <c r="E34" i="5"/>
  <c r="E30" i="5"/>
  <c r="C15" i="3"/>
  <c r="C16" i="3"/>
  <c r="B16" i="3"/>
  <c r="B15" i="3"/>
  <c r="D34" i="5"/>
  <c r="D29" i="5"/>
  <c r="D30" i="5"/>
  <c r="M10" i="3"/>
  <c r="M11" i="3"/>
  <c r="O25" i="5"/>
  <c r="O34" i="5" s="1"/>
  <c r="O21" i="5"/>
  <c r="O30" i="5" s="1"/>
  <c r="L10" i="3"/>
  <c r="L11" i="3"/>
  <c r="K10" i="3"/>
  <c r="K11" i="3"/>
  <c r="J10" i="3"/>
  <c r="J11" i="3"/>
  <c r="I10" i="3"/>
  <c r="I11" i="3"/>
  <c r="H10" i="3"/>
  <c r="H11" i="3"/>
  <c r="G10" i="3"/>
  <c r="G11" i="3"/>
  <c r="F10" i="3"/>
  <c r="F11" i="3"/>
  <c r="P8" i="5"/>
  <c r="P12" i="5"/>
  <c r="P15" i="5"/>
  <c r="P16" i="5"/>
  <c r="P11" i="5"/>
  <c r="H9" i="5"/>
  <c r="O17" i="5"/>
  <c r="O13" i="5"/>
  <c r="N17" i="5"/>
  <c r="N26" i="5" s="1"/>
  <c r="N13" i="5"/>
  <c r="N22" i="5"/>
  <c r="M17" i="5"/>
  <c r="M26" i="5"/>
  <c r="M13" i="5"/>
  <c r="M22" i="5" s="1"/>
  <c r="L17" i="5"/>
  <c r="L26" i="5" s="1"/>
  <c r="L13" i="5"/>
  <c r="L22" i="5" s="1"/>
  <c r="K17" i="5"/>
  <c r="K26" i="5" s="1"/>
  <c r="K13" i="5"/>
  <c r="K22" i="5" s="1"/>
  <c r="J17" i="5"/>
  <c r="J26" i="5"/>
  <c r="J13" i="5"/>
  <c r="J22" i="5" s="1"/>
  <c r="I17" i="5"/>
  <c r="I26" i="5"/>
  <c r="H13" i="5"/>
  <c r="I13" i="5"/>
  <c r="I22" i="5" s="1"/>
  <c r="H17" i="5"/>
  <c r="H26" i="5" s="1"/>
  <c r="E13" i="5"/>
  <c r="E22" i="5" s="1"/>
  <c r="F13" i="5"/>
  <c r="F22" i="5" s="1"/>
  <c r="G13" i="5"/>
  <c r="G22" i="5" s="1"/>
  <c r="D13" i="5"/>
  <c r="D22" i="5" s="1"/>
  <c r="E5" i="5"/>
  <c r="F5" i="5"/>
  <c r="G5" i="5"/>
  <c r="H5" i="5"/>
  <c r="I5" i="5"/>
  <c r="J5" i="5"/>
  <c r="K5" i="5"/>
  <c r="L5" i="5"/>
  <c r="M5" i="5"/>
  <c r="N5" i="5"/>
  <c r="O5" i="5"/>
  <c r="P5" i="5"/>
  <c r="D5" i="5"/>
  <c r="E9" i="5"/>
  <c r="F9" i="5"/>
  <c r="G9" i="5"/>
  <c r="I9" i="5"/>
  <c r="J9" i="5"/>
  <c r="K9" i="5"/>
  <c r="L9" i="5"/>
  <c r="M9" i="5"/>
  <c r="N9" i="5"/>
  <c r="O9" i="5"/>
  <c r="D9" i="5"/>
  <c r="G17" i="5"/>
  <c r="G26" i="5" s="1"/>
  <c r="F17" i="5"/>
  <c r="E17" i="5"/>
  <c r="E26" i="5" s="1"/>
  <c r="D17" i="5"/>
  <c r="D26" i="5" s="1"/>
  <c r="E6" i="3"/>
  <c r="E11" i="3" s="1"/>
  <c r="D6" i="3"/>
  <c r="D11" i="3" s="1"/>
  <c r="C6" i="3"/>
  <c r="C11" i="3"/>
  <c r="B6" i="3"/>
  <c r="B11" i="3" s="1"/>
  <c r="E5" i="3"/>
  <c r="E10" i="3" s="1"/>
  <c r="D5" i="3"/>
  <c r="D10" i="3" s="1"/>
  <c r="C5" i="3"/>
  <c r="C10" i="3" s="1"/>
  <c r="B5" i="3"/>
  <c r="B10" i="3" s="1"/>
  <c r="M3" i="3"/>
  <c r="M2" i="3"/>
  <c r="L3" i="3"/>
  <c r="L2" i="3"/>
  <c r="K3" i="3"/>
  <c r="K2" i="3"/>
  <c r="J2" i="3"/>
  <c r="J3" i="3"/>
  <c r="I3" i="3"/>
  <c r="I2" i="3"/>
  <c r="H3" i="3"/>
  <c r="H2" i="3"/>
  <c r="G3" i="3"/>
  <c r="G2" i="3"/>
  <c r="F3" i="3"/>
  <c r="F2" i="3"/>
  <c r="E3" i="3"/>
  <c r="E2" i="3"/>
  <c r="D3" i="3"/>
  <c r="C3" i="3"/>
  <c r="B3" i="3"/>
  <c r="D2" i="3"/>
  <c r="C2" i="3"/>
  <c r="B2" i="3"/>
  <c r="D46" i="5" l="1"/>
  <c r="J18" i="5"/>
  <c r="J14" i="5"/>
  <c r="O14" i="5"/>
  <c r="E14" i="5"/>
  <c r="L18" i="5"/>
  <c r="N14" i="5"/>
  <c r="G18" i="5"/>
  <c r="H18" i="5"/>
  <c r="D18" i="5"/>
  <c r="E18" i="5"/>
  <c r="P9" i="5"/>
  <c r="K14" i="5"/>
  <c r="I18" i="5"/>
  <c r="M14" i="5"/>
  <c r="F18" i="5"/>
  <c r="L14" i="5"/>
  <c r="N18" i="5"/>
  <c r="M18" i="5"/>
  <c r="G14" i="5"/>
  <c r="I14" i="5"/>
  <c r="H14" i="5"/>
  <c r="K18" i="5"/>
  <c r="O18" i="5"/>
  <c r="O22" i="5"/>
  <c r="D14" i="5"/>
  <c r="F26" i="5"/>
  <c r="H22" i="5"/>
  <c r="P17" i="5"/>
  <c r="P13" i="5"/>
  <c r="D38" i="5"/>
  <c r="F14" i="5"/>
  <c r="O26" i="5"/>
  <c r="E38" i="5"/>
  <c r="D50" i="5"/>
  <c r="P18" i="5" l="1"/>
  <c r="Q18" i="5"/>
  <c r="R18" i="5" s="1"/>
  <c r="P14" i="5"/>
  <c r="T49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</author>
    <author>莊美嬌</author>
  </authors>
  <commentList>
    <comment ref="Q3" authorId="0" shapeId="0" xr:uid="{85BD9636-C1D1-41C9-AB4B-0E4F481A2153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黃承君到職不久後離職,故不計入.</t>
        </r>
      </text>
    </comment>
    <comment ref="F30" authorId="1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莊美嬌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當月目標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細明體"/>
            <family val="3"/>
            <charset val="136"/>
          </rPr>
          <t>當月發生</t>
        </r>
        <r>
          <rPr>
            <sz val="9"/>
            <color indexed="81"/>
            <rFont val="Tahoma"/>
            <family val="2"/>
          </rPr>
          <t>PPM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莊美嬌</author>
  </authors>
  <commentList>
    <comment ref="A43" authorId="0" shapeId="0" xr:uid="{00000000-0006-0000-0200-000001000000}">
      <text>
        <r>
          <rPr>
            <b/>
            <sz val="9"/>
            <color indexed="81"/>
            <rFont val="細明體"/>
            <family val="3"/>
            <charset val="136"/>
          </rPr>
          <t>莊美嬌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P7</t>
        </r>
      </text>
    </comment>
    <comment ref="A44" authorId="0" shapeId="0" xr:uid="{00000000-0006-0000-0200-000002000000}">
      <text>
        <r>
          <rPr>
            <b/>
            <sz val="9"/>
            <color indexed="81"/>
            <rFont val="細明體"/>
            <family val="3"/>
            <charset val="136"/>
          </rPr>
          <t>莊美嬌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P7</t>
        </r>
      </text>
    </comment>
    <comment ref="A48" authorId="0" shapeId="0" xr:uid="{00000000-0006-0000-0200-000003000000}">
      <text>
        <r>
          <rPr>
            <b/>
            <sz val="9"/>
            <color indexed="81"/>
            <rFont val="細明體"/>
            <family val="3"/>
            <charset val="136"/>
          </rPr>
          <t>莊美嬌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P7</t>
        </r>
      </text>
    </comment>
    <comment ref="A49" authorId="0" shapeId="0" xr:uid="{00000000-0006-0000-0200-000004000000}">
      <text>
        <r>
          <rPr>
            <b/>
            <sz val="9"/>
            <color indexed="81"/>
            <rFont val="細明體"/>
            <family val="3"/>
            <charset val="136"/>
          </rPr>
          <t>莊美嬌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P7</t>
        </r>
      </text>
    </comment>
    <comment ref="A53" authorId="0" shapeId="0" xr:uid="{00000000-0006-0000-0200-000005000000}">
      <text>
        <r>
          <rPr>
            <b/>
            <sz val="9"/>
            <color indexed="81"/>
            <rFont val="細明體"/>
            <family val="3"/>
            <charset val="136"/>
          </rPr>
          <t>莊美嬌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P7</t>
        </r>
      </text>
    </comment>
    <comment ref="A54" authorId="0" shapeId="0" xr:uid="{00000000-0006-0000-0200-000006000000}">
      <text>
        <r>
          <rPr>
            <b/>
            <sz val="9"/>
            <color indexed="81"/>
            <rFont val="細明體"/>
            <family val="3"/>
            <charset val="136"/>
          </rPr>
          <t>莊美嬌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P7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</author>
  </authors>
  <commentList>
    <comment ref="L261" authorId="0" shapeId="0" xr:uid="{22DB0571-41F4-4985-9AC8-C501424EA271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N261" authorId="0" shapeId="0" xr:uid="{7733F846-46B7-444A-A428-CC6F5ABEC1FB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1.工作表4→總計數據貼到→遷移(ALL)右邊欄位內(第二段)→
再將第三段加總結果貼到這個欄位</t>
        </r>
      </text>
    </comment>
    <comment ref="L267" authorId="0" shapeId="0" xr:uid="{650F7025-C2F4-4094-8A4A-A910CA01C738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N267" authorId="0" shapeId="0" xr:uid="{8289DA77-1874-454E-BFF3-95BBE8A20777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1.工作表4→總計數據貼到→遷移(ALL)右邊欄位內(第二段)→
再將第三段加總結果貼到這個欄位</t>
        </r>
      </text>
    </comment>
    <comment ref="L273" authorId="0" shapeId="0" xr:uid="{7480C026-DD1A-4428-84A0-4F17F6ABE158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N273" authorId="0" shapeId="0" xr:uid="{28CC546C-8346-41CB-B16C-FE456960AA8B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1.工作表4→總計數據貼到→遷移(ALL)右邊欄位內(第二段)→
再將第三段加總結果貼到這個欄位</t>
        </r>
      </text>
    </comment>
    <comment ref="L279" authorId="0" shapeId="0" xr:uid="{65B7A13B-E8C4-4E4A-8825-0C09E8E257E6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N279" authorId="0" shapeId="0" xr:uid="{5B3C050D-9135-48ED-91DC-8E92ACD8B7BB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1.工作表4→總計數據貼到→遷移(ALL)右邊欄位內(第二段)→
再將第三段加總結果貼到這個欄位</t>
        </r>
      </text>
    </comment>
    <comment ref="L285" authorId="0" shapeId="0" xr:uid="{D9BF05DB-199D-416D-B9A3-17E5D5748C3F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N285" authorId="0" shapeId="0" xr:uid="{AF326576-63B7-48BD-BA90-86452FDFF02C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1.工作表4→總計數據貼到→遷移(ALL)右邊欄位內(第二段)→
再將第三段加總結果貼到這個欄位</t>
        </r>
      </text>
    </comment>
    <comment ref="L291" authorId="0" shapeId="0" xr:uid="{52188C8C-85FB-432C-B7CF-FAFBBCFB878D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Microsoft JhengHei Light"/>
            <family val="2"/>
            <charset val="136"/>
          </rPr>
          <t>羅少伶提供R06~R16列庫存資料
1.篩選PARTNO筆數</t>
        </r>
      </text>
    </comment>
    <comment ref="N291" authorId="0" shapeId="0" xr:uid="{B9C3382D-0099-4BE8-B488-F0107EB66DD1}">
      <text>
        <r>
          <rPr>
            <b/>
            <sz val="9"/>
            <color indexed="81"/>
            <rFont val="Tahoma"/>
            <family val="2"/>
          </rPr>
          <t>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微軟正黑體"/>
            <family val="2"/>
            <charset val="136"/>
          </rPr>
          <t>羅少伶提供R06~R16列庫存資料
1.將9區J欄位數據→貼到遷移(ALL)右邊欄位內(第一段)→再將羅少伶提供R06~R16列庫存資料→J庫總計數據→貼到遷移(ALL)右邊欄位內(第二段)→再將第三段加總結果貼到這個欄位</t>
        </r>
      </text>
    </comment>
  </commentList>
</comments>
</file>

<file path=xl/sharedStrings.xml><?xml version="1.0" encoding="utf-8"?>
<sst xmlns="http://schemas.openxmlformats.org/spreadsheetml/2006/main" count="1186" uniqueCount="355">
  <si>
    <t>2025年零件部楊梅配銷室月報</t>
    <phoneticPr fontId="1" type="noConversion"/>
  </si>
  <si>
    <t>項目</t>
    <phoneticPr fontId="1" type="noConversion"/>
  </si>
  <si>
    <t>當月目標</t>
    <phoneticPr fontId="1" type="noConversion"/>
  </si>
  <si>
    <t>當月達成率</t>
    <phoneticPr fontId="1" type="noConversion"/>
  </si>
  <si>
    <t>1月</t>
    <phoneticPr fontId="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</si>
  <si>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</si>
  <si>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</si>
  <si>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</si>
  <si>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</si>
  <si>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</si>
  <si>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</si>
  <si>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</si>
  <si>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</si>
  <si>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</si>
  <si>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</si>
  <si>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</si>
  <si>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平均累計</t>
    <phoneticPr fontId="1" type="noConversion"/>
  </si>
  <si>
    <t>累計達成率</t>
    <phoneticPr fontId="1" type="noConversion"/>
  </si>
  <si>
    <t>材敏現場人員數</t>
    <phoneticPr fontId="1" type="noConversion"/>
  </si>
  <si>
    <t>---</t>
    <phoneticPr fontId="1" type="noConversion"/>
  </si>
  <si>
    <r>
      <t>材敏大物25--鈞傑/鈞凱+(進貨17+出貨29)--小鳳+P9(</t>
    </r>
    <r>
      <rPr>
        <sz val="12"/>
        <color rgb="FFFF0000"/>
        <rFont val="微軟正黑體"/>
        <family val="2"/>
        <charset val="136"/>
      </rPr>
      <t>27</t>
    </r>
    <r>
      <rPr>
        <sz val="12"/>
        <rFont val="微軟正黑體"/>
        <family val="2"/>
        <charset val="136"/>
      </rPr>
      <t>)</t>
    </r>
    <phoneticPr fontId="1" type="noConversion"/>
  </si>
  <si>
    <t>作業量</t>
    <phoneticPr fontId="1" type="noConversion"/>
  </si>
  <si>
    <t>進貨</t>
    <phoneticPr fontId="1" type="noConversion"/>
  </si>
  <si>
    <t>點數</t>
    <phoneticPr fontId="1" type="noConversion"/>
  </si>
  <si>
    <t>參考p7</t>
    <phoneticPr fontId="1" type="noConversion"/>
  </si>
  <si>
    <t>同期比</t>
    <phoneticPr fontId="1" type="noConversion"/>
  </si>
  <si>
    <t>參考進貨點數(同期比)</t>
    <phoneticPr fontId="1" type="noConversion"/>
  </si>
  <si>
    <t>PCS數</t>
    <phoneticPr fontId="1" type="noConversion"/>
  </si>
  <si>
    <t>加班時數</t>
    <phoneticPr fontId="1" type="noConversion"/>
  </si>
  <si>
    <t>I:\3楊梅配銷室\06.共同事務\A.月報\106年\月報新版共二頁-2017年材敏加班統計，加班合計</t>
    <phoneticPr fontId="1" type="noConversion"/>
  </si>
  <si>
    <t xml:space="preserve">
出貨
</t>
    <phoneticPr fontId="1" type="noConversion"/>
  </si>
  <si>
    <t>參考p1</t>
    <phoneticPr fontId="1" type="noConversion"/>
  </si>
  <si>
    <t>HF點數</t>
    <phoneticPr fontId="1" type="noConversion"/>
  </si>
  <si>
    <t>參考p8</t>
    <phoneticPr fontId="1" type="noConversion"/>
  </si>
  <si>
    <t>(台中倉全日出貨量DLR/HF+湖內副倉全日出貨量DLR/HF)-I數</t>
    <phoneticPr fontId="1" type="noConversion"/>
  </si>
  <si>
    <t>HF PCS數</t>
    <phoneticPr fontId="1" type="noConversion"/>
  </si>
  <si>
    <t>(台中倉全日出貨量DLR/HF+湖內副倉全日出貨量DLR/HF)-PCS數</t>
    <phoneticPr fontId="1" type="noConversion"/>
  </si>
  <si>
    <t>優先開箱點數</t>
    <phoneticPr fontId="1" type="noConversion"/>
  </si>
  <si>
    <t>中小物</t>
    <phoneticPr fontId="1" type="noConversion"/>
  </si>
  <si>
    <t xml:space="preserve">抓QB
</t>
    <phoneticPr fontId="1" type="noConversion"/>
  </si>
  <si>
    <t>大物</t>
    <phoneticPr fontId="1" type="noConversion"/>
  </si>
  <si>
    <t>慶林兄提供</t>
    <phoneticPr fontId="1" type="noConversion"/>
  </si>
  <si>
    <t>包裝</t>
    <phoneticPr fontId="1" type="noConversion"/>
  </si>
  <si>
    <t>P9到貨</t>
    <phoneticPr fontId="1" type="noConversion"/>
  </si>
  <si>
    <t>I:\3楊梅配銷室\06.共同事務\A.月報\106年\月報新版共二頁-2017年材敏加班統計, 加班合計</t>
    <phoneticPr fontId="1" type="noConversion"/>
  </si>
  <si>
    <t>生產力</t>
    <phoneticPr fontId="1" type="noConversion"/>
  </si>
  <si>
    <t>進貨(i/hr)</t>
    <phoneticPr fontId="1" type="noConversion"/>
  </si>
  <si>
    <t>中小物(i/hr)</t>
    <phoneticPr fontId="1" type="noConversion"/>
  </si>
  <si>
    <t>大物(i/hr)</t>
    <phoneticPr fontId="1" type="noConversion"/>
  </si>
  <si>
    <t>出貨(i/hr)</t>
    <phoneticPr fontId="1" type="noConversion"/>
  </si>
  <si>
    <t>包裝(i/hr)</t>
    <phoneticPr fontId="1" type="noConversion"/>
  </si>
  <si>
    <t>P9</t>
    <phoneticPr fontId="1" type="noConversion"/>
  </si>
  <si>
    <t>品質</t>
    <phoneticPr fontId="1" type="noConversion"/>
  </si>
  <si>
    <t>出貨品質</t>
    <phoneticPr fontId="1" type="noConversion"/>
  </si>
  <si>
    <t>誤品(ppm)</t>
    <phoneticPr fontId="1" type="noConversion"/>
  </si>
  <si>
    <t>欠品(ppm)</t>
    <phoneticPr fontId="1" type="noConversion"/>
  </si>
  <si>
    <t>P3</t>
    <phoneticPr fontId="1" type="noConversion"/>
  </si>
  <si>
    <t>損品(ppm)</t>
    <phoneticPr fontId="1" type="noConversion"/>
  </si>
  <si>
    <t>包裝(ppm)</t>
    <phoneticPr fontId="1" type="noConversion"/>
  </si>
  <si>
    <t>配送品質-準時率</t>
    <phoneticPr fontId="1" type="noConversion"/>
  </si>
  <si>
    <t>P8</t>
    <phoneticPr fontId="1" type="noConversion"/>
  </si>
  <si>
    <t>包材回收</t>
    <phoneticPr fontId="1" type="noConversion"/>
  </si>
  <si>
    <t>重量
(公斤)</t>
    <phoneticPr fontId="1" type="noConversion"/>
  </si>
  <si>
    <t>國內</t>
    <phoneticPr fontId="1" type="noConversion"/>
  </si>
  <si>
    <t>I:\3楊梅配銷室\06.共同事務-楊配室KPI匯整</t>
    <phoneticPr fontId="1" type="noConversion"/>
  </si>
  <si>
    <t>國外</t>
    <phoneticPr fontId="1" type="noConversion"/>
  </si>
  <si>
    <t>合計</t>
    <phoneticPr fontId="1" type="noConversion"/>
  </si>
  <si>
    <t>同期比</t>
  </si>
  <si>
    <t>---</t>
  </si>
  <si>
    <t>金額
(萬元)</t>
    <phoneticPr fontId="1" type="noConversion"/>
  </si>
  <si>
    <t>增援運費</t>
    <phoneticPr fontId="1" type="noConversion"/>
  </si>
  <si>
    <t>金額
(仟元)</t>
    <phoneticPr fontId="1" type="noConversion"/>
  </si>
  <si>
    <t>DLR(北區)</t>
    <phoneticPr fontId="1" type="noConversion"/>
  </si>
  <si>
    <t>台數:楊配室KPI匯總，DLR增援車P14-1(增下據點+增援車費)</t>
    <phoneticPr fontId="1" type="noConversion"/>
  </si>
  <si>
    <t>SDTC</t>
    <phoneticPr fontId="1" type="noConversion"/>
  </si>
  <si>
    <t>P14-2, 增援車金額:按上班天數-台中基本17噸/1台(7989元)，2台35噸(11406元/台)</t>
    <phoneticPr fontId="1" type="noConversion"/>
  </si>
  <si>
    <t>SDHN</t>
    <phoneticPr fontId="1" type="noConversion"/>
  </si>
  <si>
    <t>仁武倉基本2台35噸(17618元/台)，17噸均為增援車11770元/台</t>
    <phoneticPr fontId="1" type="noConversion"/>
  </si>
  <si>
    <t>庫位使用率</t>
    <phoneticPr fontId="1" type="noConversion"/>
  </si>
  <si>
    <t>中小物區</t>
    <phoneticPr fontId="1" type="noConversion"/>
  </si>
  <si>
    <t>積層區(A-D)</t>
    <phoneticPr fontId="1" type="noConversion"/>
  </si>
  <si>
    <t>專區(R.S.J )</t>
    <phoneticPr fontId="1" type="noConversion"/>
  </si>
  <si>
    <t>大物區</t>
    <phoneticPr fontId="1" type="noConversion"/>
  </si>
  <si>
    <t>高中銷區(F.N.H)</t>
  </si>
  <si>
    <t>金屬區(H)</t>
    <phoneticPr fontId="1" type="noConversion"/>
  </si>
  <si>
    <t>低滯銷區(M.Q)</t>
    <phoneticPr fontId="1" type="noConversion"/>
  </si>
  <si>
    <t>電、化品區(K)</t>
    <phoneticPr fontId="1" type="noConversion"/>
  </si>
  <si>
    <t>保 桿區(V)</t>
    <phoneticPr fontId="1" type="noConversion"/>
  </si>
  <si>
    <t>輪胎區(Y)</t>
    <phoneticPr fontId="1" type="noConversion"/>
  </si>
  <si>
    <t>油品區(Z)</t>
    <phoneticPr fontId="1" type="noConversion"/>
  </si>
  <si>
    <t>全區</t>
    <phoneticPr fontId="1" type="noConversion"/>
  </si>
  <si>
    <t>2019年
/月份</t>
    <phoneticPr fontId="1" type="noConversion"/>
  </si>
  <si>
    <t>零件 i</t>
    <phoneticPr fontId="1" type="noConversion"/>
  </si>
  <si>
    <t>和勁 i</t>
    <phoneticPr fontId="1" type="noConversion"/>
  </si>
  <si>
    <t>產機 i</t>
    <phoneticPr fontId="1" type="noConversion"/>
  </si>
  <si>
    <t>車美仕 i</t>
    <phoneticPr fontId="1" type="noConversion"/>
  </si>
  <si>
    <t>和運 i</t>
    <phoneticPr fontId="1" type="noConversion"/>
  </si>
  <si>
    <t>和運經銷商i</t>
    <phoneticPr fontId="1" type="noConversion"/>
  </si>
  <si>
    <t>湯淺 i</t>
    <phoneticPr fontId="1" type="noConversion"/>
  </si>
  <si>
    <t>總合計i</t>
    <phoneticPr fontId="1" type="noConversion"/>
  </si>
  <si>
    <t>零件pcs</t>
    <phoneticPr fontId="1" type="noConversion"/>
  </si>
  <si>
    <t>和勁pcs</t>
    <phoneticPr fontId="1" type="noConversion"/>
  </si>
  <si>
    <t>產機pcs</t>
    <phoneticPr fontId="1" type="noConversion"/>
  </si>
  <si>
    <t>車美仕pcs</t>
    <phoneticPr fontId="1" type="noConversion"/>
  </si>
  <si>
    <t>和運pcs</t>
    <phoneticPr fontId="1" type="noConversion"/>
  </si>
  <si>
    <t>和運經銷商pcs</t>
    <phoneticPr fontId="1" type="noConversion"/>
  </si>
  <si>
    <t>湯淺pcs</t>
    <phoneticPr fontId="1" type="noConversion"/>
  </si>
  <si>
    <t>總合計pcs</t>
    <phoneticPr fontId="1" type="noConversion"/>
  </si>
  <si>
    <t>出貨點數</t>
    <phoneticPr fontId="1" type="noConversion"/>
  </si>
  <si>
    <t>2020年
/月份</t>
    <phoneticPr fontId="1" type="noConversion"/>
  </si>
  <si>
    <t>平均</t>
    <phoneticPr fontId="1" type="noConversion"/>
  </si>
  <si>
    <t xml:space="preserve">同期比 </t>
    <phoneticPr fontId="1" type="noConversion"/>
  </si>
  <si>
    <t>出貨PCS</t>
    <phoneticPr fontId="1" type="noConversion"/>
  </si>
  <si>
    <t>2021年
/月份</t>
    <phoneticPr fontId="1" type="noConversion"/>
  </si>
  <si>
    <t>2022年
/月份</t>
    <phoneticPr fontId="1" type="noConversion"/>
  </si>
  <si>
    <t>聯網 i</t>
    <phoneticPr fontId="1" type="noConversion"/>
  </si>
  <si>
    <t>Gsi</t>
    <phoneticPr fontId="1" type="noConversion"/>
  </si>
  <si>
    <t>聯網pcs</t>
    <phoneticPr fontId="1" type="noConversion"/>
  </si>
  <si>
    <t>GS pcs</t>
    <phoneticPr fontId="1" type="noConversion"/>
  </si>
  <si>
    <t>2023年</t>
    <phoneticPr fontId="1" type="noConversion"/>
  </si>
  <si>
    <t>Gs i</t>
    <phoneticPr fontId="1" type="noConversion"/>
  </si>
  <si>
    <t>2024年</t>
    <phoneticPr fontId="1" type="noConversion"/>
  </si>
  <si>
    <t>2024工作天數</t>
    <phoneticPr fontId="1" type="noConversion"/>
  </si>
  <si>
    <t>2025年</t>
    <phoneticPr fontId="1" type="noConversion"/>
  </si>
  <si>
    <t>聖志</t>
    <phoneticPr fontId="1" type="noConversion"/>
  </si>
  <si>
    <t>嘉銘</t>
    <phoneticPr fontId="1" type="noConversion"/>
  </si>
  <si>
    <t>其他為徐組</t>
  </si>
  <si>
    <t>工作天數</t>
    <phoneticPr fontId="1" type="noConversion"/>
  </si>
  <si>
    <t>20 VS 25</t>
    <phoneticPr fontId="1" type="noConversion"/>
  </si>
  <si>
    <t>22 VS 18</t>
    <phoneticPr fontId="1" type="noConversion"/>
  </si>
  <si>
    <t>26 VS 26</t>
    <phoneticPr fontId="1" type="noConversion"/>
  </si>
  <si>
    <t>24 VS 24</t>
    <phoneticPr fontId="1" type="noConversion"/>
  </si>
  <si>
    <t>24 VS 26</t>
    <phoneticPr fontId="1" type="noConversion"/>
  </si>
  <si>
    <t>24 VS 23</t>
    <phoneticPr fontId="1" type="noConversion"/>
  </si>
  <si>
    <t>2025 VS 2024</t>
    <phoneticPr fontId="1" type="noConversion"/>
  </si>
  <si>
    <t>2014年/月份</t>
    <phoneticPr fontId="1" type="noConversion"/>
  </si>
  <si>
    <t xml:space="preserve">I </t>
    <phoneticPr fontId="1" type="noConversion"/>
  </si>
  <si>
    <t>PCS</t>
    <phoneticPr fontId="1" type="noConversion"/>
  </si>
  <si>
    <t>2015年/月份</t>
    <phoneticPr fontId="1" type="noConversion"/>
  </si>
  <si>
    <t>2016年/月份</t>
    <phoneticPr fontId="1" type="noConversion"/>
  </si>
  <si>
    <t>同期比I</t>
    <phoneticPr fontId="1" type="noConversion"/>
  </si>
  <si>
    <t>同期比PCS</t>
    <phoneticPr fontId="1" type="noConversion"/>
  </si>
  <si>
    <t>2017年/月份</t>
    <phoneticPr fontId="1" type="noConversion"/>
  </si>
  <si>
    <t>2018年/月份</t>
    <phoneticPr fontId="1" type="noConversion"/>
  </si>
  <si>
    <t>2019年/月份</t>
    <phoneticPr fontId="1" type="noConversion"/>
  </si>
  <si>
    <t>2020年/月份</t>
    <phoneticPr fontId="1" type="noConversion"/>
  </si>
  <si>
    <t>2021年/月份</t>
    <phoneticPr fontId="1" type="noConversion"/>
  </si>
  <si>
    <t>2022年/月份</t>
    <phoneticPr fontId="1" type="noConversion"/>
  </si>
  <si>
    <t>2023年/月份</t>
    <phoneticPr fontId="1" type="noConversion"/>
  </si>
  <si>
    <t>2024年/月份</t>
    <phoneticPr fontId="1" type="noConversion"/>
  </si>
  <si>
    <t>2025年/月份</t>
    <phoneticPr fontId="1" type="noConversion"/>
  </si>
  <si>
    <r>
      <t>2015</t>
    </r>
    <r>
      <rPr>
        <b/>
        <u/>
        <sz val="28"/>
        <rFont val="華康儷中黑"/>
        <family val="3"/>
        <charset val="136"/>
      </rPr>
      <t>年</t>
    </r>
    <r>
      <rPr>
        <b/>
        <u/>
        <sz val="28"/>
        <rFont val="Arial"/>
        <family val="2"/>
      </rPr>
      <t>10</t>
    </r>
    <r>
      <rPr>
        <b/>
        <u/>
        <sz val="28"/>
        <rFont val="華康儷中黑"/>
        <family val="3"/>
        <charset val="136"/>
      </rPr>
      <t>月</t>
    </r>
    <r>
      <rPr>
        <b/>
        <u/>
        <sz val="28"/>
        <rFont val="Arial"/>
        <family val="2"/>
      </rPr>
      <t xml:space="preserve"> ~ 2015</t>
    </r>
    <r>
      <rPr>
        <b/>
        <u/>
        <sz val="28"/>
        <rFont val="華康儷中黑"/>
        <family val="3"/>
        <charset val="136"/>
      </rPr>
      <t>年</t>
    </r>
    <r>
      <rPr>
        <b/>
        <u/>
        <sz val="28"/>
        <rFont val="Arial"/>
        <family val="2"/>
      </rPr>
      <t>12</t>
    </r>
    <r>
      <rPr>
        <b/>
        <u/>
        <sz val="28"/>
        <rFont val="華康儷中黑"/>
        <family val="3"/>
        <charset val="136"/>
      </rPr>
      <t>月</t>
    </r>
    <r>
      <rPr>
        <b/>
        <u/>
        <sz val="28"/>
        <rFont val="Arial"/>
        <family val="2"/>
      </rPr>
      <t xml:space="preserve">  </t>
    </r>
    <r>
      <rPr>
        <b/>
        <u/>
        <sz val="28"/>
        <rFont val="華康儷中黑"/>
        <family val="3"/>
        <charset val="136"/>
      </rPr>
      <t>楊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梅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倉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庫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各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零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件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保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管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庫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區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使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用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狀</t>
    </r>
    <r>
      <rPr>
        <b/>
        <u/>
        <sz val="28"/>
        <rFont val="Arial"/>
        <family val="2"/>
      </rPr>
      <t xml:space="preserve"> </t>
    </r>
    <r>
      <rPr>
        <b/>
        <u/>
        <sz val="28"/>
        <rFont val="華康儷中黑"/>
        <family val="3"/>
        <charset val="136"/>
      </rPr>
      <t>況</t>
    </r>
    <phoneticPr fontId="4" type="noConversion"/>
  </si>
  <si>
    <t>2016/01/06</t>
    <phoneticPr fontId="4" type="noConversion"/>
  </si>
  <si>
    <r>
      <rPr>
        <b/>
        <sz val="12"/>
        <rFont val="華康儷中黑"/>
        <family val="3"/>
        <charset val="136"/>
      </rPr>
      <t>製表</t>
    </r>
    <r>
      <rPr>
        <b/>
        <sz val="12"/>
        <rFont val="Arial"/>
        <family val="2"/>
      </rPr>
      <t>.</t>
    </r>
    <phoneticPr fontId="4" type="noConversion"/>
  </si>
  <si>
    <r>
      <rPr>
        <sz val="14"/>
        <rFont val="華康儷中黑"/>
        <family val="3"/>
        <charset val="136"/>
      </rPr>
      <t>管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理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別</t>
    </r>
    <phoneticPr fontId="4" type="noConversion"/>
  </si>
  <si>
    <r>
      <rPr>
        <sz val="14"/>
        <rFont val="華康儷中黑"/>
        <family val="3"/>
        <charset val="136"/>
      </rPr>
      <t>中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小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物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庫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區</t>
    </r>
    <r>
      <rPr>
        <sz val="14"/>
        <rFont val="Arial"/>
        <family val="2"/>
      </rPr>
      <t xml:space="preserve"> ( </t>
    </r>
    <r>
      <rPr>
        <sz val="14"/>
        <rFont val="華康儷中黑"/>
        <family val="3"/>
        <charset val="136"/>
      </rPr>
      <t>材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敏</t>
    </r>
    <r>
      <rPr>
        <sz val="14"/>
        <rFont val="Arial"/>
        <family val="2"/>
      </rPr>
      <t xml:space="preserve"> )</t>
    </r>
    <phoneticPr fontId="4" type="noConversion"/>
  </si>
  <si>
    <r>
      <rPr>
        <sz val="14"/>
        <rFont val="華康儷中黑"/>
        <family val="3"/>
        <charset val="136"/>
      </rPr>
      <t>大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物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庫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區</t>
    </r>
    <r>
      <rPr>
        <sz val="14"/>
        <rFont val="Arial"/>
        <family val="2"/>
      </rPr>
      <t xml:space="preserve"> ( </t>
    </r>
    <r>
      <rPr>
        <sz val="14"/>
        <rFont val="華康儷中黑"/>
        <family val="3"/>
        <charset val="136"/>
      </rPr>
      <t>和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泰</t>
    </r>
    <r>
      <rPr>
        <sz val="14"/>
        <rFont val="Arial"/>
        <family val="2"/>
      </rPr>
      <t xml:space="preserve"> )</t>
    </r>
    <phoneticPr fontId="4" type="noConversion"/>
  </si>
  <si>
    <r>
      <rPr>
        <sz val="14"/>
        <rFont val="華康儷中黑"/>
        <family val="3"/>
        <charset val="136"/>
      </rPr>
      <t>小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計</t>
    </r>
  </si>
  <si>
    <r>
      <rPr>
        <sz val="14"/>
        <rFont val="華康儷中黑"/>
        <family val="3"/>
        <charset val="136"/>
      </rPr>
      <t>庫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區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保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管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狀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況</t>
    </r>
  </si>
  <si>
    <r>
      <t xml:space="preserve">
</t>
    </r>
    <r>
      <rPr>
        <sz val="14"/>
        <rFont val="華康儷中黑"/>
        <family val="3"/>
        <charset val="136"/>
      </rPr>
      <t>新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卡</t>
    </r>
    <phoneticPr fontId="4" type="noConversion"/>
  </si>
  <si>
    <r>
      <t xml:space="preserve">
</t>
    </r>
    <r>
      <rPr>
        <sz val="14"/>
        <rFont val="華康儷中黑"/>
        <family val="3"/>
        <charset val="136"/>
      </rPr>
      <t>空庫位</t>
    </r>
    <r>
      <rPr>
        <sz val="14"/>
        <rFont val="Arial"/>
        <family val="2"/>
      </rPr>
      <t xml:space="preserve">   </t>
    </r>
    <r>
      <rPr>
        <sz val="14"/>
        <rFont val="華康儷中黑"/>
        <family val="3"/>
        <charset val="136"/>
      </rPr>
      <t>取</t>
    </r>
    <r>
      <rPr>
        <sz val="14"/>
        <rFont val="Arial"/>
        <family val="2"/>
      </rPr>
      <t xml:space="preserve">  </t>
    </r>
    <r>
      <rPr>
        <sz val="14"/>
        <rFont val="華康儷中黑"/>
        <family val="3"/>
        <charset val="136"/>
      </rPr>
      <t>消</t>
    </r>
    <phoneticPr fontId="4" type="noConversion"/>
  </si>
  <si>
    <r>
      <t xml:space="preserve">
</t>
    </r>
    <r>
      <rPr>
        <sz val="14"/>
        <rFont val="華康儷中黑"/>
        <family val="3"/>
        <charset val="136"/>
      </rPr>
      <t>不適當
遷</t>
    </r>
    <r>
      <rPr>
        <sz val="14"/>
        <rFont val="Arial"/>
        <family val="2"/>
      </rPr>
      <t xml:space="preserve">   </t>
    </r>
    <r>
      <rPr>
        <sz val="14"/>
        <rFont val="華康儷中黑"/>
        <family val="3"/>
        <charset val="136"/>
      </rPr>
      <t>移</t>
    </r>
    <phoneticPr fontId="4" type="noConversion"/>
  </si>
  <si>
    <r>
      <t xml:space="preserve">
</t>
    </r>
    <r>
      <rPr>
        <sz val="14"/>
        <rFont val="華康儷中黑"/>
        <family val="3"/>
        <charset val="136"/>
      </rPr>
      <t>合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計</t>
    </r>
    <phoneticPr fontId="4" type="noConversion"/>
  </si>
  <si>
    <r>
      <rPr>
        <sz val="14"/>
        <rFont val="華康儷中黑"/>
        <family val="3"/>
        <charset val="136"/>
      </rPr>
      <t>區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域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別</t>
    </r>
    <phoneticPr fontId="4" type="noConversion"/>
  </si>
  <si>
    <r>
      <rPr>
        <sz val="14"/>
        <rFont val="華康儷中黑"/>
        <family val="3"/>
        <charset val="136"/>
      </rPr>
      <t>積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層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庫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區</t>
    </r>
  </si>
  <si>
    <r>
      <rPr>
        <sz val="14"/>
        <rFont val="華康儷中黑"/>
        <family val="3"/>
        <charset val="136"/>
      </rPr>
      <t>專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區</t>
    </r>
  </si>
  <si>
    <r>
      <rPr>
        <sz val="14"/>
        <rFont val="華康儷中黑"/>
        <family val="3"/>
        <charset val="136"/>
      </rPr>
      <t>高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層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架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庫</t>
    </r>
    <r>
      <rPr>
        <sz val="14"/>
        <rFont val="Arial"/>
        <family val="2"/>
      </rPr>
      <t xml:space="preserve"> </t>
    </r>
    <r>
      <rPr>
        <sz val="14"/>
        <rFont val="華康儷中黑"/>
        <family val="3"/>
        <charset val="136"/>
      </rPr>
      <t>區</t>
    </r>
  </si>
  <si>
    <r>
      <rPr>
        <sz val="18"/>
        <rFont val="華康儷中黑"/>
        <family val="3"/>
        <charset val="136"/>
      </rPr>
      <t>小</t>
    </r>
    <r>
      <rPr>
        <sz val="18"/>
        <rFont val="Arial"/>
        <family val="2"/>
      </rPr>
      <t xml:space="preserve"> </t>
    </r>
    <r>
      <rPr>
        <sz val="18"/>
        <rFont val="華康儷中黑"/>
        <family val="3"/>
        <charset val="136"/>
      </rPr>
      <t>計</t>
    </r>
  </si>
  <si>
    <r>
      <rPr>
        <sz val="18"/>
        <rFont val="華康儷中黑"/>
        <family val="3"/>
        <charset val="136"/>
      </rPr>
      <t>合</t>
    </r>
    <r>
      <rPr>
        <sz val="18"/>
        <rFont val="Arial"/>
        <family val="2"/>
      </rPr>
      <t xml:space="preserve">  </t>
    </r>
    <r>
      <rPr>
        <sz val="18"/>
        <rFont val="華康儷中黑"/>
        <family val="3"/>
        <charset val="136"/>
      </rPr>
      <t>計</t>
    </r>
    <phoneticPr fontId="4" type="noConversion"/>
  </si>
  <si>
    <r>
      <rPr>
        <sz val="18"/>
        <rFont val="華康儷中黑"/>
        <family val="3"/>
        <charset val="136"/>
      </rPr>
      <t>▲</t>
    </r>
    <phoneticPr fontId="4" type="noConversion"/>
  </si>
  <si>
    <r>
      <rPr>
        <sz val="18"/>
        <rFont val="華康儷中黑"/>
        <family val="3"/>
        <charset val="136"/>
      </rPr>
      <t>◎</t>
    </r>
    <phoneticPr fontId="4" type="noConversion"/>
  </si>
  <si>
    <r>
      <rPr>
        <sz val="18"/>
        <rFont val="華康儷中黑"/>
        <family val="3"/>
        <charset val="136"/>
      </rPr>
      <t>▽</t>
    </r>
    <phoneticPr fontId="4" type="noConversion"/>
  </si>
  <si>
    <t>小 計</t>
    <phoneticPr fontId="4" type="noConversion"/>
  </si>
  <si>
    <t xml:space="preserve">
新 卡</t>
    <phoneticPr fontId="4" type="noConversion"/>
  </si>
  <si>
    <t xml:space="preserve">
空庫位
取消</t>
    <phoneticPr fontId="4" type="noConversion"/>
  </si>
  <si>
    <t xml:space="preserve">
不適當
遷移</t>
    <phoneticPr fontId="4" type="noConversion"/>
  </si>
  <si>
    <r>
      <rPr>
        <sz val="14"/>
        <rFont val="華康儷中黑"/>
        <family val="3"/>
        <charset val="136"/>
      </rPr>
      <t>庫</t>
    </r>
    <r>
      <rPr>
        <sz val="14"/>
        <rFont val="Arial"/>
        <family val="2"/>
      </rPr>
      <t xml:space="preserve">    </t>
    </r>
    <r>
      <rPr>
        <sz val="14"/>
        <rFont val="華康儷中黑"/>
        <family val="3"/>
        <charset val="136"/>
      </rPr>
      <t>區</t>
    </r>
    <phoneticPr fontId="4" type="noConversion"/>
  </si>
  <si>
    <t>A</t>
  </si>
  <si>
    <t>B</t>
  </si>
  <si>
    <t>C</t>
  </si>
  <si>
    <t>D</t>
  </si>
  <si>
    <t>E</t>
  </si>
  <si>
    <t>P</t>
    <phoneticPr fontId="4" type="noConversion"/>
  </si>
  <si>
    <t>T</t>
    <phoneticPr fontId="4" type="noConversion"/>
  </si>
  <si>
    <t>R</t>
    <phoneticPr fontId="4" type="noConversion"/>
  </si>
  <si>
    <t>S</t>
  </si>
  <si>
    <t>J</t>
    <phoneticPr fontId="4" type="noConversion"/>
  </si>
  <si>
    <t>W</t>
    <phoneticPr fontId="4" type="noConversion"/>
  </si>
  <si>
    <t>F</t>
  </si>
  <si>
    <t>N</t>
    <phoneticPr fontId="4" type="noConversion"/>
  </si>
  <si>
    <t>G</t>
  </si>
  <si>
    <t>H</t>
  </si>
  <si>
    <r>
      <t>M</t>
    </r>
    <r>
      <rPr>
        <sz val="18"/>
        <rFont val="華康儷中黑"/>
        <family val="3"/>
        <charset val="136"/>
      </rPr>
      <t>、</t>
    </r>
    <r>
      <rPr>
        <sz val="18"/>
        <rFont val="Arial"/>
        <family val="2"/>
      </rPr>
      <t>Q</t>
    </r>
    <phoneticPr fontId="4" type="noConversion"/>
  </si>
  <si>
    <t>L</t>
  </si>
  <si>
    <t>K</t>
  </si>
  <si>
    <t>V</t>
  </si>
  <si>
    <t>Y</t>
  </si>
  <si>
    <t>Z</t>
  </si>
  <si>
    <r>
      <rPr>
        <sz val="14"/>
        <rFont val="華康儷中黑"/>
        <family val="3"/>
        <charset val="136"/>
      </rPr>
      <t>過高</t>
    </r>
    <r>
      <rPr>
        <sz val="14"/>
        <rFont val="Arial"/>
        <family val="2"/>
      </rPr>
      <t xml:space="preserve">    &gt;85%</t>
    </r>
    <phoneticPr fontId="4" type="noConversion"/>
  </si>
  <si>
    <r>
      <rPr>
        <sz val="14"/>
        <rFont val="華康儷中黑"/>
        <family val="3"/>
        <charset val="136"/>
      </rPr>
      <t>正常</t>
    </r>
    <r>
      <rPr>
        <sz val="14"/>
        <rFont val="Arial"/>
        <family val="2"/>
      </rPr>
      <t xml:space="preserve">    75~85%</t>
    </r>
    <phoneticPr fontId="4" type="noConversion"/>
  </si>
  <si>
    <r>
      <rPr>
        <sz val="14"/>
        <rFont val="華康儷中黑"/>
        <family val="3"/>
        <charset val="136"/>
      </rPr>
      <t>過低</t>
    </r>
    <r>
      <rPr>
        <sz val="14"/>
        <rFont val="Arial"/>
        <family val="2"/>
      </rPr>
      <t xml:space="preserve">    &lt;75%</t>
    </r>
    <phoneticPr fontId="4" type="noConversion"/>
  </si>
  <si>
    <t>合 計</t>
    <phoneticPr fontId="4" type="noConversion"/>
  </si>
  <si>
    <r>
      <rPr>
        <sz val="14"/>
        <rFont val="華康儷中黑"/>
        <family val="3"/>
        <charset val="136"/>
      </rPr>
      <t>保管類別</t>
    </r>
  </si>
  <si>
    <r>
      <rPr>
        <sz val="14"/>
        <rFont val="華康儷中黑"/>
        <family val="3"/>
        <charset val="136"/>
      </rPr>
      <t>高</t>
    </r>
    <r>
      <rPr>
        <sz val="14"/>
        <rFont val="Arial"/>
        <family val="2"/>
      </rPr>
      <t xml:space="preserve">  </t>
    </r>
    <r>
      <rPr>
        <sz val="14"/>
        <rFont val="華康儷中黑"/>
        <family val="3"/>
        <charset val="136"/>
      </rPr>
      <t>銷</t>
    </r>
    <r>
      <rPr>
        <sz val="14"/>
        <rFont val="Arial"/>
        <family val="2"/>
      </rPr>
      <t xml:space="preserve">          </t>
    </r>
    <r>
      <rPr>
        <sz val="14"/>
        <rFont val="華康儷中黑"/>
        <family val="3"/>
        <charset val="136"/>
      </rPr>
      <t>中</t>
    </r>
    <r>
      <rPr>
        <sz val="14"/>
        <rFont val="Arial"/>
        <family val="2"/>
      </rPr>
      <t xml:space="preserve">  </t>
    </r>
    <r>
      <rPr>
        <sz val="14"/>
        <rFont val="華康儷中黑"/>
        <family val="3"/>
        <charset val="136"/>
      </rPr>
      <t>物</t>
    </r>
    <phoneticPr fontId="4" type="noConversion"/>
  </si>
  <si>
    <r>
      <rPr>
        <sz val="14"/>
        <rFont val="華康儷中黑"/>
        <family val="3"/>
        <charset val="136"/>
      </rPr>
      <t>高</t>
    </r>
    <r>
      <rPr>
        <sz val="14"/>
        <rFont val="Arial"/>
        <family val="2"/>
      </rPr>
      <t xml:space="preserve">  </t>
    </r>
    <r>
      <rPr>
        <sz val="14"/>
        <rFont val="華康儷中黑"/>
        <family val="3"/>
        <charset val="136"/>
      </rPr>
      <t>銷</t>
    </r>
    <r>
      <rPr>
        <sz val="14"/>
        <rFont val="Arial"/>
        <family val="2"/>
      </rPr>
      <t xml:space="preserve">              </t>
    </r>
    <r>
      <rPr>
        <sz val="14"/>
        <rFont val="華康儷中黑"/>
        <family val="3"/>
        <charset val="136"/>
      </rPr>
      <t>中小物</t>
    </r>
    <phoneticPr fontId="4" type="noConversion"/>
  </si>
  <si>
    <r>
      <rPr>
        <sz val="14"/>
        <rFont val="華康儷中黑"/>
        <family val="3"/>
        <charset val="136"/>
      </rPr>
      <t>低</t>
    </r>
    <r>
      <rPr>
        <sz val="14"/>
        <rFont val="Arial"/>
        <family val="2"/>
      </rPr>
      <t xml:space="preserve">  </t>
    </r>
    <r>
      <rPr>
        <sz val="14"/>
        <rFont val="華康儷中黑"/>
        <family val="3"/>
        <charset val="136"/>
      </rPr>
      <t>銷</t>
    </r>
    <r>
      <rPr>
        <sz val="14"/>
        <rFont val="Arial"/>
        <family val="2"/>
      </rPr>
      <t xml:space="preserve">        </t>
    </r>
    <r>
      <rPr>
        <sz val="14"/>
        <rFont val="華康儷中黑"/>
        <family val="3"/>
        <charset val="136"/>
      </rPr>
      <t>中量物</t>
    </r>
    <phoneticPr fontId="4" type="noConversion"/>
  </si>
  <si>
    <r>
      <rPr>
        <sz val="14"/>
        <rFont val="華康儷中黑"/>
        <family val="3"/>
        <charset val="136"/>
      </rPr>
      <t>低</t>
    </r>
    <r>
      <rPr>
        <sz val="14"/>
        <rFont val="Arial"/>
        <family val="2"/>
      </rPr>
      <t xml:space="preserve">  </t>
    </r>
    <r>
      <rPr>
        <sz val="14"/>
        <rFont val="華康儷中黑"/>
        <family val="3"/>
        <charset val="136"/>
      </rPr>
      <t>銷</t>
    </r>
    <r>
      <rPr>
        <sz val="14"/>
        <rFont val="Arial"/>
        <family val="2"/>
      </rPr>
      <t xml:space="preserve">        </t>
    </r>
    <r>
      <rPr>
        <sz val="14"/>
        <rFont val="華康儷中黑"/>
        <family val="3"/>
        <charset val="136"/>
      </rPr>
      <t>中小物</t>
    </r>
    <phoneticPr fontId="4" type="noConversion"/>
  </si>
  <si>
    <r>
      <rPr>
        <sz val="14"/>
        <rFont val="華康儷中黑"/>
        <family val="3"/>
        <charset val="136"/>
      </rPr>
      <t>暢</t>
    </r>
    <r>
      <rPr>
        <sz val="14"/>
        <rFont val="Arial"/>
        <family val="2"/>
      </rPr>
      <t xml:space="preserve">  </t>
    </r>
    <r>
      <rPr>
        <sz val="14"/>
        <rFont val="華康儷中黑"/>
        <family val="3"/>
        <charset val="136"/>
      </rPr>
      <t>銷</t>
    </r>
    <r>
      <rPr>
        <sz val="14"/>
        <rFont val="Arial"/>
        <family val="2"/>
      </rPr>
      <t xml:space="preserve">         </t>
    </r>
    <r>
      <rPr>
        <sz val="14"/>
        <rFont val="華康儷中黑"/>
        <family val="3"/>
        <charset val="136"/>
      </rPr>
      <t>量物區</t>
    </r>
    <phoneticPr fontId="4" type="noConversion"/>
  </si>
  <si>
    <t>低、滯       銷區</t>
  </si>
  <si>
    <r>
      <rPr>
        <sz val="14"/>
        <color indexed="12"/>
        <rFont val="華康儷中黑"/>
        <family val="3"/>
        <charset val="136"/>
      </rPr>
      <t>中</t>
    </r>
    <r>
      <rPr>
        <sz val="14"/>
        <color indexed="12"/>
        <rFont val="Arial"/>
        <family val="2"/>
      </rPr>
      <t xml:space="preserve">  </t>
    </r>
    <r>
      <rPr>
        <sz val="14"/>
        <color indexed="12"/>
        <rFont val="華康儷中黑"/>
        <family val="3"/>
        <charset val="136"/>
      </rPr>
      <t>銷</t>
    </r>
    <r>
      <rPr>
        <sz val="14"/>
        <color indexed="12"/>
        <rFont val="Arial"/>
        <family val="2"/>
      </rPr>
      <t xml:space="preserve">         </t>
    </r>
    <r>
      <rPr>
        <sz val="14"/>
        <color indexed="12"/>
        <rFont val="華康儷中黑"/>
        <family val="3"/>
        <charset val="136"/>
      </rPr>
      <t>量物區</t>
    </r>
    <phoneticPr fontId="4" type="noConversion"/>
  </si>
  <si>
    <t>精品區</t>
    <phoneticPr fontId="4" type="noConversion"/>
  </si>
  <si>
    <r>
      <rPr>
        <sz val="14"/>
        <rFont val="華康儷中黑"/>
        <family val="3"/>
        <charset val="136"/>
      </rPr>
      <t>高價</t>
    </r>
    <r>
      <rPr>
        <sz val="14"/>
        <rFont val="Arial"/>
        <family val="2"/>
      </rPr>
      <t xml:space="preserve">        </t>
    </r>
    <r>
      <rPr>
        <sz val="14"/>
        <rFont val="華康儷中黑"/>
        <family val="3"/>
        <charset val="136"/>
      </rPr>
      <t>品區</t>
    </r>
    <phoneticPr fontId="4" type="noConversion"/>
  </si>
  <si>
    <r>
      <rPr>
        <sz val="14"/>
        <rFont val="華康儷中黑"/>
        <family val="3"/>
        <charset val="136"/>
      </rPr>
      <t>精品區</t>
    </r>
  </si>
  <si>
    <r>
      <rPr>
        <sz val="14"/>
        <rFont val="華康儷中黑"/>
        <family val="3"/>
        <charset val="136"/>
      </rPr>
      <t>高中銷</t>
    </r>
    <r>
      <rPr>
        <sz val="14"/>
        <rFont val="Arial"/>
        <family val="2"/>
      </rPr>
      <t xml:space="preserve">   </t>
    </r>
    <r>
      <rPr>
        <sz val="14"/>
        <rFont val="華康儷中黑"/>
        <family val="3"/>
        <charset val="136"/>
      </rPr>
      <t>大</t>
    </r>
    <r>
      <rPr>
        <sz val="14"/>
        <rFont val="Arial"/>
        <family val="2"/>
      </rPr>
      <t xml:space="preserve">  </t>
    </r>
    <r>
      <rPr>
        <sz val="14"/>
        <rFont val="華康儷中黑"/>
        <family val="3"/>
        <charset val="136"/>
      </rPr>
      <t>物</t>
    </r>
    <phoneticPr fontId="4" type="noConversion"/>
  </si>
  <si>
    <r>
      <rPr>
        <sz val="14"/>
        <rFont val="華康儷中黑"/>
        <family val="3"/>
        <charset val="136"/>
      </rPr>
      <t>中低銷</t>
    </r>
    <r>
      <rPr>
        <sz val="14"/>
        <rFont val="Arial"/>
        <family val="2"/>
      </rPr>
      <t xml:space="preserve">   </t>
    </r>
    <r>
      <rPr>
        <sz val="14"/>
        <rFont val="華康儷中黑"/>
        <family val="3"/>
        <charset val="136"/>
      </rPr>
      <t>大</t>
    </r>
    <r>
      <rPr>
        <sz val="14"/>
        <rFont val="Arial"/>
        <family val="2"/>
      </rPr>
      <t xml:space="preserve">  </t>
    </r>
    <r>
      <rPr>
        <sz val="14"/>
        <rFont val="華康儷中黑"/>
        <family val="3"/>
        <charset val="136"/>
      </rPr>
      <t>物</t>
    </r>
    <phoneticPr fontId="4" type="noConversion"/>
  </si>
  <si>
    <r>
      <rPr>
        <sz val="14"/>
        <rFont val="華康儷中黑"/>
        <family val="3"/>
        <charset val="136"/>
      </rPr>
      <t>高中銷</t>
    </r>
    <r>
      <rPr>
        <sz val="14"/>
        <rFont val="Arial"/>
        <family val="2"/>
      </rPr>
      <t xml:space="preserve">         </t>
    </r>
    <r>
      <rPr>
        <sz val="14"/>
        <rFont val="華康儷中黑"/>
        <family val="3"/>
        <charset val="136"/>
      </rPr>
      <t>大中物</t>
    </r>
    <phoneticPr fontId="4" type="noConversion"/>
  </si>
  <si>
    <r>
      <rPr>
        <sz val="14"/>
        <rFont val="華康儷中黑"/>
        <family val="3"/>
        <charset val="136"/>
      </rPr>
      <t>金屬區</t>
    </r>
  </si>
  <si>
    <r>
      <rPr>
        <sz val="14"/>
        <rFont val="華康儷中黑"/>
        <family val="3"/>
        <charset val="136"/>
      </rPr>
      <t>低、滯</t>
    </r>
    <r>
      <rPr>
        <sz val="14"/>
        <rFont val="Arial"/>
        <family val="2"/>
      </rPr>
      <t xml:space="preserve">       </t>
    </r>
    <r>
      <rPr>
        <sz val="14"/>
        <rFont val="華康儷中黑"/>
        <family val="3"/>
        <charset val="136"/>
      </rPr>
      <t>銷區</t>
    </r>
    <phoneticPr fontId="4" type="noConversion"/>
  </si>
  <si>
    <t>玻璃         庫區</t>
  </si>
  <si>
    <r>
      <rPr>
        <sz val="14"/>
        <rFont val="華康儷中黑"/>
        <family val="3"/>
        <charset val="136"/>
      </rPr>
      <t>電、化
品區</t>
    </r>
    <phoneticPr fontId="4" type="noConversion"/>
  </si>
  <si>
    <r>
      <rPr>
        <sz val="14"/>
        <rFont val="華康儷中黑"/>
        <family val="3"/>
        <charset val="136"/>
      </rPr>
      <t>保桿區</t>
    </r>
  </si>
  <si>
    <r>
      <rPr>
        <sz val="14"/>
        <rFont val="華康儷中黑"/>
        <family val="3"/>
        <charset val="136"/>
      </rPr>
      <t>輪胎區</t>
    </r>
  </si>
  <si>
    <r>
      <rPr>
        <sz val="14"/>
        <rFont val="華康儷中黑"/>
        <family val="3"/>
        <charset val="136"/>
      </rPr>
      <t>油品區</t>
    </r>
  </si>
  <si>
    <t>使用率</t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</si>
  <si>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</t>
    </r>
    <r>
      <rPr>
        <sz val="16"/>
        <rFont val="華康儷中黑"/>
        <family val="3"/>
        <charset val="136"/>
      </rPr>
      <t>月</t>
    </r>
    <phoneticPr fontId="4" type="noConversion"/>
  </si>
  <si>
    <r>
      <rPr>
        <sz val="18"/>
        <rFont val="華康儷中黑"/>
        <family val="3"/>
        <charset val="136"/>
      </rPr>
      <t>點數</t>
    </r>
    <r>
      <rPr>
        <sz val="18"/>
        <rFont val="Arial"/>
        <family val="2"/>
      </rPr>
      <t xml:space="preserve"> (i)</t>
    </r>
    <phoneticPr fontId="4" type="noConversion"/>
  </si>
  <si>
    <t>延伸庫位</t>
    <phoneticPr fontId="4" type="noConversion"/>
  </si>
  <si>
    <t>配置數</t>
    <phoneticPr fontId="4" type="noConversion"/>
  </si>
  <si>
    <t xml:space="preserve"> 合計點數</t>
    <phoneticPr fontId="4" type="noConversion"/>
  </si>
  <si>
    <t>合計配置數</t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</si>
  <si>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2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</si>
  <si>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3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</si>
  <si>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4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</si>
  <si>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5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</si>
  <si>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6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</si>
  <si>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7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</si>
  <si>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8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</si>
  <si>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9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</si>
  <si>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10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</si>
  <si>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11</t>
    </r>
    <r>
      <rPr>
        <sz val="16"/>
        <rFont val="華康儷中黑"/>
        <family val="3"/>
        <charset val="136"/>
      </rPr>
      <t>月</t>
    </r>
    <phoneticPr fontId="4" type="noConversion"/>
  </si>
  <si>
    <r>
      <t>2022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12</t>
    </r>
    <r>
      <rPr>
        <sz val="16"/>
        <rFont val="華康儷中黑"/>
        <family val="3"/>
        <charset val="136"/>
      </rPr>
      <t>月</t>
    </r>
    <phoneticPr fontId="4" type="noConversion"/>
  </si>
  <si>
    <r>
      <t>2023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</t>
    </r>
    <r>
      <rPr>
        <sz val="16"/>
        <rFont val="華康儷中黑"/>
        <family val="3"/>
        <charset val="136"/>
      </rPr>
      <t>月</t>
    </r>
    <phoneticPr fontId="4" type="noConversion"/>
  </si>
  <si>
    <r>
      <t>2023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2</t>
    </r>
    <r>
      <rPr>
        <sz val="16"/>
        <rFont val="華康儷中黑"/>
        <family val="3"/>
        <charset val="136"/>
      </rPr>
      <t>月</t>
    </r>
    <phoneticPr fontId="4" type="noConversion"/>
  </si>
  <si>
    <r>
      <t>2023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3</t>
    </r>
    <r>
      <rPr>
        <sz val="16"/>
        <rFont val="華康儷中黑"/>
        <family val="3"/>
        <charset val="136"/>
      </rPr>
      <t>月</t>
    </r>
    <phoneticPr fontId="4" type="noConversion"/>
  </si>
  <si>
    <r>
      <t>2023</t>
    </r>
    <r>
      <rPr>
        <sz val="16"/>
        <rFont val="華康儷中黑"/>
        <family val="3"/>
        <charset val="136"/>
      </rPr>
      <t>年
4</t>
    </r>
    <r>
      <rPr>
        <sz val="16"/>
        <rFont val="華康儷中黑"/>
        <family val="3"/>
        <charset val="136"/>
      </rPr>
      <t>月</t>
    </r>
    <phoneticPr fontId="4" type="noConversion"/>
  </si>
  <si>
    <r>
      <t>2023</t>
    </r>
    <r>
      <rPr>
        <sz val="16"/>
        <rFont val="華康儷中黑"/>
        <family val="3"/>
        <charset val="136"/>
      </rPr>
      <t>年
5月</t>
    </r>
    <phoneticPr fontId="4" type="noConversion"/>
  </si>
  <si>
    <r>
      <t>2023</t>
    </r>
    <r>
      <rPr>
        <sz val="16"/>
        <rFont val="華康儷中黑"/>
        <family val="3"/>
        <charset val="136"/>
      </rPr>
      <t>年
6月</t>
    </r>
    <phoneticPr fontId="4" type="noConversion"/>
  </si>
  <si>
    <r>
      <t>2023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7</t>
    </r>
    <r>
      <rPr>
        <sz val="16"/>
        <rFont val="華康儷中黑"/>
        <family val="3"/>
        <charset val="136"/>
      </rPr>
      <t>月</t>
    </r>
    <phoneticPr fontId="4" type="noConversion"/>
  </si>
  <si>
    <r>
      <t>2023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8</t>
    </r>
    <r>
      <rPr>
        <sz val="16"/>
        <rFont val="華康儷中黑"/>
        <family val="3"/>
        <charset val="136"/>
      </rPr>
      <t>月</t>
    </r>
    <phoneticPr fontId="4" type="noConversion"/>
  </si>
  <si>
    <r>
      <t>2023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9</t>
    </r>
    <r>
      <rPr>
        <sz val="16"/>
        <rFont val="華康儷中黑"/>
        <family val="3"/>
        <charset val="136"/>
      </rPr>
      <t>月</t>
    </r>
    <phoneticPr fontId="4" type="noConversion"/>
  </si>
  <si>
    <r>
      <t>2023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10</t>
    </r>
    <r>
      <rPr>
        <sz val="16"/>
        <rFont val="華康儷中黑"/>
        <family val="3"/>
        <charset val="136"/>
      </rPr>
      <t>月</t>
    </r>
    <phoneticPr fontId="4" type="noConversion"/>
  </si>
  <si>
    <r>
      <t>2023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11</t>
    </r>
    <r>
      <rPr>
        <sz val="16"/>
        <rFont val="華康儷中黑"/>
        <family val="3"/>
        <charset val="136"/>
      </rPr>
      <t>月</t>
    </r>
    <phoneticPr fontId="4" type="noConversion"/>
  </si>
  <si>
    <r>
      <t>2023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12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</si>
  <si>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</si>
  <si>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2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</si>
  <si>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3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</si>
  <si>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4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</si>
  <si>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5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</si>
  <si>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6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</si>
  <si>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7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</si>
  <si>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8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</si>
  <si>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9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</si>
  <si>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10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</si>
  <si>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11</t>
    </r>
    <r>
      <rPr>
        <sz val="16"/>
        <rFont val="華康儷中黑"/>
        <family val="3"/>
        <charset val="136"/>
      </rPr>
      <t>月</t>
    </r>
    <phoneticPr fontId="4" type="noConversion"/>
  </si>
  <si>
    <r>
      <t>2024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12</t>
    </r>
    <r>
      <rPr>
        <sz val="16"/>
        <rFont val="華康儷中黑"/>
        <family val="3"/>
        <charset val="136"/>
      </rPr>
      <t>月</t>
    </r>
    <phoneticPr fontId="4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</si>
  <si>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</t>
    </r>
    <r>
      <rPr>
        <sz val="16"/>
        <rFont val="華康儷中黑"/>
        <family val="3"/>
        <charset val="136"/>
      </rPr>
      <t>月</t>
    </r>
    <phoneticPr fontId="4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</si>
  <si>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2</t>
    </r>
    <r>
      <rPr>
        <sz val="16"/>
        <rFont val="華康儷中黑"/>
        <family val="3"/>
        <charset val="136"/>
      </rPr>
      <t>月</t>
    </r>
    <phoneticPr fontId="4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</si>
  <si>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3</t>
    </r>
    <r>
      <rPr>
        <sz val="16"/>
        <rFont val="華康儷中黑"/>
        <family val="3"/>
        <charset val="136"/>
      </rPr>
      <t>月</t>
    </r>
    <phoneticPr fontId="4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</si>
  <si>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4</t>
    </r>
    <r>
      <rPr>
        <sz val="16"/>
        <rFont val="華康儷中黑"/>
        <family val="3"/>
        <charset val="136"/>
      </rPr>
      <t>月</t>
    </r>
    <phoneticPr fontId="4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</si>
  <si>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5</t>
    </r>
    <r>
      <rPr>
        <sz val="16"/>
        <rFont val="華康儷中黑"/>
        <family val="3"/>
        <charset val="136"/>
      </rPr>
      <t>月</t>
    </r>
    <phoneticPr fontId="4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</si>
  <si>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6</t>
    </r>
    <r>
      <rPr>
        <sz val="16"/>
        <rFont val="華康儷中黑"/>
        <family val="3"/>
        <charset val="136"/>
      </rPr>
      <t>月</t>
    </r>
    <phoneticPr fontId="4" type="noConversion"/>
  </si>
  <si>
    <t>項目</t>
    <phoneticPr fontId="4" type="noConversion"/>
  </si>
  <si>
    <t>一月</t>
    <phoneticPr fontId="4" type="noConversion"/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</si>
  <si>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</si>
  <si>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</si>
  <si>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</si>
  <si>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</si>
  <si>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</si>
  <si>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</si>
  <si>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</si>
  <si>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</si>
  <si>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</si>
  <si>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</si>
  <si>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</si>
  <si>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合計</t>
    <phoneticPr fontId="4" type="noConversion"/>
  </si>
  <si>
    <t>2014包材回收</t>
    <phoneticPr fontId="1" type="noConversion"/>
  </si>
  <si>
    <t>重量</t>
    <phoneticPr fontId="1" type="noConversion"/>
  </si>
  <si>
    <t>2015包材回收</t>
    <phoneticPr fontId="1" type="noConversion"/>
  </si>
  <si>
    <t>2016包材回收</t>
    <phoneticPr fontId="1" type="noConversion"/>
  </si>
  <si>
    <t>2017包材回收</t>
    <phoneticPr fontId="1" type="noConversion"/>
  </si>
  <si>
    <t>2018包材回收</t>
    <phoneticPr fontId="1" type="noConversion"/>
  </si>
  <si>
    <t>2019包材回收</t>
    <phoneticPr fontId="1" type="noConversion"/>
  </si>
  <si>
    <t>2020包材回收</t>
    <phoneticPr fontId="1" type="noConversion"/>
  </si>
  <si>
    <t>2021包材回收</t>
    <phoneticPr fontId="1" type="noConversion"/>
  </si>
  <si>
    <t>2022包材回收</t>
    <phoneticPr fontId="1" type="noConversion"/>
  </si>
  <si>
    <t>2023包材回收</t>
    <phoneticPr fontId="1" type="noConversion"/>
  </si>
  <si>
    <t>2024包材回收</t>
    <phoneticPr fontId="1" type="noConversion"/>
  </si>
  <si>
    <t>2025包材回收</t>
    <phoneticPr fontId="1" type="noConversion"/>
  </si>
  <si>
    <t>月份/類別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</si>
  <si>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</si>
  <si>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</si>
  <si>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</si>
  <si>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</si>
  <si>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五</t>
    <phoneticPr fontId="1" type="noConversion"/>
  </si>
  <si>
    <t>六</t>
    <phoneticPr fontId="1" type="noConversion"/>
  </si>
  <si>
    <t>七</t>
    <phoneticPr fontId="1" type="noConversion"/>
  </si>
  <si>
    <t>八</t>
    <phoneticPr fontId="1" type="noConversion"/>
  </si>
  <si>
    <t>九</t>
    <phoneticPr fontId="1" type="noConversion"/>
  </si>
  <si>
    <t>十</t>
    <phoneticPr fontId="1" type="noConversion"/>
  </si>
  <si>
    <t>十一</t>
  </si>
  <si>
    <t>十二</t>
  </si>
  <si>
    <t>大物進貨</t>
    <phoneticPr fontId="1" type="noConversion"/>
  </si>
  <si>
    <t>中小物進貨</t>
    <phoneticPr fontId="1" type="noConversion"/>
  </si>
  <si>
    <t>改善支援上架</t>
    <phoneticPr fontId="1" type="noConversion"/>
  </si>
  <si>
    <t>支援補充上架作業(中小物)</t>
    <phoneticPr fontId="1" type="noConversion"/>
  </si>
  <si>
    <t>中小物進貨空運檢查支援＆加班</t>
    <phoneticPr fontId="1" type="noConversion"/>
  </si>
  <si>
    <t>進貨合計</t>
    <phoneticPr fontId="1" type="noConversion"/>
  </si>
  <si>
    <t>大物出貨</t>
    <phoneticPr fontId="1" type="noConversion"/>
  </si>
  <si>
    <t>中小物出貨</t>
    <phoneticPr fontId="1" type="noConversion"/>
  </si>
  <si>
    <t>月台理貨</t>
    <phoneticPr fontId="1" type="noConversion"/>
  </si>
  <si>
    <t>精品出貨</t>
    <phoneticPr fontId="1" type="noConversion"/>
  </si>
  <si>
    <t>AGV理貨段取(支援)</t>
    <phoneticPr fontId="1" type="noConversion"/>
  </si>
  <si>
    <t>改善人員/週六出勤封箱補充支援周六出貨(補充)</t>
    <phoneticPr fontId="1" type="noConversion"/>
  </si>
  <si>
    <t>支援段取到月台</t>
  </si>
  <si>
    <t>中小物出貨W庫支援&amp;加班</t>
    <phoneticPr fontId="1" type="noConversion"/>
  </si>
  <si>
    <t>幹線疊貨作業</t>
    <phoneticPr fontId="1" type="noConversion"/>
  </si>
  <si>
    <t>出貨合計</t>
    <phoneticPr fontId="1" type="noConversion"/>
  </si>
  <si>
    <t>包裝大物進貨</t>
    <phoneticPr fontId="1" type="noConversion"/>
  </si>
  <si>
    <t>包裝中小物進貨</t>
    <phoneticPr fontId="1" type="noConversion"/>
  </si>
  <si>
    <t>保桿</t>
    <phoneticPr fontId="1" type="noConversion"/>
  </si>
  <si>
    <t>輸出</t>
    <phoneticPr fontId="1" type="noConversion"/>
  </si>
  <si>
    <t>其他:對應KZ盤點.打切零件.事務.手冊</t>
  </si>
  <si>
    <t>包裝合計</t>
    <phoneticPr fontId="1" type="noConversion"/>
  </si>
  <si>
    <t>總計</t>
    <phoneticPr fontId="1" type="noConversion"/>
  </si>
  <si>
    <t>--優開--</t>
    <phoneticPr fontId="1" type="noConversion"/>
  </si>
  <si>
    <t>SELECT CAST(CRTDT AS DATE) AS CRTDT,COUNT(*) AS CNT</t>
  </si>
  <si>
    <t>FROM VPMTSNO</t>
  </si>
  <si>
    <t>WHERE REJECTCD=' ' AND SNOTYPE='C'</t>
  </si>
  <si>
    <t>GROUP BY CAST(CRTDT AS DATE)</t>
  </si>
  <si>
    <t>ORDER BY CAST(CRTDT AS DATE)</t>
  </si>
  <si>
    <t>26 VS 25</t>
    <phoneticPr fontId="1" type="noConversion"/>
  </si>
  <si>
    <t>25 VS 27</t>
    <phoneticPr fontId="1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</si>
  <si>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7</t>
    </r>
    <r>
      <rPr>
        <sz val="16"/>
        <rFont val="華康儷中黑"/>
        <family val="3"/>
        <charset val="136"/>
      </rPr>
      <t>月</t>
    </r>
    <phoneticPr fontId="4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</si>
  <si>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8</t>
    </r>
    <r>
      <rPr>
        <sz val="16"/>
        <rFont val="華康儷中黑"/>
        <family val="3"/>
        <charset val="136"/>
      </rPr>
      <t>月</t>
    </r>
    <phoneticPr fontId="4" type="noConversion"/>
  </si>
  <si>
    <t>25 VS 24</t>
    <phoneticPr fontId="1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</si>
  <si>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9</t>
    </r>
    <r>
      <rPr>
        <sz val="16"/>
        <rFont val="華康儷中黑"/>
        <family val="3"/>
        <charset val="136"/>
      </rPr>
      <t>月</t>
    </r>
    <phoneticPr fontId="4" type="noConversion"/>
  </si>
  <si>
    <t>23 VS 23</t>
    <phoneticPr fontId="1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</si>
  <si>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10</t>
    </r>
    <r>
      <rPr>
        <sz val="16"/>
        <rFont val="華康儷中黑"/>
        <family val="3"/>
        <charset val="136"/>
      </rPr>
      <t>月</t>
    </r>
    <phoneticPr fontId="4" type="noConversion"/>
  </si>
  <si>
    <t>23 VS 26</t>
    <phoneticPr fontId="1" type="noConversion"/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</si>
  <si>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11</t>
    </r>
    <r>
      <rPr>
        <sz val="16"/>
        <rFont val="華康儷中黑"/>
        <family val="3"/>
        <charset val="136"/>
      </rPr>
      <t>月</t>
    </r>
    <phoneticPr fontId="4" type="noConversion"/>
  </si>
  <si>
    <t>25 VS 25</t>
    <phoneticPr fontId="1" type="noConversion"/>
  </si>
  <si>
    <t>AND CONVERT(VARCHAR,CRTDT,112) BETWEEN '20251201' AND '20251231'</t>
    <phoneticPr fontId="1" type="noConversion"/>
  </si>
  <si>
    <t>U</t>
  </si>
  <si>
    <r>
      <t>2025</t>
    </r>
    <r>
      <rPr>
        <sz val="16"/>
        <rFont val="華康儷中黑"/>
        <family val="3"/>
        <charset val="136"/>
      </rPr>
      <t xml:space="preserve">年
</t>
    </r>
    <r>
      <rPr>
        <sz val="16"/>
        <rFont val="Arial"/>
        <family val="2"/>
      </rPr>
      <t>12</t>
    </r>
    <r>
      <rPr>
        <sz val="16"/>
        <rFont val="華康儷中黑"/>
        <family val="3"/>
        <charset val="136"/>
      </rPr>
      <t>月</t>
    </r>
    <phoneticPr fontId="4" type="noConversion"/>
  </si>
  <si>
    <t>積層區( E.P.T.U.4 )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</si>
</sst>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#,##0_ "/>
    <numFmt numFmtId="177" formatCode="0.0%"/>
    <numFmt numFmtId="178" formatCode="#,##0.0_ "/>
    <numFmt numFmtId="179" formatCode="0.0_);[Red]\(0.0\)"/>
    <numFmt numFmtId="180" formatCode="#,##0_);[Red]\(#,##0\)"/>
    <numFmt numFmtId="181" formatCode="0.0_ "/>
    <numFmt numFmtId="182" formatCode="0_ "/>
    <numFmt numFmtId="183" formatCode="0.00000000000000%"/>
    <numFmt numFmtId="184" formatCode="0_);[Red]\(0\)"/>
    <numFmt numFmtId="185" formatCode="_-* #,##0_-;\-* #,##0_-;_-* &quot;-&quot;??_-;_-@_-"/>
  </numFmts>
  <fonts count="4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9"/>
      <name val="新細明體"/>
      <family val="1"/>
      <charset val="136"/>
    </font>
    <font>
      <sz val="22"/>
      <color theme="1"/>
      <name val="微軟正黑體"/>
      <family val="2"/>
      <charset val="136"/>
    </font>
    <font>
      <b/>
      <sz val="36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14"/>
      <name val="Arial"/>
      <family val="2"/>
    </font>
    <font>
      <sz val="14"/>
      <name val="華康儷中黑"/>
      <family val="3"/>
      <charset val="136"/>
    </font>
    <font>
      <sz val="12"/>
      <name val="Arial"/>
      <family val="2"/>
    </font>
    <font>
      <sz val="16"/>
      <name val="Arial"/>
      <family val="2"/>
    </font>
    <font>
      <sz val="16"/>
      <color rgb="FF0000CC"/>
      <name val="Arial"/>
      <family val="2"/>
    </font>
    <font>
      <sz val="14"/>
      <color rgb="FF0000CC"/>
      <name val="Arial"/>
      <family val="2"/>
    </font>
    <font>
      <b/>
      <u/>
      <sz val="28"/>
      <name val="Arial"/>
      <family val="2"/>
    </font>
    <font>
      <b/>
      <u/>
      <sz val="28"/>
      <name val="華康儷中黑"/>
      <family val="3"/>
      <charset val="136"/>
    </font>
    <font>
      <b/>
      <u/>
      <sz val="26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b/>
      <sz val="12"/>
      <name val="華康儷中黑"/>
      <family val="3"/>
      <charset val="136"/>
    </font>
    <font>
      <sz val="14"/>
      <color indexed="12"/>
      <name val="華康儷中黑"/>
      <family val="3"/>
      <charset val="136"/>
    </font>
    <font>
      <sz val="14"/>
      <color indexed="12"/>
      <name val="Arial"/>
      <family val="2"/>
    </font>
    <font>
      <sz val="15"/>
      <name val="Arial"/>
      <family val="2"/>
    </font>
    <font>
      <sz val="16"/>
      <name val="華康儷中黑"/>
      <family val="3"/>
      <charset val="136"/>
    </font>
    <font>
      <sz val="18"/>
      <name val="Arial"/>
      <family val="2"/>
    </font>
    <font>
      <sz val="18"/>
      <name val="華康儷中黑"/>
      <family val="3"/>
      <charset val="136"/>
    </font>
    <font>
      <sz val="10"/>
      <color theme="1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vertAlign val="superscript"/>
      <sz val="10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5"/>
      <color rgb="FF0000CC"/>
      <name val="Arial"/>
      <family val="2"/>
    </font>
    <font>
      <sz val="12"/>
      <color theme="1"/>
      <name val="新細明體"/>
      <family val="1"/>
      <charset val="136"/>
      <scheme val="minor"/>
    </font>
    <font>
      <sz val="16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12"/>
      <color rgb="FFFF0000"/>
      <name val="微軟正黑體"/>
      <family val="2"/>
      <charset val="136"/>
    </font>
    <font>
      <sz val="12"/>
      <color rgb="FF002060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sz val="9"/>
      <color indexed="81"/>
      <name val="細明體"/>
      <family val="3"/>
      <charset val="136"/>
    </font>
    <font>
      <sz val="12"/>
      <name val="華康儷中黑"/>
      <family val="3"/>
      <charset val="136"/>
    </font>
    <font>
      <sz val="14"/>
      <color indexed="81"/>
      <name val="Microsoft JhengHei Light"/>
      <family val="2"/>
      <charset val="136"/>
    </font>
    <font>
      <sz val="14"/>
      <color indexed="81"/>
      <name val="微軟正黑體"/>
      <family val="2"/>
      <charset val="136"/>
    </font>
    <font>
      <sz val="14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/>
      <top style="thick">
        <color rgb="FFFF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4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43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</cellStyleXfs>
  <cellXfs count="45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78" fontId="2" fillId="0" borderId="1" xfId="0" applyNumberFormat="1" applyFont="1" applyBorder="1">
      <alignment vertical="center"/>
    </xf>
    <xf numFmtId="17" fontId="3" fillId="0" borderId="1" xfId="0" applyNumberFormat="1" applyFont="1" applyBorder="1" applyAlignment="1">
      <alignment horizontal="center" vertical="center"/>
    </xf>
    <xf numFmtId="181" fontId="0" fillId="0" borderId="0" xfId="0" applyNumberFormat="1">
      <alignment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6" xfId="0" applyFont="1" applyBorder="1">
      <alignment vertical="center"/>
    </xf>
    <xf numFmtId="177" fontId="2" fillId="0" borderId="1" xfId="0" applyNumberFormat="1" applyFont="1" applyBorder="1" applyAlignment="1">
      <alignment horizontal="right" vertical="center"/>
    </xf>
    <xf numFmtId="176" fontId="2" fillId="0" borderId="1" xfId="0" quotePrefix="1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right" vertical="center"/>
    </xf>
    <xf numFmtId="178" fontId="2" fillId="0" borderId="1" xfId="0" applyNumberFormat="1" applyFont="1" applyBorder="1" applyAlignment="1">
      <alignment horizontal="right" vertical="center"/>
    </xf>
    <xf numFmtId="9" fontId="2" fillId="0" borderId="1" xfId="0" quotePrefix="1" applyNumberFormat="1" applyFont="1" applyBorder="1" applyAlignment="1">
      <alignment horizontal="right" vertical="center"/>
    </xf>
    <xf numFmtId="176" fontId="2" fillId="5" borderId="1" xfId="0" applyNumberFormat="1" applyFont="1" applyFill="1" applyBorder="1" applyAlignment="1">
      <alignment horizontal="right" vertical="center"/>
    </xf>
    <xf numFmtId="177" fontId="2" fillId="5" borderId="1" xfId="0" applyNumberFormat="1" applyFont="1" applyFill="1" applyBorder="1" applyAlignment="1">
      <alignment horizontal="right" vertical="center"/>
    </xf>
    <xf numFmtId="178" fontId="2" fillId="5" borderId="1" xfId="0" applyNumberFormat="1" applyFont="1" applyFill="1" applyBorder="1" applyAlignment="1">
      <alignment horizontal="right" vertical="center"/>
    </xf>
    <xf numFmtId="9" fontId="2" fillId="5" borderId="1" xfId="0" quotePrefix="1" applyNumberFormat="1" applyFont="1" applyFill="1" applyBorder="1" applyAlignment="1">
      <alignment horizontal="right" vertical="center"/>
    </xf>
    <xf numFmtId="9" fontId="2" fillId="5" borderId="1" xfId="0" applyNumberFormat="1" applyFont="1" applyFill="1" applyBorder="1" applyAlignment="1">
      <alignment horizontal="right" vertical="center"/>
    </xf>
    <xf numFmtId="176" fontId="2" fillId="5" borderId="5" xfId="0" applyNumberFormat="1" applyFont="1" applyFill="1" applyBorder="1" applyAlignment="1">
      <alignment horizontal="right" vertical="center"/>
    </xf>
    <xf numFmtId="0" fontId="2" fillId="5" borderId="2" xfId="0" quotePrefix="1" applyFont="1" applyFill="1" applyBorder="1" applyAlignment="1">
      <alignment horizontal="right" vertical="center"/>
    </xf>
    <xf numFmtId="0" fontId="2" fillId="5" borderId="0" xfId="0" applyFont="1" applyFill="1" applyAlignment="1">
      <alignment horizontal="center" vertical="center"/>
    </xf>
    <xf numFmtId="9" fontId="2" fillId="5" borderId="1" xfId="0" quotePrefix="1" applyNumberFormat="1" applyFont="1" applyFill="1" applyBorder="1">
      <alignment vertical="center"/>
    </xf>
    <xf numFmtId="9" fontId="2" fillId="5" borderId="6" xfId="0" quotePrefix="1" applyNumberFormat="1" applyFont="1" applyFill="1" applyBorder="1" applyAlignment="1">
      <alignment horizontal="right" vertical="center"/>
    </xf>
    <xf numFmtId="0" fontId="2" fillId="6" borderId="16" xfId="0" quotePrefix="1" applyFont="1" applyFill="1" applyBorder="1" applyAlignment="1">
      <alignment horizontal="center" vertical="center"/>
    </xf>
    <xf numFmtId="181" fontId="2" fillId="6" borderId="16" xfId="0" applyNumberFormat="1" applyFont="1" applyFill="1" applyBorder="1" applyAlignment="1">
      <alignment horizontal="right" vertical="center"/>
    </xf>
    <xf numFmtId="178" fontId="2" fillId="6" borderId="16" xfId="0" applyNumberFormat="1" applyFont="1" applyFill="1" applyBorder="1" applyAlignment="1">
      <alignment horizontal="right" vertical="center"/>
    </xf>
    <xf numFmtId="176" fontId="2" fillId="6" borderId="16" xfId="0" applyNumberFormat="1" applyFont="1" applyFill="1" applyBorder="1" applyAlignment="1">
      <alignment horizontal="right" vertical="center"/>
    </xf>
    <xf numFmtId="179" fontId="2" fillId="6" borderId="16" xfId="0" applyNumberFormat="1" applyFont="1" applyFill="1" applyBorder="1" applyAlignment="1">
      <alignment horizontal="right" vertical="center"/>
    </xf>
    <xf numFmtId="9" fontId="2" fillId="6" borderId="16" xfId="0" applyNumberFormat="1" applyFont="1" applyFill="1" applyBorder="1" applyAlignment="1">
      <alignment horizontal="right" vertical="center"/>
    </xf>
    <xf numFmtId="177" fontId="2" fillId="6" borderId="16" xfId="0" applyNumberFormat="1" applyFont="1" applyFill="1" applyBorder="1" applyAlignment="1">
      <alignment horizontal="right" vertical="center"/>
    </xf>
    <xf numFmtId="9" fontId="2" fillId="6" borderId="16" xfId="0" quotePrefix="1" applyNumberFormat="1" applyFont="1" applyFill="1" applyBorder="1" applyAlignment="1">
      <alignment horizontal="right" vertical="center"/>
    </xf>
    <xf numFmtId="177" fontId="2" fillId="6" borderId="16" xfId="0" quotePrefix="1" applyNumberFormat="1" applyFont="1" applyFill="1" applyBorder="1" applyAlignment="1">
      <alignment horizontal="right" vertical="center"/>
    </xf>
    <xf numFmtId="176" fontId="2" fillId="5" borderId="25" xfId="0" quotePrefix="1" applyNumberFormat="1" applyFont="1" applyFill="1" applyBorder="1" applyAlignment="1">
      <alignment horizontal="center" vertical="center"/>
    </xf>
    <xf numFmtId="176" fontId="2" fillId="5" borderId="25" xfId="0" quotePrefix="1" applyNumberFormat="1" applyFont="1" applyFill="1" applyBorder="1" applyAlignment="1">
      <alignment horizontal="right" vertical="center"/>
    </xf>
    <xf numFmtId="176" fontId="2" fillId="5" borderId="25" xfId="0" applyNumberFormat="1" applyFont="1" applyFill="1" applyBorder="1" applyAlignment="1">
      <alignment horizontal="right" vertical="center"/>
    </xf>
    <xf numFmtId="176" fontId="2" fillId="0" borderId="25" xfId="0" applyNumberFormat="1" applyFont="1" applyBorder="1" applyAlignment="1">
      <alignment horizontal="right" vertical="center"/>
    </xf>
    <xf numFmtId="176" fontId="2" fillId="0" borderId="16" xfId="0" quotePrefix="1" applyNumberFormat="1" applyFont="1" applyBorder="1" applyAlignment="1">
      <alignment horizontal="center" vertical="center"/>
    </xf>
    <xf numFmtId="176" fontId="2" fillId="0" borderId="16" xfId="0" quotePrefix="1" applyNumberFormat="1" applyFont="1" applyBorder="1" applyAlignment="1">
      <alignment horizontal="right" vertical="center"/>
    </xf>
    <xf numFmtId="176" fontId="2" fillId="5" borderId="16" xfId="0" quotePrefix="1" applyNumberFormat="1" applyFont="1" applyFill="1" applyBorder="1" applyAlignment="1">
      <alignment horizontal="right" vertical="center"/>
    </xf>
    <xf numFmtId="176" fontId="2" fillId="0" borderId="16" xfId="0" applyNumberFormat="1" applyFont="1" applyBorder="1" applyAlignment="1">
      <alignment horizontal="right" vertical="center"/>
    </xf>
    <xf numFmtId="0" fontId="2" fillId="4" borderId="1" xfId="0" applyFont="1" applyFill="1" applyBorder="1">
      <alignment vertical="center"/>
    </xf>
    <xf numFmtId="181" fontId="2" fillId="4" borderId="1" xfId="0" applyNumberFormat="1" applyFont="1" applyFill="1" applyBorder="1">
      <alignment vertical="center"/>
    </xf>
    <xf numFmtId="177" fontId="0" fillId="0" borderId="0" xfId="0" applyNumberFormat="1">
      <alignment vertical="center"/>
    </xf>
    <xf numFmtId="177" fontId="2" fillId="0" borderId="11" xfId="0" applyNumberFormat="1" applyFont="1" applyBorder="1">
      <alignment vertical="center"/>
    </xf>
    <xf numFmtId="176" fontId="3" fillId="5" borderId="6" xfId="0" applyNumberFormat="1" applyFont="1" applyFill="1" applyBorder="1" applyAlignment="1">
      <alignment horizontal="right" vertical="center"/>
    </xf>
    <xf numFmtId="10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7" fontId="2" fillId="4" borderId="1" xfId="0" applyNumberFormat="1" applyFont="1" applyFill="1" applyBorder="1">
      <alignment vertical="center"/>
    </xf>
    <xf numFmtId="176" fontId="2" fillId="5" borderId="6" xfId="0" applyNumberFormat="1" applyFont="1" applyFill="1" applyBorder="1" applyAlignment="1">
      <alignment horizontal="right" vertical="center"/>
    </xf>
    <xf numFmtId="177" fontId="2" fillId="5" borderId="6" xfId="0" applyNumberFormat="1" applyFont="1" applyFill="1" applyBorder="1" applyAlignment="1">
      <alignment horizontal="right" vertical="center"/>
    </xf>
    <xf numFmtId="41" fontId="12" fillId="0" borderId="1" xfId="2" applyFont="1" applyFill="1" applyBorder="1" applyAlignment="1">
      <alignment vertical="center"/>
    </xf>
    <xf numFmtId="179" fontId="2" fillId="0" borderId="6" xfId="0" applyNumberFormat="1" applyFont="1" applyBorder="1" applyAlignment="1">
      <alignment horizontal="right" vertical="center"/>
    </xf>
    <xf numFmtId="0" fontId="14" fillId="0" borderId="0" xfId="1" applyFont="1">
      <alignment vertical="center"/>
    </xf>
    <xf numFmtId="0" fontId="10" fillId="0" borderId="0" xfId="1" applyFont="1">
      <alignment vertical="center"/>
    </xf>
    <xf numFmtId="0" fontId="16" fillId="0" borderId="0" xfId="1" applyFont="1" applyAlignment="1">
      <alignment horizontal="center" vertical="center"/>
    </xf>
    <xf numFmtId="49" fontId="17" fillId="0" borderId="14" xfId="1" applyNumberFormat="1" applyFont="1" applyBorder="1">
      <alignment vertical="center"/>
    </xf>
    <xf numFmtId="49" fontId="18" fillId="0" borderId="14" xfId="1" applyNumberFormat="1" applyFont="1" applyBorder="1" applyAlignment="1">
      <alignment horizontal="center" vertical="center"/>
    </xf>
    <xf numFmtId="0" fontId="8" fillId="0" borderId="0" xfId="1" applyFont="1">
      <alignment vertical="center"/>
    </xf>
    <xf numFmtId="0" fontId="10" fillId="0" borderId="0" xfId="1" applyFont="1" applyAlignment="1">
      <alignment horizontal="center" vertical="center"/>
    </xf>
    <xf numFmtId="176" fontId="2" fillId="0" borderId="6" xfId="0" applyNumberFormat="1" applyFont="1" applyBorder="1" applyAlignment="1">
      <alignment horizontal="right" vertical="center"/>
    </xf>
    <xf numFmtId="180" fontId="11" fillId="9" borderId="1" xfId="0" applyNumberFormat="1" applyFont="1" applyFill="1" applyBorder="1">
      <alignment vertical="center"/>
    </xf>
    <xf numFmtId="176" fontId="8" fillId="0" borderId="1" xfId="0" applyNumberFormat="1" applyFont="1" applyBorder="1">
      <alignment vertical="center"/>
    </xf>
    <xf numFmtId="182" fontId="8" fillId="0" borderId="1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77" fontId="2" fillId="5" borderId="2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1" xfId="0" applyFont="1" applyFill="1" applyBorder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41" fontId="11" fillId="9" borderId="1" xfId="2" applyFont="1" applyFill="1" applyBorder="1" applyAlignment="1">
      <alignment vertical="center"/>
    </xf>
    <xf numFmtId="182" fontId="11" fillId="0" borderId="1" xfId="0" applyNumberFormat="1" applyFont="1" applyBorder="1" applyAlignment="1">
      <alignment horizontal="center" vertical="center"/>
    </xf>
    <xf numFmtId="182" fontId="12" fillId="0" borderId="1" xfId="0" applyNumberFormat="1" applyFont="1" applyBorder="1" applyAlignment="1">
      <alignment horizontal="center" vertical="center"/>
    </xf>
    <xf numFmtId="177" fontId="22" fillId="0" borderId="1" xfId="0" applyNumberFormat="1" applyFont="1" applyBorder="1" applyAlignment="1">
      <alignment horizontal="center" vertical="center"/>
    </xf>
    <xf numFmtId="176" fontId="11" fillId="3" borderId="1" xfId="0" applyNumberFormat="1" applyFont="1" applyFill="1" applyBorder="1" applyAlignment="1">
      <alignment horizontal="center" vertical="center"/>
    </xf>
    <xf numFmtId="176" fontId="11" fillId="7" borderId="1" xfId="0" applyNumberFormat="1" applyFont="1" applyFill="1" applyBorder="1" applyAlignment="1">
      <alignment horizontal="right" vertical="center"/>
    </xf>
    <xf numFmtId="177" fontId="11" fillId="3" borderId="1" xfId="0" applyNumberFormat="1" applyFont="1" applyFill="1" applyBorder="1" applyAlignment="1">
      <alignment horizontal="center" vertical="center"/>
    </xf>
    <xf numFmtId="177" fontId="11" fillId="7" borderId="1" xfId="0" applyNumberFormat="1" applyFont="1" applyFill="1" applyBorder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/>
    </xf>
    <xf numFmtId="9" fontId="2" fillId="5" borderId="2" xfId="0" quotePrefix="1" applyNumberFormat="1" applyFont="1" applyFill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177" fontId="25" fillId="0" borderId="1" xfId="0" applyNumberFormat="1" applyFont="1" applyBorder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>
      <alignment vertical="center"/>
    </xf>
    <xf numFmtId="3" fontId="26" fillId="0" borderId="1" xfId="0" applyNumberFormat="1" applyFont="1" applyBorder="1" applyAlignment="1">
      <alignment horizontal="center" vertical="center"/>
    </xf>
    <xf numFmtId="176" fontId="26" fillId="5" borderId="1" xfId="0" applyNumberFormat="1" applyFont="1" applyFill="1" applyBorder="1" applyAlignment="1">
      <alignment horizontal="center" vertical="center"/>
    </xf>
    <xf numFmtId="0" fontId="26" fillId="10" borderId="1" xfId="0" applyFont="1" applyFill="1" applyBorder="1">
      <alignment vertical="center"/>
    </xf>
    <xf numFmtId="177" fontId="26" fillId="10" borderId="1" xfId="0" applyNumberFormat="1" applyFont="1" applyFill="1" applyBorder="1" applyAlignment="1">
      <alignment horizontal="center" vertical="center"/>
    </xf>
    <xf numFmtId="176" fontId="26" fillId="0" borderId="1" xfId="0" applyNumberFormat="1" applyFont="1" applyBorder="1" applyAlignment="1">
      <alignment horizontal="center" vertical="center"/>
    </xf>
    <xf numFmtId="9" fontId="26" fillId="10" borderId="1" xfId="0" applyNumberFormat="1" applyFont="1" applyFill="1" applyBorder="1" applyAlignment="1">
      <alignment horizontal="center" vertical="center"/>
    </xf>
    <xf numFmtId="0" fontId="27" fillId="4" borderId="1" xfId="0" applyFont="1" applyFill="1" applyBorder="1">
      <alignment vertical="center"/>
    </xf>
    <xf numFmtId="3" fontId="27" fillId="4" borderId="1" xfId="0" applyNumberFormat="1" applyFont="1" applyFill="1" applyBorder="1" applyAlignment="1">
      <alignment horizontal="center" vertical="center"/>
    </xf>
    <xf numFmtId="176" fontId="27" fillId="4" borderId="1" xfId="0" applyNumberFormat="1" applyFont="1" applyFill="1" applyBorder="1" applyAlignment="1">
      <alignment horizontal="center" vertical="center"/>
    </xf>
    <xf numFmtId="0" fontId="26" fillId="4" borderId="1" xfId="0" applyFont="1" applyFill="1" applyBorder="1">
      <alignment vertical="center"/>
    </xf>
    <xf numFmtId="9" fontId="26" fillId="4" borderId="1" xfId="0" applyNumberFormat="1" applyFont="1" applyFill="1" applyBorder="1" applyAlignment="1">
      <alignment horizontal="center" vertical="center"/>
    </xf>
    <xf numFmtId="0" fontId="26" fillId="0" borderId="0" xfId="0" applyFont="1" applyAlignment="1"/>
    <xf numFmtId="9" fontId="26" fillId="0" borderId="15" xfId="0" applyNumberFormat="1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176" fontId="27" fillId="0" borderId="15" xfId="0" applyNumberFormat="1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26" fillId="10" borderId="28" xfId="0" applyFont="1" applyFill="1" applyBorder="1" applyAlignment="1">
      <alignment horizontal="center" vertical="center"/>
    </xf>
    <xf numFmtId="177" fontId="26" fillId="4" borderId="1" xfId="0" applyNumberFormat="1" applyFont="1" applyFill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179" fontId="2" fillId="5" borderId="6" xfId="0" applyNumberFormat="1" applyFont="1" applyFill="1" applyBorder="1" applyAlignment="1">
      <alignment horizontal="right" vertical="center"/>
    </xf>
    <xf numFmtId="179" fontId="2" fillId="5" borderId="1" xfId="0" applyNumberFormat="1" applyFont="1" applyFill="1" applyBorder="1" applyAlignment="1">
      <alignment horizontal="right" vertical="center"/>
    </xf>
    <xf numFmtId="179" fontId="3" fillId="5" borderId="6" xfId="0" applyNumberFormat="1" applyFont="1" applyFill="1" applyBorder="1" applyAlignment="1">
      <alignment horizontal="right" vertical="center"/>
    </xf>
    <xf numFmtId="179" fontId="3" fillId="5" borderId="1" xfId="0" applyNumberFormat="1" applyFont="1" applyFill="1" applyBorder="1" applyAlignment="1">
      <alignment horizontal="right" vertical="center"/>
    </xf>
    <xf numFmtId="178" fontId="3" fillId="5" borderId="1" xfId="0" applyNumberFormat="1" applyFont="1" applyFill="1" applyBorder="1" applyAlignment="1">
      <alignment horizontal="right" vertical="center"/>
    </xf>
    <xf numFmtId="176" fontId="3" fillId="6" borderId="16" xfId="0" applyNumberFormat="1" applyFont="1" applyFill="1" applyBorder="1" applyAlignment="1">
      <alignment horizontal="right" vertical="center"/>
    </xf>
    <xf numFmtId="178" fontId="3" fillId="6" borderId="16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Alignment="1">
      <alignment horizontal="center" vertical="center"/>
    </xf>
    <xf numFmtId="177" fontId="29" fillId="4" borderId="1" xfId="0" applyNumberFormat="1" applyFont="1" applyFill="1" applyBorder="1" applyAlignment="1">
      <alignment horizontal="center" vertical="center"/>
    </xf>
    <xf numFmtId="0" fontId="26" fillId="0" borderId="8" xfId="0" applyFont="1" applyBorder="1">
      <alignment vertical="center"/>
    </xf>
    <xf numFmtId="176" fontId="26" fillId="0" borderId="3" xfId="0" applyNumberFormat="1" applyFont="1" applyBorder="1" applyAlignment="1">
      <alignment horizontal="center" vertical="center"/>
    </xf>
    <xf numFmtId="9" fontId="26" fillId="10" borderId="2" xfId="0" applyNumberFormat="1" applyFont="1" applyFill="1" applyBorder="1" applyAlignment="1">
      <alignment horizontal="center" vertical="center"/>
    </xf>
    <xf numFmtId="0" fontId="26" fillId="10" borderId="8" xfId="0" applyFont="1" applyFill="1" applyBorder="1">
      <alignment vertical="center"/>
    </xf>
    <xf numFmtId="176" fontId="26" fillId="0" borderId="6" xfId="0" applyNumberFormat="1" applyFont="1" applyBorder="1" applyAlignment="1">
      <alignment horizontal="center" vertical="center"/>
    </xf>
    <xf numFmtId="0" fontId="26" fillId="10" borderId="1" xfId="0" applyFont="1" applyFill="1" applyBorder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/>
    </xf>
    <xf numFmtId="177" fontId="30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5" xfId="0" quotePrefix="1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176" fontId="26" fillId="0" borderId="2" xfId="0" applyNumberFormat="1" applyFont="1" applyBorder="1" applyAlignment="1">
      <alignment horizontal="center" vertical="center"/>
    </xf>
    <xf numFmtId="41" fontId="11" fillId="0" borderId="1" xfId="2" applyFont="1" applyFill="1" applyBorder="1" applyAlignment="1">
      <alignment vertical="center"/>
    </xf>
    <xf numFmtId="177" fontId="11" fillId="0" borderId="1" xfId="0" applyNumberFormat="1" applyFont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179" fontId="2" fillId="0" borderId="1" xfId="0" applyNumberFormat="1" applyFont="1" applyBorder="1">
      <alignment vertical="center"/>
    </xf>
    <xf numFmtId="177" fontId="2" fillId="6" borderId="16" xfId="0" quotePrefix="1" applyNumberFormat="1" applyFont="1" applyFill="1" applyBorder="1" applyAlignment="1">
      <alignment horizontal="center" vertical="center"/>
    </xf>
    <xf numFmtId="38" fontId="11" fillId="9" borderId="1" xfId="0" applyNumberFormat="1" applyFont="1" applyFill="1" applyBorder="1">
      <alignment vertical="center"/>
    </xf>
    <xf numFmtId="9" fontId="26" fillId="10" borderId="29" xfId="0" applyNumberFormat="1" applyFont="1" applyFill="1" applyBorder="1" applyAlignment="1">
      <alignment horizontal="center" vertical="center"/>
    </xf>
    <xf numFmtId="176" fontId="26" fillId="0" borderId="29" xfId="0" applyNumberFormat="1" applyFont="1" applyBorder="1" applyAlignment="1">
      <alignment horizontal="center" vertical="center"/>
    </xf>
    <xf numFmtId="176" fontId="26" fillId="0" borderId="28" xfId="0" applyNumberFormat="1" applyFont="1" applyBorder="1" applyAlignment="1">
      <alignment horizontal="center" vertical="center"/>
    </xf>
    <xf numFmtId="9" fontId="26" fillId="10" borderId="28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 wrapText="1"/>
    </xf>
    <xf numFmtId="177" fontId="26" fillId="10" borderId="2" xfId="0" applyNumberFormat="1" applyFont="1" applyFill="1" applyBorder="1" applyAlignment="1">
      <alignment horizontal="center" vertical="center"/>
    </xf>
    <xf numFmtId="41" fontId="32" fillId="0" borderId="1" xfId="2" applyFont="1" applyFill="1" applyBorder="1" applyAlignment="1">
      <alignment vertical="center"/>
    </xf>
    <xf numFmtId="183" fontId="2" fillId="0" borderId="0" xfId="0" applyNumberFormat="1" applyFont="1">
      <alignment vertical="center"/>
    </xf>
    <xf numFmtId="0" fontId="2" fillId="12" borderId="1" xfId="0" applyFont="1" applyFill="1" applyBorder="1">
      <alignment vertical="center"/>
    </xf>
    <xf numFmtId="178" fontId="2" fillId="12" borderId="1" xfId="0" applyNumberFormat="1" applyFont="1" applyFill="1" applyBorder="1">
      <alignment vertical="center"/>
    </xf>
    <xf numFmtId="176" fontId="2" fillId="12" borderId="1" xfId="0" applyNumberFormat="1" applyFont="1" applyFill="1" applyBorder="1">
      <alignment vertical="center"/>
    </xf>
    <xf numFmtId="176" fontId="2" fillId="12" borderId="1" xfId="0" applyNumberFormat="1" applyFont="1" applyFill="1" applyBorder="1" applyAlignment="1">
      <alignment horizontal="right" vertical="center"/>
    </xf>
    <xf numFmtId="3" fontId="2" fillId="12" borderId="1" xfId="0" applyNumberFormat="1" applyFont="1" applyFill="1" applyBorder="1" applyAlignment="1">
      <alignment horizontal="center" vertical="center"/>
    </xf>
    <xf numFmtId="176" fontId="2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12" borderId="33" xfId="0" applyFont="1" applyFill="1" applyBorder="1" applyAlignment="1">
      <alignment horizontal="center" vertical="center"/>
    </xf>
    <xf numFmtId="3" fontId="2" fillId="12" borderId="34" xfId="0" applyNumberFormat="1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177" fontId="2" fillId="0" borderId="34" xfId="0" applyNumberFormat="1" applyFont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177" fontId="2" fillId="0" borderId="36" xfId="0" applyNumberFormat="1" applyFont="1" applyBorder="1" applyAlignment="1">
      <alignment horizontal="center" vertical="center"/>
    </xf>
    <xf numFmtId="177" fontId="2" fillId="0" borderId="37" xfId="0" applyNumberFormat="1" applyFont="1" applyBorder="1" applyAlignment="1">
      <alignment horizontal="center" vertical="center"/>
    </xf>
    <xf numFmtId="0" fontId="26" fillId="0" borderId="30" xfId="0" applyFont="1" applyBorder="1" applyAlignment="1">
      <alignment vertical="center" wrapText="1"/>
    </xf>
    <xf numFmtId="0" fontId="26" fillId="0" borderId="32" xfId="0" applyFont="1" applyBorder="1" applyAlignment="1">
      <alignment horizontal="center" vertical="center"/>
    </xf>
    <xf numFmtId="0" fontId="26" fillId="0" borderId="33" xfId="0" applyFont="1" applyBorder="1">
      <alignment vertical="center"/>
    </xf>
    <xf numFmtId="0" fontId="26" fillId="10" borderId="33" xfId="0" applyFont="1" applyFill="1" applyBorder="1">
      <alignment vertical="center"/>
    </xf>
    <xf numFmtId="9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76" fontId="27" fillId="0" borderId="0" xfId="0" applyNumberFormat="1" applyFont="1" applyAlignment="1">
      <alignment horizontal="center" vertical="center"/>
    </xf>
    <xf numFmtId="0" fontId="26" fillId="0" borderId="30" xfId="0" applyFont="1" applyBorder="1">
      <alignment vertical="center"/>
    </xf>
    <xf numFmtId="176" fontId="26" fillId="0" borderId="31" xfId="0" applyNumberFormat="1" applyFont="1" applyBorder="1" applyAlignment="1">
      <alignment horizontal="center" vertical="center"/>
    </xf>
    <xf numFmtId="3" fontId="26" fillId="0" borderId="31" xfId="0" applyNumberFormat="1" applyFont="1" applyBorder="1" applyAlignment="1">
      <alignment horizontal="center" vertical="center"/>
    </xf>
    <xf numFmtId="0" fontId="26" fillId="0" borderId="43" xfId="0" applyFont="1" applyBorder="1">
      <alignment vertical="center"/>
    </xf>
    <xf numFmtId="0" fontId="26" fillId="10" borderId="43" xfId="0" applyFont="1" applyFill="1" applyBorder="1">
      <alignment vertical="center"/>
    </xf>
    <xf numFmtId="0" fontId="26" fillId="10" borderId="45" xfId="0" applyFont="1" applyFill="1" applyBorder="1">
      <alignment vertical="center"/>
    </xf>
    <xf numFmtId="9" fontId="26" fillId="10" borderId="16" xfId="0" applyNumberFormat="1" applyFont="1" applyFill="1" applyBorder="1" applyAlignment="1">
      <alignment horizontal="center" vertical="center"/>
    </xf>
    <xf numFmtId="177" fontId="26" fillId="10" borderId="16" xfId="0" applyNumberFormat="1" applyFont="1" applyFill="1" applyBorder="1" applyAlignment="1">
      <alignment horizontal="center" vertical="center"/>
    </xf>
    <xf numFmtId="0" fontId="2" fillId="0" borderId="0" xfId="0" applyFont="1" applyAlignment="1"/>
    <xf numFmtId="176" fontId="2" fillId="0" borderId="3" xfId="0" applyNumberFormat="1" applyFont="1" applyBorder="1">
      <alignment vertical="center"/>
    </xf>
    <xf numFmtId="0" fontId="2" fillId="0" borderId="2" xfId="0" applyFont="1" applyBorder="1">
      <alignment vertical="center"/>
    </xf>
    <xf numFmtId="177" fontId="2" fillId="0" borderId="2" xfId="0" applyNumberFormat="1" applyFont="1" applyBorder="1">
      <alignment vertical="center"/>
    </xf>
    <xf numFmtId="0" fontId="2" fillId="12" borderId="30" xfId="0" applyFont="1" applyFill="1" applyBorder="1">
      <alignment vertical="center"/>
    </xf>
    <xf numFmtId="176" fontId="2" fillId="12" borderId="31" xfId="0" applyNumberFormat="1" applyFont="1" applyFill="1" applyBorder="1">
      <alignment vertical="center"/>
    </xf>
    <xf numFmtId="0" fontId="2" fillId="12" borderId="31" xfId="0" applyFont="1" applyFill="1" applyBorder="1">
      <alignment vertical="center"/>
    </xf>
    <xf numFmtId="0" fontId="2" fillId="12" borderId="32" xfId="0" applyFont="1" applyFill="1" applyBorder="1">
      <alignment vertical="center"/>
    </xf>
    <xf numFmtId="0" fontId="2" fillId="12" borderId="33" xfId="0" applyFont="1" applyFill="1" applyBorder="1">
      <alignment vertical="center"/>
    </xf>
    <xf numFmtId="0" fontId="2" fillId="12" borderId="34" xfId="0" applyFont="1" applyFill="1" applyBorder="1">
      <alignment vertical="center"/>
    </xf>
    <xf numFmtId="0" fontId="2" fillId="0" borderId="33" xfId="0" applyFont="1" applyBorder="1">
      <alignment vertical="center"/>
    </xf>
    <xf numFmtId="176" fontId="2" fillId="0" borderId="34" xfId="0" applyNumberFormat="1" applyFont="1" applyBorder="1">
      <alignment vertical="center"/>
    </xf>
    <xf numFmtId="0" fontId="2" fillId="0" borderId="35" xfId="0" applyFont="1" applyBorder="1">
      <alignment vertical="center"/>
    </xf>
    <xf numFmtId="177" fontId="2" fillId="0" borderId="36" xfId="0" applyNumberFormat="1" applyFont="1" applyBorder="1">
      <alignment vertical="center"/>
    </xf>
    <xf numFmtId="177" fontId="2" fillId="0" borderId="37" xfId="0" applyNumberFormat="1" applyFont="1" applyBorder="1">
      <alignment vertical="center"/>
    </xf>
    <xf numFmtId="178" fontId="2" fillId="0" borderId="3" xfId="0" applyNumberFormat="1" applyFont="1" applyBorder="1">
      <alignment vertical="center"/>
    </xf>
    <xf numFmtId="177" fontId="2" fillId="0" borderId="3" xfId="0" applyNumberFormat="1" applyFont="1" applyBorder="1">
      <alignment vertical="center"/>
    </xf>
    <xf numFmtId="178" fontId="2" fillId="12" borderId="31" xfId="0" applyNumberFormat="1" applyFont="1" applyFill="1" applyBorder="1">
      <alignment vertical="center"/>
    </xf>
    <xf numFmtId="178" fontId="2" fillId="0" borderId="34" xfId="0" applyNumberFormat="1" applyFont="1" applyBorder="1">
      <alignment vertical="center"/>
    </xf>
    <xf numFmtId="0" fontId="27" fillId="12" borderId="44" xfId="0" applyFont="1" applyFill="1" applyBorder="1">
      <alignment vertical="center"/>
    </xf>
    <xf numFmtId="3" fontId="27" fillId="12" borderId="6" xfId="0" applyNumberFormat="1" applyFont="1" applyFill="1" applyBorder="1" applyAlignment="1">
      <alignment horizontal="center" vertical="center"/>
    </xf>
    <xf numFmtId="0" fontId="26" fillId="12" borderId="35" xfId="0" applyFont="1" applyFill="1" applyBorder="1">
      <alignment vertical="center"/>
    </xf>
    <xf numFmtId="9" fontId="26" fillId="12" borderId="36" xfId="0" applyNumberFormat="1" applyFont="1" applyFill="1" applyBorder="1" applyAlignment="1">
      <alignment horizontal="center" vertical="center"/>
    </xf>
    <xf numFmtId="176" fontId="27" fillId="12" borderId="6" xfId="0" applyNumberFormat="1" applyFont="1" applyFill="1" applyBorder="1" applyAlignment="1">
      <alignment horizontal="center" vertical="center"/>
    </xf>
    <xf numFmtId="177" fontId="29" fillId="12" borderId="36" xfId="0" applyNumberFormat="1" applyFont="1" applyFill="1" applyBorder="1" applyAlignment="1">
      <alignment horizontal="center" vertical="center"/>
    </xf>
    <xf numFmtId="176" fontId="2" fillId="5" borderId="6" xfId="0" applyNumberFormat="1" applyFont="1" applyFill="1" applyBorder="1">
      <alignment vertical="center"/>
    </xf>
    <xf numFmtId="0" fontId="2" fillId="13" borderId="0" xfId="0" applyFont="1" applyFill="1">
      <alignment vertical="center"/>
    </xf>
    <xf numFmtId="184" fontId="3" fillId="0" borderId="1" xfId="0" applyNumberFormat="1" applyFont="1" applyBorder="1" applyAlignment="1"/>
    <xf numFmtId="9" fontId="0" fillId="0" borderId="0" xfId="7" applyFont="1">
      <alignment vertical="center"/>
    </xf>
    <xf numFmtId="181" fontId="2" fillId="0" borderId="0" xfId="0" applyNumberFormat="1" applyFont="1">
      <alignment vertical="center"/>
    </xf>
    <xf numFmtId="178" fontId="2" fillId="0" borderId="1" xfId="0" quotePrefix="1" applyNumberFormat="1" applyFont="1" applyBorder="1" applyAlignment="1">
      <alignment horizontal="center" vertical="center"/>
    </xf>
    <xf numFmtId="177" fontId="26" fillId="12" borderId="36" xfId="0" applyNumberFormat="1" applyFont="1" applyFill="1" applyBorder="1" applyAlignment="1">
      <alignment horizontal="center" vertical="center"/>
    </xf>
    <xf numFmtId="185" fontId="2" fillId="12" borderId="1" xfId="8" applyNumberFormat="1" applyFont="1" applyFill="1" applyBorder="1" applyAlignment="1">
      <alignment horizontal="center" vertical="center"/>
    </xf>
    <xf numFmtId="177" fontId="2" fillId="0" borderId="6" xfId="0" applyNumberFormat="1" applyFont="1" applyBorder="1" applyAlignment="1">
      <alignment horizontal="right" vertical="center"/>
    </xf>
    <xf numFmtId="0" fontId="3" fillId="0" borderId="0" xfId="0" applyFont="1">
      <alignment vertical="center"/>
    </xf>
    <xf numFmtId="0" fontId="2" fillId="0" borderId="47" xfId="0" applyFont="1" applyBorder="1">
      <alignment vertical="center"/>
    </xf>
    <xf numFmtId="177" fontId="2" fillId="0" borderId="40" xfId="0" applyNumberFormat="1" applyFont="1" applyBorder="1">
      <alignment vertical="center"/>
    </xf>
    <xf numFmtId="0" fontId="2" fillId="12" borderId="50" xfId="0" applyFont="1" applyFill="1" applyBorder="1">
      <alignment vertical="center"/>
    </xf>
    <xf numFmtId="177" fontId="2" fillId="0" borderId="55" xfId="0" applyNumberFormat="1" applyFont="1" applyBorder="1">
      <alignment vertical="center"/>
    </xf>
    <xf numFmtId="0" fontId="2" fillId="12" borderId="56" xfId="0" applyFont="1" applyFill="1" applyBorder="1">
      <alignment vertical="center"/>
    </xf>
    <xf numFmtId="178" fontId="2" fillId="0" borderId="54" xfId="0" applyNumberFormat="1" applyFont="1" applyBorder="1">
      <alignment vertical="center"/>
    </xf>
    <xf numFmtId="0" fontId="2" fillId="0" borderId="59" xfId="0" applyFont="1" applyBorder="1">
      <alignment vertical="center"/>
    </xf>
    <xf numFmtId="177" fontId="2" fillId="0" borderId="60" xfId="0" applyNumberFormat="1" applyFont="1" applyBorder="1">
      <alignment vertical="center"/>
    </xf>
    <xf numFmtId="177" fontId="2" fillId="0" borderId="61" xfId="0" applyNumberFormat="1" applyFont="1" applyBorder="1">
      <alignment vertical="center"/>
    </xf>
    <xf numFmtId="177" fontId="2" fillId="5" borderId="6" xfId="0" quotePrefix="1" applyNumberFormat="1" applyFont="1" applyFill="1" applyBorder="1" applyAlignment="1">
      <alignment horizontal="right" vertical="center"/>
    </xf>
    <xf numFmtId="178" fontId="2" fillId="5" borderId="1" xfId="0" applyNumberFormat="1" applyFont="1" applyFill="1" applyBorder="1">
      <alignment vertical="center"/>
    </xf>
    <xf numFmtId="177" fontId="3" fillId="6" borderId="16" xfId="0" applyNumberFormat="1" applyFont="1" applyFill="1" applyBorder="1" applyAlignment="1">
      <alignment horizontal="right" vertical="center"/>
    </xf>
    <xf numFmtId="177" fontId="29" fillId="12" borderId="62" xfId="0" applyNumberFormat="1" applyFont="1" applyFill="1" applyBorder="1" applyAlignment="1">
      <alignment horizontal="center" vertical="center"/>
    </xf>
    <xf numFmtId="0" fontId="0" fillId="0" borderId="0" xfId="0" quotePrefix="1">
      <alignment vertical="center"/>
    </xf>
    <xf numFmtId="0" fontId="36" fillId="5" borderId="1" xfId="0" applyFont="1" applyFill="1" applyBorder="1">
      <alignment vertical="center"/>
    </xf>
    <xf numFmtId="177" fontId="2" fillId="6" borderId="6" xfId="0" applyNumberFormat="1" applyFont="1" applyFill="1" applyBorder="1" applyAlignment="1">
      <alignment horizontal="center" vertical="center"/>
    </xf>
    <xf numFmtId="176" fontId="2" fillId="6" borderId="20" xfId="0" applyNumberFormat="1" applyFont="1" applyFill="1" applyBorder="1" applyAlignment="1">
      <alignment horizontal="center" vertical="center"/>
    </xf>
    <xf numFmtId="9" fontId="2" fillId="6" borderId="20" xfId="0" applyNumberFormat="1" applyFont="1" applyFill="1" applyBorder="1" applyAlignment="1">
      <alignment horizontal="center" vertical="center"/>
    </xf>
    <xf numFmtId="176" fontId="2" fillId="6" borderId="6" xfId="0" applyNumberFormat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8" fillId="2" borderId="8" xfId="1" applyFont="1" applyFill="1" applyBorder="1">
      <alignment vertical="center"/>
    </xf>
    <xf numFmtId="0" fontId="8" fillId="2" borderId="15" xfId="1" applyFont="1" applyFill="1" applyBorder="1">
      <alignment vertical="center"/>
    </xf>
    <xf numFmtId="0" fontId="8" fillId="2" borderId="3" xfId="1" applyFont="1" applyFill="1" applyBorder="1">
      <alignment vertical="center"/>
    </xf>
    <xf numFmtId="0" fontId="8" fillId="2" borderId="2" xfId="1" applyFont="1" applyFill="1" applyBorder="1" applyAlignment="1">
      <alignment vertical="center" wrapText="1"/>
    </xf>
    <xf numFmtId="0" fontId="24" fillId="14" borderId="1" xfId="0" applyFont="1" applyFill="1" applyBorder="1" applyAlignment="1">
      <alignment horizontal="center" vertical="center"/>
    </xf>
    <xf numFmtId="0" fontId="40" fillId="11" borderId="0" xfId="1" applyFont="1" applyFill="1">
      <alignment vertical="center"/>
    </xf>
    <xf numFmtId="0" fontId="3" fillId="13" borderId="1" xfId="0" applyFont="1" applyFill="1" applyBorder="1">
      <alignment vertical="center"/>
    </xf>
    <xf numFmtId="180" fontId="8" fillId="9" borderId="1" xfId="0" applyNumberFormat="1" applyFont="1" applyFill="1" applyBorder="1">
      <alignment vertical="center"/>
    </xf>
    <xf numFmtId="180" fontId="8" fillId="14" borderId="1" xfId="0" applyNumberFormat="1" applyFont="1" applyFill="1" applyBorder="1">
      <alignment vertical="center"/>
    </xf>
    <xf numFmtId="180" fontId="8" fillId="3" borderId="1" xfId="9" applyNumberFormat="1" applyFont="1" applyFill="1" applyBorder="1" applyAlignment="1">
      <alignment vertical="center"/>
    </xf>
    <xf numFmtId="41" fontId="8" fillId="9" borderId="1" xfId="9" applyFont="1" applyFill="1" applyBorder="1" applyAlignment="1">
      <alignment vertical="center"/>
    </xf>
    <xf numFmtId="180" fontId="2" fillId="12" borderId="51" xfId="0" applyNumberFormat="1" applyFont="1" applyFill="1" applyBorder="1">
      <alignment vertical="center"/>
    </xf>
    <xf numFmtId="180" fontId="2" fillId="12" borderId="52" xfId="0" applyNumberFormat="1" applyFont="1" applyFill="1" applyBorder="1">
      <alignment vertical="center"/>
    </xf>
    <xf numFmtId="180" fontId="2" fillId="12" borderId="1" xfId="0" applyNumberFormat="1" applyFont="1" applyFill="1" applyBorder="1">
      <alignment vertical="center"/>
    </xf>
    <xf numFmtId="180" fontId="2" fillId="12" borderId="54" xfId="0" applyNumberFormat="1" applyFont="1" applyFill="1" applyBorder="1">
      <alignment vertical="center"/>
    </xf>
    <xf numFmtId="180" fontId="2" fillId="0" borderId="1" xfId="0" applyNumberFormat="1" applyFont="1" applyBorder="1">
      <alignment vertical="center"/>
    </xf>
    <xf numFmtId="180" fontId="2" fillId="0" borderId="54" xfId="0" applyNumberFormat="1" applyFont="1" applyBorder="1">
      <alignment vertical="center"/>
    </xf>
    <xf numFmtId="0" fontId="2" fillId="0" borderId="25" xfId="0" applyFont="1" applyBorder="1">
      <alignment vertical="center"/>
    </xf>
    <xf numFmtId="177" fontId="11" fillId="0" borderId="15" xfId="0" applyNumberFormat="1" applyFont="1" applyBorder="1" applyAlignment="1">
      <alignment horizontal="center" vertical="center"/>
    </xf>
    <xf numFmtId="41" fontId="11" fillId="0" borderId="15" xfId="2" applyFont="1" applyFill="1" applyBorder="1" applyAlignment="1">
      <alignment vertical="center"/>
    </xf>
    <xf numFmtId="180" fontId="43" fillId="9" borderId="1" xfId="0" applyNumberFormat="1" applyFont="1" applyFill="1" applyBorder="1">
      <alignment vertical="center"/>
    </xf>
    <xf numFmtId="180" fontId="8" fillId="3" borderId="1" xfId="9" applyNumberFormat="1" applyFont="1" applyFill="1" applyBorder="1" applyAlignment="1">
      <alignment horizontal="center" vertical="center"/>
    </xf>
    <xf numFmtId="177" fontId="2" fillId="6" borderId="2" xfId="0" quotePrefix="1" applyNumberFormat="1" applyFont="1" applyFill="1" applyBorder="1" applyAlignment="1">
      <alignment horizontal="right" vertical="center"/>
    </xf>
    <xf numFmtId="177" fontId="2" fillId="6" borderId="20" xfId="0" applyNumberFormat="1" applyFont="1" applyFill="1" applyBorder="1" applyAlignment="1">
      <alignment horizontal="right" vertical="center"/>
    </xf>
    <xf numFmtId="0" fontId="2" fillId="6" borderId="16" xfId="0" applyFont="1" applyFill="1" applyBorder="1" applyAlignment="1">
      <alignment horizontal="center" vertical="center"/>
    </xf>
    <xf numFmtId="177" fontId="2" fillId="6" borderId="5" xfId="0" quotePrefix="1" applyNumberFormat="1" applyFont="1" applyFill="1" applyBorder="1" applyAlignment="1">
      <alignment horizontal="center" vertical="center"/>
    </xf>
    <xf numFmtId="177" fontId="2" fillId="6" borderId="5" xfId="0" applyNumberFormat="1" applyFont="1" applyFill="1" applyBorder="1" applyAlignment="1">
      <alignment horizontal="center" vertical="center"/>
    </xf>
    <xf numFmtId="177" fontId="2" fillId="6" borderId="20" xfId="0" applyNumberFormat="1" applyFont="1" applyFill="1" applyBorder="1" applyAlignment="1">
      <alignment horizontal="center" vertical="center"/>
    </xf>
    <xf numFmtId="176" fontId="2" fillId="6" borderId="2" xfId="0" quotePrefix="1" applyNumberFormat="1" applyFont="1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textRotation="255"/>
    </xf>
    <xf numFmtId="0" fontId="2" fillId="0" borderId="1" xfId="0" applyFont="1" applyBorder="1" applyAlignment="1">
      <alignment horizontal="center" vertical="center" textRotation="255"/>
    </xf>
    <xf numFmtId="0" fontId="2" fillId="0" borderId="2" xfId="0" applyFont="1" applyBorder="1" applyAlignment="1">
      <alignment horizontal="center" vertical="center" textRotation="255"/>
    </xf>
    <xf numFmtId="0" fontId="2" fillId="0" borderId="16" xfId="0" applyFont="1" applyBorder="1" applyAlignment="1">
      <alignment horizontal="center" vertical="center" textRotation="255"/>
    </xf>
    <xf numFmtId="0" fontId="2" fillId="5" borderId="6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5" borderId="5" xfId="0" applyFont="1" applyFill="1" applyBorder="1" applyAlignment="1">
      <alignment horizontal="center" vertical="center" textRotation="255"/>
    </xf>
    <xf numFmtId="0" fontId="2" fillId="5" borderId="20" xfId="0" applyFont="1" applyFill="1" applyBorder="1" applyAlignment="1">
      <alignment horizontal="center" vertical="center" textRotation="255"/>
    </xf>
    <xf numFmtId="0" fontId="2" fillId="5" borderId="6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2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 wrapText="1"/>
    </xf>
    <xf numFmtId="177" fontId="2" fillId="5" borderId="22" xfId="0" applyNumberFormat="1" applyFont="1" applyFill="1" applyBorder="1" applyAlignment="1">
      <alignment horizontal="right" vertical="center"/>
    </xf>
    <xf numFmtId="177" fontId="2" fillId="5" borderId="6" xfId="0" applyNumberFormat="1" applyFont="1" applyFill="1" applyBorder="1" applyAlignment="1">
      <alignment horizontal="right" vertical="center"/>
    </xf>
    <xf numFmtId="0" fontId="2" fillId="6" borderId="16" xfId="0" applyFont="1" applyFill="1" applyBorder="1" applyAlignment="1">
      <alignment horizontal="left" vertical="center"/>
    </xf>
    <xf numFmtId="9" fontId="2" fillId="8" borderId="2" xfId="0" quotePrefix="1" applyNumberFormat="1" applyFont="1" applyFill="1" applyBorder="1" applyAlignment="1">
      <alignment horizontal="right" vertical="center"/>
    </xf>
    <xf numFmtId="9" fontId="2" fillId="8" borderId="20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79" fontId="2" fillId="5" borderId="22" xfId="0" applyNumberFormat="1" applyFont="1" applyFill="1" applyBorder="1" applyAlignment="1">
      <alignment horizontal="right" vertical="center"/>
    </xf>
    <xf numFmtId="179" fontId="0" fillId="0" borderId="6" xfId="0" applyNumberFormat="1" applyBorder="1" applyAlignment="1">
      <alignment horizontal="right" vertical="center"/>
    </xf>
    <xf numFmtId="178" fontId="2" fillId="5" borderId="22" xfId="0" applyNumberFormat="1" applyFont="1" applyFill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0" fontId="2" fillId="5" borderId="22" xfId="0" applyFont="1" applyFill="1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2" fillId="0" borderId="13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184" fontId="2" fillId="5" borderId="22" xfId="6" applyNumberFormat="1" applyFont="1" applyFill="1" applyBorder="1" applyAlignment="1">
      <alignment horizontal="right" vertical="center"/>
    </xf>
    <xf numFmtId="184" fontId="2" fillId="5" borderId="6" xfId="6" applyNumberFormat="1" applyFont="1" applyFill="1" applyBorder="1" applyAlignment="1">
      <alignment horizontal="right" vertical="center"/>
    </xf>
    <xf numFmtId="177" fontId="2" fillId="0" borderId="5" xfId="0" applyNumberFormat="1" applyFont="1" applyBorder="1" applyAlignment="1">
      <alignment horizontal="right" vertical="center"/>
    </xf>
    <xf numFmtId="177" fontId="2" fillId="0" borderId="6" xfId="0" applyNumberFormat="1" applyFont="1" applyBorder="1" applyAlignment="1">
      <alignment horizontal="right" vertical="center"/>
    </xf>
    <xf numFmtId="178" fontId="3" fillId="5" borderId="2" xfId="0" applyNumberFormat="1" applyFont="1" applyFill="1" applyBorder="1" applyAlignment="1">
      <alignment horizontal="right" vertical="center"/>
    </xf>
    <xf numFmtId="178" fontId="3" fillId="5" borderId="5" xfId="0" applyNumberFormat="1" applyFont="1" applyFill="1" applyBorder="1" applyAlignment="1">
      <alignment horizontal="right" vertical="center"/>
    </xf>
    <xf numFmtId="178" fontId="3" fillId="5" borderId="6" xfId="0" applyNumberFormat="1" applyFont="1" applyFill="1" applyBorder="1" applyAlignment="1">
      <alignment horizontal="right" vertical="center"/>
    </xf>
    <xf numFmtId="177" fontId="3" fillId="5" borderId="2" xfId="0" applyNumberFormat="1" applyFont="1" applyFill="1" applyBorder="1" applyAlignment="1">
      <alignment horizontal="right" vertical="center"/>
    </xf>
    <xf numFmtId="177" fontId="3" fillId="5" borderId="5" xfId="0" applyNumberFormat="1" applyFont="1" applyFill="1" applyBorder="1" applyAlignment="1">
      <alignment horizontal="right" vertical="center"/>
    </xf>
    <xf numFmtId="177" fontId="3" fillId="5" borderId="6" xfId="0" applyNumberFormat="1" applyFont="1" applyFill="1" applyBorder="1" applyAlignment="1">
      <alignment horizontal="right" vertical="center"/>
    </xf>
    <xf numFmtId="178" fontId="2" fillId="0" borderId="2" xfId="0" applyNumberFormat="1" applyFont="1" applyBorder="1" applyAlignment="1">
      <alignment horizontal="right" vertical="center"/>
    </xf>
    <xf numFmtId="178" fontId="2" fillId="0" borderId="5" xfId="0" applyNumberFormat="1" applyFont="1" applyBorder="1" applyAlignment="1">
      <alignment horizontal="right" vertical="center"/>
    </xf>
    <xf numFmtId="178" fontId="2" fillId="0" borderId="6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 textRotation="255"/>
    </xf>
    <xf numFmtId="0" fontId="2" fillId="0" borderId="20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179" fontId="2" fillId="0" borderId="22" xfId="0" applyNumberFormat="1" applyFont="1" applyBorder="1" applyAlignment="1">
      <alignment horizontal="right" vertical="center"/>
    </xf>
    <xf numFmtId="179" fontId="2" fillId="0" borderId="6" xfId="0" applyNumberFormat="1" applyFont="1" applyBorder="1" applyAlignment="1">
      <alignment horizontal="right" vertical="center"/>
    </xf>
    <xf numFmtId="177" fontId="2" fillId="5" borderId="5" xfId="0" applyNumberFormat="1" applyFont="1" applyFill="1" applyBorder="1" applyAlignment="1">
      <alignment horizontal="right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center" vertical="center" textRotation="255"/>
    </xf>
    <xf numFmtId="0" fontId="3" fillId="5" borderId="1" xfId="0" applyFont="1" applyFill="1" applyBorder="1" applyAlignment="1">
      <alignment horizontal="center" vertical="center" textRotation="255"/>
    </xf>
    <xf numFmtId="0" fontId="3" fillId="5" borderId="16" xfId="0" applyFont="1" applyFill="1" applyBorder="1" applyAlignment="1">
      <alignment horizontal="center" vertical="center" textRotation="255"/>
    </xf>
    <xf numFmtId="0" fontId="3" fillId="5" borderId="1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12" xfId="0" applyFont="1" applyFill="1" applyBorder="1" applyAlignment="1">
      <alignment horizontal="left" vertical="center"/>
    </xf>
    <xf numFmtId="178" fontId="2" fillId="0" borderId="22" xfId="0" applyNumberFormat="1" applyFont="1" applyBorder="1" applyAlignment="1">
      <alignment horizontal="right" vertical="center"/>
    </xf>
    <xf numFmtId="0" fontId="3" fillId="5" borderId="9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left" vertical="center"/>
    </xf>
    <xf numFmtId="0" fontId="3" fillId="5" borderId="19" xfId="0" applyFont="1" applyFill="1" applyBorder="1" applyAlignment="1">
      <alignment horizontal="left" vertical="center"/>
    </xf>
    <xf numFmtId="0" fontId="3" fillId="5" borderId="18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6" borderId="19" xfId="0" applyFont="1" applyFill="1" applyBorder="1">
      <alignment vertical="center"/>
    </xf>
    <xf numFmtId="0" fontId="2" fillId="6" borderId="18" xfId="0" applyFont="1" applyFill="1" applyBorder="1">
      <alignment vertical="center"/>
    </xf>
    <xf numFmtId="176" fontId="2" fillId="5" borderId="22" xfId="0" quotePrefix="1" applyNumberFormat="1" applyFont="1" applyFill="1" applyBorder="1" applyAlignment="1">
      <alignment horizontal="right" vertical="center"/>
    </xf>
    <xf numFmtId="176" fontId="2" fillId="5" borderId="6" xfId="0" quotePrefix="1" applyNumberFormat="1" applyFont="1" applyFill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76" fontId="2" fillId="0" borderId="2" xfId="0" quotePrefix="1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5" borderId="2" xfId="0" quotePrefix="1" applyNumberFormat="1" applyFont="1" applyFill="1" applyBorder="1" applyAlignment="1">
      <alignment horizontal="right" vertical="center"/>
    </xf>
    <xf numFmtId="176" fontId="2" fillId="0" borderId="5" xfId="0" quotePrefix="1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top"/>
    </xf>
    <xf numFmtId="0" fontId="5" fillId="0" borderId="14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6" borderId="17" xfId="0" applyFont="1" applyFill="1" applyBorder="1">
      <alignment vertical="center"/>
    </xf>
    <xf numFmtId="0" fontId="2" fillId="0" borderId="22" xfId="0" applyFont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76" fontId="26" fillId="0" borderId="40" xfId="0" applyNumberFormat="1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3" fontId="27" fillId="12" borderId="42" xfId="0" applyNumberFormat="1" applyFont="1" applyFill="1" applyBorder="1" applyAlignment="1">
      <alignment horizontal="center" vertical="center"/>
    </xf>
    <xf numFmtId="0" fontId="0" fillId="12" borderId="39" xfId="0" applyFill="1" applyBorder="1" applyAlignment="1">
      <alignment horizontal="center" vertical="center"/>
    </xf>
    <xf numFmtId="3" fontId="26" fillId="0" borderId="40" xfId="0" applyNumberFormat="1" applyFont="1" applyBorder="1" applyAlignment="1">
      <alignment horizontal="center" vertical="center"/>
    </xf>
    <xf numFmtId="3" fontId="26" fillId="0" borderId="38" xfId="0" applyNumberFormat="1" applyFont="1" applyBorder="1" applyAlignment="1">
      <alignment horizontal="center" vertical="center"/>
    </xf>
    <xf numFmtId="3" fontId="27" fillId="4" borderId="2" xfId="0" applyNumberFormat="1" applyFont="1" applyFill="1" applyBorder="1" applyAlignment="1">
      <alignment horizontal="center" vertical="center"/>
    </xf>
    <xf numFmtId="176" fontId="26" fillId="0" borderId="2" xfId="0" applyNumberFormat="1" applyFont="1" applyBorder="1" applyAlignment="1">
      <alignment horizontal="center" vertical="center"/>
    </xf>
    <xf numFmtId="3" fontId="26" fillId="0" borderId="2" xfId="0" applyNumberFormat="1" applyFont="1" applyBorder="1" applyAlignment="1">
      <alignment horizontal="center" vertical="center"/>
    </xf>
    <xf numFmtId="176" fontId="26" fillId="0" borderId="6" xfId="0" applyNumberFormat="1" applyFont="1" applyBorder="1" applyAlignment="1">
      <alignment horizontal="center" vertical="center"/>
    </xf>
    <xf numFmtId="3" fontId="26" fillId="0" borderId="6" xfId="0" applyNumberFormat="1" applyFont="1" applyBorder="1" applyAlignment="1">
      <alignment horizontal="center" vertical="center"/>
    </xf>
    <xf numFmtId="3" fontId="27" fillId="4" borderId="6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 wrapText="1"/>
    </xf>
    <xf numFmtId="176" fontId="11" fillId="0" borderId="2" xfId="0" applyNumberFormat="1" applyFont="1" applyBorder="1" applyAlignment="1">
      <alignment horizontal="center" vertical="center"/>
    </xf>
    <xf numFmtId="176" fontId="11" fillId="0" borderId="5" xfId="0" applyNumberFormat="1" applyFont="1" applyBorder="1" applyAlignment="1">
      <alignment horizontal="center" vertical="center"/>
    </xf>
    <xf numFmtId="176" fontId="11" fillId="0" borderId="6" xfId="0" applyNumberFormat="1" applyFont="1" applyBorder="1" applyAlignment="1">
      <alignment horizontal="center" vertical="center"/>
    </xf>
    <xf numFmtId="41" fontId="11" fillId="0" borderId="8" xfId="2" applyFont="1" applyFill="1" applyBorder="1" applyAlignment="1">
      <alignment vertical="center"/>
    </xf>
    <xf numFmtId="0" fontId="0" fillId="0" borderId="15" xfId="0" applyBorder="1">
      <alignment vertical="center"/>
    </xf>
    <xf numFmtId="0" fontId="0" fillId="0" borderId="3" xfId="0" applyBorder="1">
      <alignment vertical="center"/>
    </xf>
    <xf numFmtId="41" fontId="11" fillId="0" borderId="8" xfId="2" applyFont="1" applyFill="1" applyBorder="1" applyAlignment="1">
      <alignment horizontal="center" vertical="center"/>
    </xf>
    <xf numFmtId="41" fontId="11" fillId="0" borderId="15" xfId="2" applyFont="1" applyFill="1" applyBorder="1" applyAlignment="1">
      <alignment horizontal="center" vertical="center"/>
    </xf>
    <xf numFmtId="41" fontId="11" fillId="0" borderId="3" xfId="2" applyFont="1" applyFill="1" applyBorder="1" applyAlignment="1">
      <alignment horizontal="center" vertical="center"/>
    </xf>
    <xf numFmtId="177" fontId="11" fillId="0" borderId="8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7" fontId="11" fillId="0" borderId="15" xfId="0" applyNumberFormat="1" applyFont="1" applyBorder="1" applyAlignment="1">
      <alignment horizontal="center" vertical="center"/>
    </xf>
    <xf numFmtId="177" fontId="11" fillId="0" borderId="3" xfId="0" applyNumberFormat="1" applyFont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>
      <alignment horizontal="center" vertical="center" wrapText="1"/>
    </xf>
    <xf numFmtId="41" fontId="11" fillId="0" borderId="15" xfId="2" applyFont="1" applyFill="1" applyBorder="1" applyAlignment="1">
      <alignment vertical="center"/>
    </xf>
    <xf numFmtId="41" fontId="11" fillId="0" borderId="3" xfId="2" applyFont="1" applyFill="1" applyBorder="1" applyAlignment="1">
      <alignment vertical="center"/>
    </xf>
    <xf numFmtId="176" fontId="11" fillId="0" borderId="2" xfId="0" applyNumberFormat="1" applyFont="1" applyBorder="1" applyAlignment="1">
      <alignment horizontal="right" vertical="center"/>
    </xf>
    <xf numFmtId="176" fontId="11" fillId="0" borderId="5" xfId="0" applyNumberFormat="1" applyFont="1" applyBorder="1" applyAlignment="1">
      <alignment horizontal="right" vertical="center"/>
    </xf>
    <xf numFmtId="176" fontId="11" fillId="0" borderId="6" xfId="0" applyNumberFormat="1" applyFont="1" applyBorder="1" applyAlignment="1">
      <alignment horizontal="right" vertical="center"/>
    </xf>
    <xf numFmtId="0" fontId="9" fillId="11" borderId="2" xfId="1" applyFont="1" applyFill="1" applyBorder="1" applyAlignment="1">
      <alignment horizontal="center" vertical="center" wrapText="1"/>
    </xf>
    <xf numFmtId="0" fontId="9" fillId="11" borderId="5" xfId="1" applyFont="1" applyFill="1" applyBorder="1" applyAlignment="1">
      <alignment horizontal="center" vertical="center" wrapText="1"/>
    </xf>
    <xf numFmtId="0" fontId="9" fillId="11" borderId="6" xfId="1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 wrapText="1"/>
    </xf>
    <xf numFmtId="0" fontId="9" fillId="11" borderId="6" xfId="0" applyFont="1" applyFill="1" applyBorder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49" fontId="17" fillId="0" borderId="14" xfId="1" applyNumberFormat="1" applyFont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 wrapText="1"/>
    </xf>
    <xf numFmtId="0" fontId="9" fillId="14" borderId="6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8" fillId="14" borderId="6" xfId="0" applyFont="1" applyFill="1" applyBorder="1" applyAlignment="1">
      <alignment horizontal="center" vertical="center" wrapText="1"/>
    </xf>
    <xf numFmtId="0" fontId="2" fillId="0" borderId="48" xfId="0" applyFont="1" applyBorder="1" applyAlignment="1">
      <alignment horizontal="center" vertical="center" textRotation="255"/>
    </xf>
    <xf numFmtId="0" fontId="2" fillId="0" borderId="53" xfId="0" applyFont="1" applyBorder="1" applyAlignment="1">
      <alignment horizontal="center" vertical="center" textRotation="255"/>
    </xf>
    <xf numFmtId="0" fontId="2" fillId="0" borderId="57" xfId="0" applyFont="1" applyBorder="1" applyAlignment="1">
      <alignment horizontal="center" vertical="center" textRotation="255"/>
    </xf>
    <xf numFmtId="0" fontId="36" fillId="0" borderId="49" xfId="0" applyFont="1" applyBorder="1" applyAlignment="1">
      <alignment horizontal="left" vertical="center"/>
    </xf>
    <xf numFmtId="0" fontId="36" fillId="0" borderId="8" xfId="0" applyFont="1" applyBorder="1" applyAlignment="1">
      <alignment horizontal="left" vertical="center"/>
    </xf>
    <xf numFmtId="0" fontId="37" fillId="0" borderId="8" xfId="0" applyFont="1" applyBorder="1" applyAlignment="1">
      <alignment horizontal="left" vertical="center" wrapText="1"/>
    </xf>
    <xf numFmtId="0" fontId="37" fillId="0" borderId="8" xfId="0" applyFont="1" applyBorder="1" applyAlignment="1">
      <alignment horizontal="left" vertical="center"/>
    </xf>
    <xf numFmtId="0" fontId="37" fillId="0" borderId="5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37" fillId="0" borderId="9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0">
    <cellStyle name="一般" xfId="0" builtinId="0"/>
    <cellStyle name="一般 2" xfId="1" xr:uid="{00000000-0005-0000-0000-000001000000}"/>
    <cellStyle name="一般 3" xfId="3" xr:uid="{00000000-0005-0000-0000-000002000000}"/>
    <cellStyle name="千分位" xfId="8" builtinId="3"/>
    <cellStyle name="千分位[0]" xfId="9" builtinId="6"/>
    <cellStyle name="千分位[0] 2" xfId="2" xr:uid="{00000000-0005-0000-0000-000004000000}"/>
    <cellStyle name="千分位[0] 2 2" xfId="4" xr:uid="{00000000-0005-0000-0000-000005000000}"/>
    <cellStyle name="千分位[0] 2 3" xfId="5" xr:uid="{00000000-0005-0000-0000-000006000000}"/>
    <cellStyle name="百分比" xfId="7" builtinId="5"/>
    <cellStyle name="貨幣" xfId="6" builtinId="4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571500</xdr:colOff>
      <xdr:row>21</xdr:row>
      <xdr:rowOff>190500</xdr:rowOff>
    </xdr:from>
    <xdr:to>
      <xdr:col>37</xdr:col>
      <xdr:colOff>110066</xdr:colOff>
      <xdr:row>27</xdr:row>
      <xdr:rowOff>46567</xdr:rowOff>
    </xdr:to>
    <xdr:sp macro="" textlink="">
      <xdr:nvSpPr>
        <xdr:cNvPr id="2" name="橢圓 1">
          <a:extLst>
            <a:ext uri="{FF2B5EF4-FFF2-40B4-BE49-F238E27FC236}">
              <a16:creationId xmlns:a16="http://schemas.microsoft.com/office/drawing/2014/main" id="{CEAA4F32-C03F-4120-809F-C1C42484C2FD}"/>
            </a:ext>
          </a:extLst>
        </xdr:cNvPr>
        <xdr:cNvSpPr/>
      </xdr:nvSpPr>
      <xdr:spPr>
        <a:xfrm>
          <a:off x="24568150" y="3498850"/>
          <a:ext cx="757766" cy="1151467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61"/>
  <sheetViews>
    <sheetView tabSelected="1" zoomScale="82" zoomScaleNormal="82" workbookViewId="0">
      <pane xSplit="6" ySplit="2" topLeftCell="O3" activePane="bottomRight" state="frozen"/>
      <selection pane="topRight" activeCell="G1" sqref="G1"/>
      <selection pane="bottomLeft" activeCell="A3" sqref="A3"/>
      <selection pane="bottomRight" activeCell="Q46" sqref="Q46:R46"/>
    </sheetView>
  </sheetViews>
  <sheetFormatPr defaultColWidth="8.875" defaultRowHeight="15.75"/>
  <cols>
    <col min="1" max="1" width="8.625" style="1" customWidth="1"/>
    <col min="2" max="2" width="9.875" style="1" customWidth="1"/>
    <col min="3" max="3" width="6.5" style="1" customWidth="1"/>
    <col min="4" max="4" width="9.875" style="1" customWidth="1"/>
    <col min="5" max="5" width="13.5" style="1" customWidth="1"/>
    <col min="6" max="6" width="11.875" style="1" customWidth="1"/>
    <col min="7" max="11" width="15.625" style="6" customWidth="1"/>
    <col min="12" max="18" width="15.625" style="1" customWidth="1"/>
    <col min="19" max="19" width="15.625" style="6" customWidth="1"/>
    <col min="20" max="20" width="11.875" style="25" bestFit="1" customWidth="1"/>
    <col min="21" max="16384" width="8.875" style="1"/>
  </cols>
  <sheetData>
    <row r="1" spans="1:25" ht="54.6" customHeight="1">
      <c r="A1" s="369" t="s">
        <v>0</v>
      </c>
      <c r="B1" s="370"/>
      <c r="C1" s="370"/>
      <c r="D1" s="370"/>
      <c r="E1" s="370"/>
      <c r="F1" s="370"/>
      <c r="G1" s="370"/>
      <c r="H1" s="370"/>
      <c r="I1" s="370"/>
      <c r="J1" s="370"/>
      <c r="K1" s="370"/>
      <c r="L1" s="370"/>
      <c r="M1" s="370"/>
      <c r="N1" s="370"/>
      <c r="O1" s="370"/>
      <c r="P1" s="370"/>
      <c r="Q1" s="370"/>
      <c r="R1" s="370"/>
      <c r="S1" s="370"/>
      <c r="T1" s="370"/>
    </row>
    <row r="2" spans="1:25" ht="20.100000000000001" customHeight="1">
      <c r="A2" s="371" t="s">
        <v>1</v>
      </c>
      <c r="B2" s="371"/>
      <c r="C2" s="371"/>
      <c r="D2" s="371"/>
      <c r="E2" s="136" t="s">
        <v>2</v>
      </c>
      <c r="F2" s="135" t="s">
        <v>3</v>
      </c>
      <c r="G2" s="135" t="s">
        <v>4</v>
      </c>
      <c r="H2" s="135" t="s">
        <v>5</v>
      </c>
      <c r="I2" s="135" t="s">
        <v>6</v>
      </c>
      <c r="J2" s="135" t="s">
        <v>7</v>
      </c>
      <c r="K2" s="135" t="s">
        <v>8</v>
      </c>
      <c r="L2" s="135" t="s">
        <v>9</v>
      </c>
      <c r="M2" s="135" t="s">
        <v>10</v>
      </c>
      <c r="N2" s="135" t="s">
        <v>11</v>
      </c>
      <c r="O2" s="135" t="s">
        <v>12</v>
      </c>
      <c r="P2" s="135" t="s">
        <v>13</v>
      </c>
      <c r="Q2" s="135" t="s">
        <v>14</v>
      </c>
      <c r="R2" s="135" t="s">
        <v>15</v>
      </c>
      <c r="S2" s="135" t="s">
        <v>16</v>
      </c>
      <c r="T2" s="139" t="s">
        <v>17</v>
      </c>
      <c r="Y2" s="1">
        <v>12</v>
      </c>
    </row>
    <row r="3" spans="1:25" ht="20.100000000000001" customHeight="1">
      <c r="A3" s="362" t="s">
        <v>18</v>
      </c>
      <c r="B3" s="372"/>
      <c r="C3" s="372"/>
      <c r="D3" s="363"/>
      <c r="E3" s="10" t="s">
        <v>19</v>
      </c>
      <c r="F3" s="10" t="s">
        <v>19</v>
      </c>
      <c r="G3" s="11">
        <v>98</v>
      </c>
      <c r="H3" s="11">
        <v>96</v>
      </c>
      <c r="I3" s="11">
        <v>96</v>
      </c>
      <c r="J3" s="11">
        <v>93</v>
      </c>
      <c r="K3" s="11">
        <v>93</v>
      </c>
      <c r="L3" s="11">
        <v>96</v>
      </c>
      <c r="M3" s="11">
        <v>105</v>
      </c>
      <c r="N3" s="11">
        <v>101</v>
      </c>
      <c r="O3" s="11">
        <v>102</v>
      </c>
      <c r="P3" s="11">
        <v>100</v>
      </c>
      <c r="Q3" s="11">
        <v>106</v>
      </c>
      <c r="R3" s="11">
        <v>110</v>
      </c>
      <c r="S3" s="71">
        <f t="shared" ref="S3:S23" si="0">AVERAGE(G3:R3)</f>
        <v>99.666666666666671</v>
      </c>
      <c r="T3" s="24" t="s">
        <v>19</v>
      </c>
      <c r="U3" s="226" t="s">
        <v>20</v>
      </c>
    </row>
    <row r="4" spans="1:25" ht="20.100000000000001" customHeight="1">
      <c r="A4" s="281" t="s">
        <v>21</v>
      </c>
      <c r="B4" s="298" t="s">
        <v>22</v>
      </c>
      <c r="C4" s="364" t="s">
        <v>23</v>
      </c>
      <c r="D4" s="311"/>
      <c r="E4" s="365" t="s">
        <v>19</v>
      </c>
      <c r="F4" s="365" t="s">
        <v>19</v>
      </c>
      <c r="G4" s="71">
        <f>'進貨點數(同期比)'!B53</f>
        <v>129842</v>
      </c>
      <c r="H4" s="71">
        <f>'進貨點數(同期比)'!C53</f>
        <v>102438</v>
      </c>
      <c r="I4" s="71">
        <f>'進貨點數(同期比)'!D53</f>
        <v>99561</v>
      </c>
      <c r="J4" s="71">
        <f>'進貨點數(同期比)'!E53</f>
        <v>103426</v>
      </c>
      <c r="K4" s="71">
        <f>'進貨點數(同期比)'!F53</f>
        <v>75605</v>
      </c>
      <c r="L4" s="71">
        <f>'進貨點數(同期比)'!G53</f>
        <v>102232</v>
      </c>
      <c r="M4" s="71">
        <f>'進貨點數(同期比)'!H53</f>
        <v>98650</v>
      </c>
      <c r="N4" s="71">
        <f>'進貨點數(同期比)'!I53</f>
        <v>95964</v>
      </c>
      <c r="O4" s="71">
        <f>'進貨點數(同期比)'!J53</f>
        <v>94384</v>
      </c>
      <c r="P4" s="71">
        <f>'進貨點數(同期比)'!K53</f>
        <v>99547</v>
      </c>
      <c r="Q4" s="71">
        <f>'進貨點數(同期比)'!L53</f>
        <v>101320</v>
      </c>
      <c r="R4" s="71">
        <f>'進貨點數(同期比)'!M53</f>
        <v>100688</v>
      </c>
      <c r="S4" s="71">
        <f t="shared" si="0"/>
        <v>100304.75</v>
      </c>
      <c r="T4" s="367" t="s">
        <v>19</v>
      </c>
      <c r="U4" s="1" t="s">
        <v>24</v>
      </c>
    </row>
    <row r="5" spans="1:25" ht="20.100000000000001" customHeight="1">
      <c r="A5" s="333"/>
      <c r="B5" s="335"/>
      <c r="C5" s="12"/>
      <c r="D5" s="2" t="s">
        <v>25</v>
      </c>
      <c r="E5" s="366"/>
      <c r="F5" s="366"/>
      <c r="G5" s="13">
        <f>'進貨點數(同期比)'!B55</f>
        <v>1.1711721463040634</v>
      </c>
      <c r="H5" s="13">
        <f>'進貨點數(同期比)'!C55</f>
        <v>1.3315741583257508</v>
      </c>
      <c r="I5" s="13">
        <f>'進貨點數(同期比)'!D55</f>
        <v>1.1038783927621074</v>
      </c>
      <c r="J5" s="13">
        <f>'進貨點數(同期比)'!E55</f>
        <v>1.0694557900505641</v>
      </c>
      <c r="K5" s="13">
        <f>'進貨點數(同期比)'!F55</f>
        <v>0.8058688098232748</v>
      </c>
      <c r="L5" s="13">
        <f>'進貨點數(同期比)'!G55</f>
        <v>1.0862801768106087</v>
      </c>
      <c r="M5" s="13">
        <f>'進貨點數(同期比)'!H55</f>
        <v>0.97809813700314296</v>
      </c>
      <c r="N5" s="13">
        <f>'進貨點數(同期比)'!I55</f>
        <v>1.0350317097372621</v>
      </c>
      <c r="O5" s="13">
        <f>'進貨點數(同期比)'!J55</f>
        <v>0.97900589162725082</v>
      </c>
      <c r="P5" s="13">
        <f>'進貨點數(同期比)'!K55</f>
        <v>0.98063302237151895</v>
      </c>
      <c r="Q5" s="13">
        <f>'進貨點數(同期比)'!L55</f>
        <v>1.0156273493649823</v>
      </c>
      <c r="R5" s="13">
        <f>'進貨點數(同期比)'!M55</f>
        <v>0.88129540481400437</v>
      </c>
      <c r="S5" s="13">
        <f t="shared" si="0"/>
        <v>1.036493415749544</v>
      </c>
      <c r="T5" s="361"/>
      <c r="U5" s="1" t="s">
        <v>26</v>
      </c>
    </row>
    <row r="6" spans="1:25" ht="20.100000000000001" customHeight="1">
      <c r="A6" s="333"/>
      <c r="B6" s="335"/>
      <c r="C6" s="364" t="s">
        <v>27</v>
      </c>
      <c r="D6" s="311"/>
      <c r="E6" s="365" t="s">
        <v>19</v>
      </c>
      <c r="F6" s="365" t="s">
        <v>19</v>
      </c>
      <c r="G6" s="71">
        <f>'進貨點數(同期比)'!B54</f>
        <v>1492848</v>
      </c>
      <c r="H6" s="71">
        <f>'進貨點數(同期比)'!C54</f>
        <v>1547363</v>
      </c>
      <c r="I6" s="71">
        <f>'進貨點數(同期比)'!D54</f>
        <v>1584863</v>
      </c>
      <c r="J6" s="71">
        <f>'進貨點數(同期比)'!E54</f>
        <v>1569348</v>
      </c>
      <c r="K6" s="71">
        <f>'進貨點數(同期比)'!F54</f>
        <v>1438634</v>
      </c>
      <c r="L6" s="71">
        <f>'進貨點數(同期比)'!G54</f>
        <v>1640073</v>
      </c>
      <c r="M6" s="71">
        <f>'進貨點數(同期比)'!H54</f>
        <v>1737019</v>
      </c>
      <c r="N6" s="71">
        <f>'進貨點數(同期比)'!I54</f>
        <v>1664088</v>
      </c>
      <c r="O6" s="71">
        <f>'進貨點數(同期比)'!J54</f>
        <v>1747272</v>
      </c>
      <c r="P6" s="71">
        <f>'進貨點數(同期比)'!K54</f>
        <v>1597388</v>
      </c>
      <c r="Q6" s="71">
        <f>'進貨點數(同期比)'!L54</f>
        <v>2143813</v>
      </c>
      <c r="R6" s="71">
        <f>'進貨點數(同期比)'!M54</f>
        <v>1922967</v>
      </c>
      <c r="S6" s="71">
        <f t="shared" si="0"/>
        <v>1673806.3333333333</v>
      </c>
      <c r="T6" s="367" t="s">
        <v>19</v>
      </c>
    </row>
    <row r="7" spans="1:25" ht="20.100000000000001" customHeight="1">
      <c r="A7" s="333"/>
      <c r="B7" s="335"/>
      <c r="C7" s="12"/>
      <c r="D7" s="2" t="s">
        <v>25</v>
      </c>
      <c r="E7" s="366"/>
      <c r="F7" s="366"/>
      <c r="G7" s="13">
        <f>'進貨點數(同期比)'!B56</f>
        <v>0.88989723710337276</v>
      </c>
      <c r="H7" s="13">
        <f>'進貨點數(同期比)'!C56</f>
        <v>1.2081345297852024</v>
      </c>
      <c r="I7" s="13">
        <f>'進貨點數(同期比)'!D56</f>
        <v>1.095861227774912</v>
      </c>
      <c r="J7" s="13">
        <f>'進貨點數(同期比)'!E56</f>
        <v>1.0650131519298998</v>
      </c>
      <c r="K7" s="13">
        <f>'進貨點數(同期比)'!F56</f>
        <v>0.97490422974831048</v>
      </c>
      <c r="L7" s="13">
        <f>'進貨點數(同期比)'!G56</f>
        <v>1.1353820529009104</v>
      </c>
      <c r="M7" s="13">
        <f>'進貨點數(同期比)'!H56</f>
        <v>1.0309287100118878</v>
      </c>
      <c r="N7" s="13">
        <f>'進貨點數(同期比)'!I56</f>
        <v>1.1208191245814831</v>
      </c>
      <c r="O7" s="13">
        <f>'進貨點數(同期比)'!J56</f>
        <v>1.2537776100275113</v>
      </c>
      <c r="P7" s="13">
        <f>'進貨點數(同期比)'!K56</f>
        <v>0.98104410064037961</v>
      </c>
      <c r="Q7" s="13">
        <f>'進貨點數(同期比)'!L56</f>
        <v>1.3194806553663971</v>
      </c>
      <c r="R7" s="13">
        <f>'進貨點數(同期比)'!M56</f>
        <v>1.080201416363282</v>
      </c>
      <c r="S7" s="13">
        <f t="shared" si="0"/>
        <v>1.0962870038527959</v>
      </c>
      <c r="T7" s="361"/>
    </row>
    <row r="8" spans="1:25" ht="20.100000000000001" customHeight="1" thickBot="1">
      <c r="A8" s="333"/>
      <c r="B8" s="373"/>
      <c r="C8" s="374" t="s">
        <v>28</v>
      </c>
      <c r="D8" s="359"/>
      <c r="E8" s="28" t="s">
        <v>19</v>
      </c>
      <c r="F8" s="28" t="s">
        <v>19</v>
      </c>
      <c r="G8" s="29">
        <f>加班時數!B7</f>
        <v>298.89999999999998</v>
      </c>
      <c r="H8" s="29">
        <f>加班時數!C7</f>
        <v>365.70000000000005</v>
      </c>
      <c r="I8" s="29">
        <f>加班時數!D7</f>
        <v>297.3</v>
      </c>
      <c r="J8" s="29">
        <f>加班時數!E7</f>
        <v>266.8</v>
      </c>
      <c r="K8" s="29">
        <f>加班時數!F7</f>
        <v>234.8</v>
      </c>
      <c r="L8" s="29">
        <f>加班時數!G7</f>
        <v>433.3</v>
      </c>
      <c r="M8" s="29">
        <f>加班時數!H7</f>
        <v>546.69999999999993</v>
      </c>
      <c r="N8" s="29">
        <f>加班時數!I7</f>
        <v>390.2</v>
      </c>
      <c r="O8" s="29">
        <f>加班時數!J7</f>
        <v>473.8</v>
      </c>
      <c r="P8" s="29">
        <f>加班時數!K7</f>
        <v>490.3</v>
      </c>
      <c r="Q8" s="29">
        <f>加班時數!L7</f>
        <v>534.1</v>
      </c>
      <c r="R8" s="29">
        <f>加班時數!M7</f>
        <v>232.1</v>
      </c>
      <c r="S8" s="30">
        <f t="shared" si="0"/>
        <v>380.33333333333343</v>
      </c>
      <c r="T8" s="31"/>
      <c r="U8" s="1" t="s">
        <v>29</v>
      </c>
    </row>
    <row r="9" spans="1:25" ht="20.100000000000001" customHeight="1" thickTop="1">
      <c r="A9" s="333"/>
      <c r="B9" s="375" t="s">
        <v>30</v>
      </c>
      <c r="C9" s="357" t="s">
        <v>23</v>
      </c>
      <c r="D9" s="337"/>
      <c r="E9" s="368" t="s">
        <v>19</v>
      </c>
      <c r="F9" s="368" t="s">
        <v>19</v>
      </c>
      <c r="G9" s="65">
        <f>'出貨點數(其他附件)'!B215</f>
        <v>339138</v>
      </c>
      <c r="H9" s="65">
        <f>'出貨點數(其他附件)'!C215</f>
        <v>341523</v>
      </c>
      <c r="I9" s="65">
        <f>'出貨點數(其他附件)'!D215</f>
        <v>376721</v>
      </c>
      <c r="J9" s="65">
        <f>'出貨點數(其他附件)'!E215</f>
        <v>341179</v>
      </c>
      <c r="K9" s="65">
        <f>'出貨點數(其他附件)'!F215</f>
        <v>345170</v>
      </c>
      <c r="L9" s="65">
        <f>'出貨點數(其他附件)'!G215</f>
        <v>365956</v>
      </c>
      <c r="M9" s="65">
        <f>'出貨點數(其他附件)'!H215</f>
        <v>393712</v>
      </c>
      <c r="N9" s="65">
        <f>'出貨點數(其他附件)'!I215</f>
        <v>367245</v>
      </c>
      <c r="O9" s="65">
        <f>'出貨點數(其他附件)'!J215</f>
        <v>354252</v>
      </c>
      <c r="P9" s="65">
        <f>'出貨點數(其他附件)'!K215</f>
        <v>362960</v>
      </c>
      <c r="Q9" s="65">
        <f>'出貨點數(其他附件)'!L215</f>
        <v>346741</v>
      </c>
      <c r="R9" s="65">
        <f>'出貨點數(其他附件)'!M215</f>
        <v>404546</v>
      </c>
      <c r="S9" s="71">
        <f t="shared" si="0"/>
        <v>361595.25</v>
      </c>
      <c r="T9" s="360" t="s">
        <v>19</v>
      </c>
      <c r="U9" s="1" t="s">
        <v>31</v>
      </c>
    </row>
    <row r="10" spans="1:25" ht="20.100000000000001" customHeight="1">
      <c r="A10" s="333"/>
      <c r="B10" s="309"/>
      <c r="C10" s="12"/>
      <c r="D10" s="2" t="s">
        <v>25</v>
      </c>
      <c r="E10" s="366"/>
      <c r="F10" s="366"/>
      <c r="G10" s="13">
        <f>'出貨點數(其他附件)'!B216</f>
        <v>0.79919782819761143</v>
      </c>
      <c r="H10" s="13">
        <f>'出貨點數(其他附件)'!C216</f>
        <v>1.1985996806289154</v>
      </c>
      <c r="I10" s="13">
        <f>'出貨點數(其他附件)'!D216</f>
        <v>1.017964023314319</v>
      </c>
      <c r="J10" s="13">
        <f>'出貨點數(其他附件)'!E216</f>
        <v>1.0032492928009786</v>
      </c>
      <c r="K10" s="13">
        <f>'出貨點數(其他附件)'!F216</f>
        <v>0.95810826565110951</v>
      </c>
      <c r="L10" s="13">
        <f>'出貨點數(其他附件)'!G216</f>
        <v>1.0851243002182369</v>
      </c>
      <c r="M10" s="13">
        <f>'出貨點數(其他附件)'!H216</f>
        <v>1.0252382688401647</v>
      </c>
      <c r="N10" s="13">
        <f>'出貨點數(其他附件)'!I216</f>
        <v>0.96499940877379686</v>
      </c>
      <c r="O10" s="13">
        <f>'出貨點數(其他附件)'!J216</f>
        <v>1.0275321963104769</v>
      </c>
      <c r="P10" s="13">
        <f>'出貨點數(其他附件)'!K216</f>
        <v>1.0137697958271654</v>
      </c>
      <c r="Q10" s="13">
        <f>'出貨點數(其他附件)'!L216</f>
        <v>0.90984733585586908</v>
      </c>
      <c r="R10" s="13">
        <f>'出貨點數(其他附件)'!M216</f>
        <v>0.99791066939981699</v>
      </c>
      <c r="S10" s="13">
        <f t="shared" si="0"/>
        <v>1.0001284221515383</v>
      </c>
      <c r="T10" s="361"/>
    </row>
    <row r="11" spans="1:25" ht="20.100000000000001" customHeight="1">
      <c r="A11" s="333"/>
      <c r="B11" s="309"/>
      <c r="C11" s="362" t="s">
        <v>32</v>
      </c>
      <c r="D11" s="363"/>
      <c r="E11" s="137" t="s">
        <v>19</v>
      </c>
      <c r="F11" s="137" t="s">
        <v>19</v>
      </c>
      <c r="G11" s="71">
        <v>78287</v>
      </c>
      <c r="H11" s="71">
        <v>79015</v>
      </c>
      <c r="I11" s="71">
        <v>82801</v>
      </c>
      <c r="J11" s="71">
        <v>75333</v>
      </c>
      <c r="K11" s="18">
        <v>73855</v>
      </c>
      <c r="L11" s="71">
        <v>79081</v>
      </c>
      <c r="M11" s="71">
        <v>90281</v>
      </c>
      <c r="N11" s="71">
        <v>83916</v>
      </c>
      <c r="O11" s="71">
        <v>79688</v>
      </c>
      <c r="P11" s="71">
        <v>82371</v>
      </c>
      <c r="Q11" s="71">
        <v>78230</v>
      </c>
      <c r="R11" s="71">
        <v>99363</v>
      </c>
      <c r="S11" s="71">
        <f t="shared" si="0"/>
        <v>81851.75</v>
      </c>
      <c r="T11" s="23"/>
      <c r="U11" s="1" t="s">
        <v>33</v>
      </c>
      <c r="V11" s="1" t="s">
        <v>34</v>
      </c>
    </row>
    <row r="12" spans="1:25" ht="20.100000000000001" customHeight="1">
      <c r="A12" s="333"/>
      <c r="B12" s="309"/>
      <c r="C12" s="364" t="s">
        <v>27</v>
      </c>
      <c r="D12" s="311"/>
      <c r="E12" s="365" t="s">
        <v>19</v>
      </c>
      <c r="F12" s="365" t="s">
        <v>19</v>
      </c>
      <c r="G12" s="71">
        <f>'出貨點數(其他附件)'!B234</f>
        <v>2533491</v>
      </c>
      <c r="H12" s="71">
        <f>'出貨點數(其他附件)'!C234</f>
        <v>2080755</v>
      </c>
      <c r="I12" s="71">
        <f>'出貨點數(其他附件)'!D234</f>
        <v>2480308</v>
      </c>
      <c r="J12" s="71">
        <f>'出貨點數(其他附件)'!E234</f>
        <v>2305800</v>
      </c>
      <c r="K12" s="71">
        <f>'出貨點數(其他附件)'!F234</f>
        <v>2427856</v>
      </c>
      <c r="L12" s="71">
        <f>'出貨點數(其他附件)'!G234</f>
        <v>2457339</v>
      </c>
      <c r="M12" s="71">
        <f>'出貨點數(其他附件)'!H234</f>
        <v>2652432</v>
      </c>
      <c r="N12" s="71">
        <f>'出貨點數(其他附件)'!I234</f>
        <v>2365728</v>
      </c>
      <c r="O12" s="71">
        <f>'出貨點數(其他附件)'!J234</f>
        <v>2396457</v>
      </c>
      <c r="P12" s="71">
        <f>'出貨點數(其他附件)'!K234</f>
        <v>2496738</v>
      </c>
      <c r="Q12" s="71">
        <f>'出貨點數(其他附件)'!L234</f>
        <v>2382162</v>
      </c>
      <c r="R12" s="71">
        <f>'出貨點數(其他附件)'!M234</f>
        <v>2769707</v>
      </c>
      <c r="S12" s="71">
        <f t="shared" si="0"/>
        <v>2445731.0833333335</v>
      </c>
      <c r="T12" s="367" t="s">
        <v>19</v>
      </c>
      <c r="U12" s="1" t="s">
        <v>31</v>
      </c>
    </row>
    <row r="13" spans="1:25" ht="20.100000000000001" customHeight="1">
      <c r="A13" s="333"/>
      <c r="B13" s="309"/>
      <c r="C13" s="12"/>
      <c r="D13" s="2" t="s">
        <v>25</v>
      </c>
      <c r="E13" s="366"/>
      <c r="F13" s="366"/>
      <c r="G13" s="13">
        <f>'出貨點數(其他附件)'!B235</f>
        <v>0.92004061484424626</v>
      </c>
      <c r="H13" s="13">
        <f>'出貨點數(其他附件)'!C235</f>
        <v>1.1098141309148164</v>
      </c>
      <c r="I13" s="13">
        <f>'出貨點數(其他附件)'!D235</f>
        <v>1.0096930710682732</v>
      </c>
      <c r="J13" s="13">
        <f>'出貨點數(其他附件)'!E235</f>
        <v>1.0277572000502779</v>
      </c>
      <c r="K13" s="13">
        <f>'出貨點數(其他附件)'!F235</f>
        <v>1.0022088705699266</v>
      </c>
      <c r="L13" s="13">
        <f>'出貨點數(其他附件)'!G235</f>
        <v>1.0465231859999029</v>
      </c>
      <c r="M13" s="13">
        <f>'出貨點數(其他附件)'!H235</f>
        <v>1.0403399459205469</v>
      </c>
      <c r="N13" s="13">
        <f>'出貨點數(其他附件)'!I235</f>
        <v>0.96951933196289997</v>
      </c>
      <c r="O13" s="13">
        <f>'出貨點數(其他附件)'!J235</f>
        <v>1.0552360948738779</v>
      </c>
      <c r="P13" s="13">
        <f>'出貨點數(其他附件)'!K235</f>
        <v>1.0688072451930732</v>
      </c>
      <c r="Q13" s="13">
        <f>'出貨點數(其他附件)'!L235</f>
        <v>0.96227896759578302</v>
      </c>
      <c r="R13" s="13">
        <f>'出貨點數(其他附件)'!M235</f>
        <v>0.99400126757540674</v>
      </c>
      <c r="S13" s="13">
        <f t="shared" si="0"/>
        <v>1.0171849938807525</v>
      </c>
      <c r="T13" s="361"/>
    </row>
    <row r="14" spans="1:25" ht="20.100000000000001" customHeight="1">
      <c r="A14" s="333"/>
      <c r="B14" s="309"/>
      <c r="C14" s="362" t="s">
        <v>35</v>
      </c>
      <c r="D14" s="363"/>
      <c r="E14" s="14" t="s">
        <v>19</v>
      </c>
      <c r="F14" s="14" t="s">
        <v>19</v>
      </c>
      <c r="G14" s="71">
        <v>549800</v>
      </c>
      <c r="H14" s="71">
        <v>431019</v>
      </c>
      <c r="I14" s="71">
        <v>488867</v>
      </c>
      <c r="J14" s="71">
        <v>424842</v>
      </c>
      <c r="K14" s="18">
        <v>445094</v>
      </c>
      <c r="L14" s="71">
        <v>475098</v>
      </c>
      <c r="M14" s="71">
        <v>496386</v>
      </c>
      <c r="N14" s="71">
        <v>432852</v>
      </c>
      <c r="O14" s="71">
        <v>448755</v>
      </c>
      <c r="P14" s="71">
        <v>487495</v>
      </c>
      <c r="Q14" s="71">
        <v>488841</v>
      </c>
      <c r="R14" s="71">
        <v>598700</v>
      </c>
      <c r="S14" s="71">
        <f t="shared" si="0"/>
        <v>480645.75</v>
      </c>
      <c r="T14" s="18"/>
      <c r="U14" s="1" t="s">
        <v>33</v>
      </c>
      <c r="V14" s="1" t="s">
        <v>36</v>
      </c>
    </row>
    <row r="15" spans="1:25" ht="20.100000000000001" customHeight="1" thickBot="1">
      <c r="A15" s="333"/>
      <c r="B15" s="310"/>
      <c r="C15" s="376" t="s">
        <v>28</v>
      </c>
      <c r="D15" s="377"/>
      <c r="E15" s="28" t="s">
        <v>19</v>
      </c>
      <c r="F15" s="28" t="s">
        <v>19</v>
      </c>
      <c r="G15" s="29">
        <f>加班時數!B18</f>
        <v>792.1</v>
      </c>
      <c r="H15" s="29">
        <f>加班時數!C18</f>
        <v>411.5</v>
      </c>
      <c r="I15" s="29">
        <f>加班時數!D18</f>
        <v>710.4</v>
      </c>
      <c r="J15" s="29">
        <f>加班時數!E18</f>
        <v>635.1</v>
      </c>
      <c r="K15" s="29">
        <f>加班時數!F18</f>
        <v>612.29999999999995</v>
      </c>
      <c r="L15" s="29">
        <f>加班時數!G18</f>
        <v>609.79999999999995</v>
      </c>
      <c r="M15" s="29">
        <f>加班時數!H18</f>
        <v>416.40000000000003</v>
      </c>
      <c r="N15" s="29">
        <f>加班時數!I18</f>
        <v>709</v>
      </c>
      <c r="O15" s="29">
        <f>加班時數!J18</f>
        <v>770.9</v>
      </c>
      <c r="P15" s="29">
        <f>加班時數!K18</f>
        <v>1026.5</v>
      </c>
      <c r="Q15" s="29">
        <f>加班時數!L18</f>
        <v>1011.5</v>
      </c>
      <c r="R15" s="29">
        <f>加班時數!M18</f>
        <v>1233</v>
      </c>
      <c r="S15" s="30">
        <f t="shared" si="0"/>
        <v>744.875</v>
      </c>
      <c r="T15" s="31"/>
    </row>
    <row r="16" spans="1:25" ht="20.100000000000001" customHeight="1" thickTop="1">
      <c r="A16" s="333"/>
      <c r="B16" s="375" t="s">
        <v>37</v>
      </c>
      <c r="C16" s="378" t="s">
        <v>38</v>
      </c>
      <c r="D16" s="379"/>
      <c r="E16" s="37" t="s">
        <v>19</v>
      </c>
      <c r="F16" s="37" t="s">
        <v>19</v>
      </c>
      <c r="G16" s="38">
        <v>797</v>
      </c>
      <c r="H16" s="38">
        <v>807</v>
      </c>
      <c r="I16" s="38">
        <v>1588</v>
      </c>
      <c r="J16" s="38">
        <v>561</v>
      </c>
      <c r="K16" s="38">
        <v>508</v>
      </c>
      <c r="L16" s="39">
        <v>763</v>
      </c>
      <c r="M16" s="39">
        <v>1065</v>
      </c>
      <c r="N16" s="39">
        <v>808</v>
      </c>
      <c r="O16" s="39">
        <v>868</v>
      </c>
      <c r="P16" s="39">
        <v>784</v>
      </c>
      <c r="Q16" s="39">
        <v>855</v>
      </c>
      <c r="R16" s="39">
        <v>913</v>
      </c>
      <c r="S16" s="40">
        <f t="shared" si="0"/>
        <v>859.75</v>
      </c>
      <c r="T16" s="38" t="s">
        <v>19</v>
      </c>
      <c r="U16" s="1" t="s">
        <v>39</v>
      </c>
    </row>
    <row r="17" spans="1:21" ht="20.100000000000001" customHeight="1" thickBot="1">
      <c r="A17" s="333"/>
      <c r="B17" s="310"/>
      <c r="C17" s="380" t="s">
        <v>40</v>
      </c>
      <c r="D17" s="381"/>
      <c r="E17" s="41" t="s">
        <v>19</v>
      </c>
      <c r="F17" s="41" t="s">
        <v>19</v>
      </c>
      <c r="G17" s="42">
        <v>2157</v>
      </c>
      <c r="H17" s="42">
        <v>1542</v>
      </c>
      <c r="I17" s="42">
        <v>1241</v>
      </c>
      <c r="J17" s="42">
        <v>1866</v>
      </c>
      <c r="K17" s="43">
        <v>1032</v>
      </c>
      <c r="L17" s="44">
        <v>3456</v>
      </c>
      <c r="M17" s="44">
        <v>2688</v>
      </c>
      <c r="N17" s="44">
        <v>2395</v>
      </c>
      <c r="O17" s="44">
        <v>2177</v>
      </c>
      <c r="P17" s="44">
        <v>2353</v>
      </c>
      <c r="Q17" s="44">
        <v>2434</v>
      </c>
      <c r="R17" s="44">
        <v>1808</v>
      </c>
      <c r="S17" s="44">
        <f t="shared" si="0"/>
        <v>2095.75</v>
      </c>
      <c r="T17" s="43" t="s">
        <v>19</v>
      </c>
      <c r="U17" s="1" t="s">
        <v>41</v>
      </c>
    </row>
    <row r="18" spans="1:21" ht="20.100000000000001" customHeight="1" thickTop="1">
      <c r="A18" s="333"/>
      <c r="B18" s="382" t="s">
        <v>42</v>
      </c>
      <c r="C18" s="357" t="s">
        <v>23</v>
      </c>
      <c r="D18" s="337"/>
      <c r="E18" s="368" t="s">
        <v>19</v>
      </c>
      <c r="F18" s="368" t="s">
        <v>19</v>
      </c>
      <c r="G18" s="65">
        <v>23959</v>
      </c>
      <c r="H18" s="65">
        <v>19984</v>
      </c>
      <c r="I18" s="65">
        <v>22267</v>
      </c>
      <c r="J18" s="65">
        <v>22159</v>
      </c>
      <c r="K18" s="54">
        <v>16404</v>
      </c>
      <c r="L18" s="65">
        <v>19244</v>
      </c>
      <c r="M18" s="65">
        <v>23324</v>
      </c>
      <c r="N18" s="65">
        <v>18160</v>
      </c>
      <c r="O18" s="65">
        <v>20841</v>
      </c>
      <c r="P18" s="65">
        <v>21404</v>
      </c>
      <c r="Q18" s="65">
        <v>21192</v>
      </c>
      <c r="R18" s="266">
        <v>20690</v>
      </c>
      <c r="S18" s="65">
        <f t="shared" si="0"/>
        <v>20802.333333333332</v>
      </c>
      <c r="T18" s="360" t="s">
        <v>19</v>
      </c>
      <c r="U18" s="1" t="s">
        <v>43</v>
      </c>
    </row>
    <row r="19" spans="1:21" ht="20.100000000000001" customHeight="1">
      <c r="A19" s="333"/>
      <c r="B19" s="382"/>
      <c r="C19" s="12"/>
      <c r="D19" s="2" t="s">
        <v>25</v>
      </c>
      <c r="E19" s="366"/>
      <c r="F19" s="366"/>
      <c r="G19" s="13">
        <v>0.90541153351976422</v>
      </c>
      <c r="H19" s="13">
        <v>1.2221135029354206</v>
      </c>
      <c r="I19" s="13">
        <v>1.0118144226836916</v>
      </c>
      <c r="J19" s="13">
        <v>0.973979165750956</v>
      </c>
      <c r="K19" s="22">
        <v>0.74536532170119951</v>
      </c>
      <c r="L19" s="22">
        <v>0.88514787728255373</v>
      </c>
      <c r="M19" s="22">
        <v>0.92526182164392257</v>
      </c>
      <c r="N19" s="22">
        <v>0.89581689029202838</v>
      </c>
      <c r="O19" s="22">
        <v>0.88100270544470749</v>
      </c>
      <c r="P19" s="22">
        <v>0.94419692090520091</v>
      </c>
      <c r="Q19" s="22">
        <v>0.81341880013817991</v>
      </c>
      <c r="R19" s="22">
        <v>0.82995707810180919</v>
      </c>
      <c r="S19" s="225">
        <f>AVERAGE(G19:R19)</f>
        <v>0.9194571700332862</v>
      </c>
      <c r="T19" s="361"/>
    </row>
    <row r="20" spans="1:21" ht="20.100000000000001" customHeight="1">
      <c r="A20" s="333"/>
      <c r="B20" s="382"/>
      <c r="C20" s="364" t="s">
        <v>27</v>
      </c>
      <c r="D20" s="311"/>
      <c r="E20" s="365" t="s">
        <v>19</v>
      </c>
      <c r="F20" s="365" t="s">
        <v>19</v>
      </c>
      <c r="G20" s="71">
        <v>165670</v>
      </c>
      <c r="H20" s="71">
        <v>125375</v>
      </c>
      <c r="I20" s="71">
        <v>135941</v>
      </c>
      <c r="J20" s="71">
        <v>153454</v>
      </c>
      <c r="K20" s="18">
        <v>123765</v>
      </c>
      <c r="L20" s="71">
        <v>131490</v>
      </c>
      <c r="M20" s="71">
        <v>149595</v>
      </c>
      <c r="N20" s="71">
        <v>153416</v>
      </c>
      <c r="O20" s="71">
        <v>122234</v>
      </c>
      <c r="P20" s="71">
        <v>134310</v>
      </c>
      <c r="Q20" s="71">
        <v>139087</v>
      </c>
      <c r="R20" s="71">
        <v>120887</v>
      </c>
      <c r="S20" s="65">
        <f t="shared" si="0"/>
        <v>137935.33333333334</v>
      </c>
      <c r="T20" s="367" t="s">
        <v>19</v>
      </c>
    </row>
    <row r="21" spans="1:21" ht="20.100000000000001" customHeight="1">
      <c r="A21" s="333"/>
      <c r="B21" s="382"/>
      <c r="C21" s="12"/>
      <c r="D21" s="2" t="s">
        <v>25</v>
      </c>
      <c r="E21" s="366"/>
      <c r="F21" s="366"/>
      <c r="G21" s="13">
        <v>0.79104812563565086</v>
      </c>
      <c r="H21" s="13">
        <v>1.0401802011084194</v>
      </c>
      <c r="I21" s="13">
        <v>0.86696513415093013</v>
      </c>
      <c r="J21" s="13">
        <v>0.87537934968625208</v>
      </c>
      <c r="K21" s="19">
        <v>0.90711531977894722</v>
      </c>
      <c r="L21" s="19">
        <v>0.94874921532833545</v>
      </c>
      <c r="M21" s="19">
        <v>0.79230443302791165</v>
      </c>
      <c r="N21" s="19">
        <v>1.1260468427735737</v>
      </c>
      <c r="O21" s="19">
        <v>0.7653928278470391</v>
      </c>
      <c r="P21" s="19">
        <v>0.83271333978126627</v>
      </c>
      <c r="Q21" s="19">
        <v>0.89770614963597872</v>
      </c>
      <c r="R21" s="19">
        <v>0.82892427109904276</v>
      </c>
      <c r="S21" s="225">
        <f t="shared" si="0"/>
        <v>0.88937710082111243</v>
      </c>
      <c r="T21" s="361"/>
    </row>
    <row r="22" spans="1:21" ht="20.100000000000001" customHeight="1" thickBot="1">
      <c r="A22" s="334"/>
      <c r="B22" s="295"/>
      <c r="C22" s="358" t="s">
        <v>28</v>
      </c>
      <c r="D22" s="359"/>
      <c r="E22" s="28" t="s">
        <v>19</v>
      </c>
      <c r="F22" s="28" t="s">
        <v>19</v>
      </c>
      <c r="G22" s="32">
        <f>加班時數!B26</f>
        <v>840</v>
      </c>
      <c r="H22" s="32">
        <f>加班時數!C26</f>
        <v>493.5</v>
      </c>
      <c r="I22" s="32">
        <f>加班時數!D26</f>
        <v>424</v>
      </c>
      <c r="J22" s="32">
        <f>加班時數!E26</f>
        <v>720</v>
      </c>
      <c r="K22" s="32">
        <f>加班時數!F26</f>
        <v>419</v>
      </c>
      <c r="L22" s="32">
        <f>加班時數!G26</f>
        <v>641</v>
      </c>
      <c r="M22" s="32">
        <f>加班時數!H26</f>
        <v>713.7</v>
      </c>
      <c r="N22" s="32">
        <f>加班時數!I26</f>
        <v>1164.3</v>
      </c>
      <c r="O22" s="32">
        <f>加班時數!J26</f>
        <v>366.5</v>
      </c>
      <c r="P22" s="32">
        <f>加班時數!K26</f>
        <v>702.5</v>
      </c>
      <c r="Q22" s="32">
        <f>加班時數!L26</f>
        <v>673</v>
      </c>
      <c r="R22" s="32">
        <f>加班時數!M26</f>
        <v>320.5</v>
      </c>
      <c r="S22" s="30">
        <f t="shared" si="0"/>
        <v>623.16666666666663</v>
      </c>
      <c r="T22" s="31"/>
      <c r="U22" s="1" t="s">
        <v>44</v>
      </c>
    </row>
    <row r="23" spans="1:21" ht="20.100000000000001" customHeight="1" thickTop="1">
      <c r="A23" s="344" t="s">
        <v>45</v>
      </c>
      <c r="B23" s="347" t="s">
        <v>46</v>
      </c>
      <c r="C23" s="348"/>
      <c r="D23" s="349"/>
      <c r="E23" s="325">
        <v>36</v>
      </c>
      <c r="F23" s="327">
        <f>R23/E23</f>
        <v>1.1583333333333334</v>
      </c>
      <c r="G23" s="120">
        <v>41.9</v>
      </c>
      <c r="H23" s="120">
        <v>43</v>
      </c>
      <c r="I23" s="120">
        <v>47.2</v>
      </c>
      <c r="J23" s="118">
        <v>47.6</v>
      </c>
      <c r="K23" s="57">
        <v>39.9</v>
      </c>
      <c r="L23" s="57">
        <v>48.7</v>
      </c>
      <c r="M23" s="57">
        <v>43.3</v>
      </c>
      <c r="N23" s="138">
        <v>46.1</v>
      </c>
      <c r="O23" s="138">
        <v>44.6</v>
      </c>
      <c r="P23" s="138">
        <v>49.1</v>
      </c>
      <c r="Q23" s="138">
        <v>47.3</v>
      </c>
      <c r="R23" s="138">
        <v>41.7</v>
      </c>
      <c r="S23" s="350">
        <f t="shared" si="0"/>
        <v>45.033333333333339</v>
      </c>
      <c r="T23" s="302">
        <f>S23/E23</f>
        <v>1.250925925925926</v>
      </c>
    </row>
    <row r="24" spans="1:21" ht="20.100000000000001" customHeight="1">
      <c r="A24" s="345"/>
      <c r="B24" s="341"/>
      <c r="C24" s="343" t="s">
        <v>47</v>
      </c>
      <c r="D24" s="343"/>
      <c r="E24" s="325"/>
      <c r="F24" s="328"/>
      <c r="G24" s="121">
        <v>64.099999999999994</v>
      </c>
      <c r="H24" s="121">
        <v>67.599999999999994</v>
      </c>
      <c r="I24" s="121">
        <v>62.6</v>
      </c>
      <c r="J24" s="119">
        <v>62.6</v>
      </c>
      <c r="K24" s="15">
        <v>52.1</v>
      </c>
      <c r="L24" s="15">
        <v>63.6</v>
      </c>
      <c r="M24" s="15">
        <v>54.5</v>
      </c>
      <c r="N24" s="16">
        <v>61.3</v>
      </c>
      <c r="O24" s="15">
        <v>59.4</v>
      </c>
      <c r="P24" s="16">
        <v>66.8</v>
      </c>
      <c r="Q24" s="16">
        <v>64</v>
      </c>
      <c r="R24" s="16">
        <v>50.9</v>
      </c>
      <c r="S24" s="331"/>
      <c r="T24" s="340"/>
    </row>
    <row r="25" spans="1:21" ht="20.100000000000001" customHeight="1">
      <c r="A25" s="345"/>
      <c r="B25" s="342"/>
      <c r="C25" s="343" t="s">
        <v>48</v>
      </c>
      <c r="D25" s="343"/>
      <c r="E25" s="326"/>
      <c r="F25" s="329"/>
      <c r="G25" s="121">
        <v>19.3</v>
      </c>
      <c r="H25" s="121">
        <v>19.399999999999999</v>
      </c>
      <c r="I25" s="121">
        <v>26</v>
      </c>
      <c r="J25" s="119">
        <v>27.3</v>
      </c>
      <c r="K25" s="15">
        <v>21.9</v>
      </c>
      <c r="L25" s="15">
        <v>27.4</v>
      </c>
      <c r="M25" s="15">
        <v>25.6</v>
      </c>
      <c r="N25" s="16">
        <v>25.7</v>
      </c>
      <c r="O25" s="15">
        <v>24.4</v>
      </c>
      <c r="P25" s="16">
        <v>27.3</v>
      </c>
      <c r="Q25" s="16">
        <v>26</v>
      </c>
      <c r="R25" s="16">
        <v>27.6</v>
      </c>
      <c r="S25" s="332"/>
      <c r="T25" s="303"/>
    </row>
    <row r="26" spans="1:21" ht="20.100000000000001" customHeight="1">
      <c r="A26" s="345"/>
      <c r="B26" s="351" t="s">
        <v>49</v>
      </c>
      <c r="C26" s="352"/>
      <c r="D26" s="353"/>
      <c r="E26" s="324">
        <v>63.6</v>
      </c>
      <c r="F26" s="327">
        <f>R26/E26</f>
        <v>1.0959119496855345</v>
      </c>
      <c r="G26" s="122">
        <v>68.099999999999994</v>
      </c>
      <c r="H26" s="122">
        <v>64.599999999999994</v>
      </c>
      <c r="I26" s="122">
        <v>65.900000000000006</v>
      </c>
      <c r="J26" s="20">
        <v>63.6</v>
      </c>
      <c r="K26" s="16">
        <v>62.3</v>
      </c>
      <c r="L26" s="16">
        <v>65.900000000000006</v>
      </c>
      <c r="M26" s="16">
        <v>65.5</v>
      </c>
      <c r="N26" s="16">
        <v>63.7</v>
      </c>
      <c r="O26" s="15">
        <v>64.2</v>
      </c>
      <c r="P26" s="16">
        <v>72.099999999999994</v>
      </c>
      <c r="Q26" s="16">
        <v>65.8</v>
      </c>
      <c r="R26" s="16">
        <v>69.7</v>
      </c>
      <c r="S26" s="330">
        <f>AVERAGE(G26:R26)</f>
        <v>65.95</v>
      </c>
      <c r="T26" s="340">
        <f>S26/E26</f>
        <v>1.0369496855345912</v>
      </c>
    </row>
    <row r="27" spans="1:21" ht="20.100000000000001" customHeight="1">
      <c r="A27" s="345"/>
      <c r="B27" s="341"/>
      <c r="C27" s="343" t="s">
        <v>47</v>
      </c>
      <c r="D27" s="343"/>
      <c r="E27" s="325"/>
      <c r="F27" s="328"/>
      <c r="G27" s="122">
        <v>82.4</v>
      </c>
      <c r="H27" s="122">
        <v>78.7</v>
      </c>
      <c r="I27" s="122">
        <v>75.2</v>
      </c>
      <c r="J27" s="1">
        <v>73.099999999999994</v>
      </c>
      <c r="K27" s="16">
        <v>78.7</v>
      </c>
      <c r="L27" s="16">
        <v>77.5</v>
      </c>
      <c r="M27" s="16">
        <v>81.5</v>
      </c>
      <c r="N27" s="16">
        <v>81.3</v>
      </c>
      <c r="O27" s="15">
        <v>81.7</v>
      </c>
      <c r="P27" s="16">
        <v>92.3</v>
      </c>
      <c r="Q27" s="16">
        <v>81.400000000000006</v>
      </c>
      <c r="R27" s="16">
        <v>85.5</v>
      </c>
      <c r="S27" s="331"/>
      <c r="T27" s="340"/>
    </row>
    <row r="28" spans="1:21" ht="20.100000000000001" customHeight="1">
      <c r="A28" s="345"/>
      <c r="B28" s="342"/>
      <c r="C28" s="343" t="s">
        <v>48</v>
      </c>
      <c r="D28" s="343"/>
      <c r="E28" s="326"/>
      <c r="F28" s="329"/>
      <c r="G28" s="122">
        <v>44.1</v>
      </c>
      <c r="H28" s="122">
        <v>41.2</v>
      </c>
      <c r="I28" s="122">
        <v>47.7</v>
      </c>
      <c r="J28" s="20">
        <v>45.3</v>
      </c>
      <c r="K28" s="16">
        <v>38.1</v>
      </c>
      <c r="L28" s="16">
        <v>45</v>
      </c>
      <c r="M28" s="16">
        <v>41.1</v>
      </c>
      <c r="N28" s="16">
        <v>38.4</v>
      </c>
      <c r="O28" s="15">
        <v>39.4</v>
      </c>
      <c r="P28" s="16">
        <v>44</v>
      </c>
      <c r="Q28" s="16">
        <v>43.4</v>
      </c>
      <c r="R28" s="16">
        <v>46</v>
      </c>
      <c r="S28" s="332"/>
      <c r="T28" s="303"/>
    </row>
    <row r="29" spans="1:21" ht="20.100000000000001" customHeight="1" thickBot="1">
      <c r="A29" s="346"/>
      <c r="B29" s="354" t="s">
        <v>50</v>
      </c>
      <c r="C29" s="355"/>
      <c r="D29" s="356"/>
      <c r="E29" s="123">
        <v>138</v>
      </c>
      <c r="F29" s="238">
        <f>R29/E29</f>
        <v>1.0103623188405797</v>
      </c>
      <c r="G29" s="124">
        <v>141.27000000000001</v>
      </c>
      <c r="H29" s="124">
        <v>141.78</v>
      </c>
      <c r="I29" s="124">
        <v>140.94</v>
      </c>
      <c r="J29" s="30">
        <v>141.09</v>
      </c>
      <c r="K29" s="30">
        <v>140.03</v>
      </c>
      <c r="L29" s="30">
        <v>140.35</v>
      </c>
      <c r="M29" s="30">
        <v>139.5</v>
      </c>
      <c r="N29" s="30">
        <v>140.80000000000001</v>
      </c>
      <c r="O29" s="30">
        <v>140.36000000000001</v>
      </c>
      <c r="P29" s="30">
        <v>139.63</v>
      </c>
      <c r="Q29" s="30">
        <v>140.96</v>
      </c>
      <c r="R29" s="30">
        <v>139.43</v>
      </c>
      <c r="S29" s="30">
        <f>AVERAGE(G29:R29)</f>
        <v>140.51166666666668</v>
      </c>
      <c r="T29" s="34">
        <f>S29/E29</f>
        <v>1.0182004830917877</v>
      </c>
      <c r="U29" s="1" t="s">
        <v>51</v>
      </c>
    </row>
    <row r="30" spans="1:21" ht="20.100000000000001" customHeight="1" thickTop="1">
      <c r="A30" s="279" t="s">
        <v>52</v>
      </c>
      <c r="B30" s="279" t="s">
        <v>53</v>
      </c>
      <c r="C30" s="318" t="s">
        <v>54</v>
      </c>
      <c r="D30" s="319"/>
      <c r="E30" s="320">
        <v>9</v>
      </c>
      <c r="F30" s="322">
        <f>E30/R30</f>
        <v>3.6</v>
      </c>
      <c r="G30" s="312">
        <v>5.9</v>
      </c>
      <c r="H30" s="312">
        <v>8.8000000000000007</v>
      </c>
      <c r="I30" s="314">
        <v>10.6</v>
      </c>
      <c r="J30" s="312">
        <v>5.9</v>
      </c>
      <c r="K30" s="314">
        <v>17.399999999999999</v>
      </c>
      <c r="L30" s="314">
        <v>2.7</v>
      </c>
      <c r="M30" s="314">
        <v>0</v>
      </c>
      <c r="N30" s="316">
        <v>2.7</v>
      </c>
      <c r="O30" s="314">
        <v>2.8</v>
      </c>
      <c r="P30" s="314">
        <v>2.8</v>
      </c>
      <c r="Q30" s="314">
        <v>8.6999999999999993</v>
      </c>
      <c r="R30" s="314">
        <v>2.5</v>
      </c>
      <c r="S30" s="338">
        <f>AVERAGE(G30:R31)</f>
        <v>5.8999999999999995</v>
      </c>
      <c r="T30" s="302">
        <f>E30/S30</f>
        <v>1.5254237288135595</v>
      </c>
    </row>
    <row r="31" spans="1:21" ht="20.100000000000001" customHeight="1">
      <c r="A31" s="280"/>
      <c r="B31" s="280"/>
      <c r="C31" s="289" t="s">
        <v>55</v>
      </c>
      <c r="D31" s="290"/>
      <c r="E31" s="321"/>
      <c r="F31" s="323" t="e">
        <f t="shared" ref="F31" si="1">E31/K31</f>
        <v>#DIV/0!</v>
      </c>
      <c r="G31" s="313"/>
      <c r="H31" s="313"/>
      <c r="I31" s="315"/>
      <c r="J31" s="313"/>
      <c r="K31" s="315"/>
      <c r="L31" s="315"/>
      <c r="M31" s="315"/>
      <c r="N31" s="317"/>
      <c r="O31" s="315"/>
      <c r="P31" s="315"/>
      <c r="Q31" s="315"/>
      <c r="R31" s="315"/>
      <c r="S31" s="339"/>
      <c r="T31" s="303"/>
      <c r="U31" s="1" t="s">
        <v>56</v>
      </c>
    </row>
    <row r="32" spans="1:21" ht="20.100000000000001" customHeight="1">
      <c r="A32" s="280"/>
      <c r="B32" s="280"/>
      <c r="C32" s="289" t="s">
        <v>57</v>
      </c>
      <c r="D32" s="290"/>
      <c r="E32" s="217">
        <v>8</v>
      </c>
      <c r="F32" s="225" t="str">
        <f>IF(R32=0,"-",E32/R32)</f>
        <v>-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71">
        <v>0</v>
      </c>
      <c r="M32" s="71">
        <v>0</v>
      </c>
      <c r="N32" s="71">
        <v>0</v>
      </c>
      <c r="O32" s="71">
        <v>0</v>
      </c>
      <c r="P32" s="71">
        <v>0</v>
      </c>
      <c r="Q32" s="71">
        <v>0</v>
      </c>
      <c r="R32" s="71">
        <v>0</v>
      </c>
      <c r="S32" s="138">
        <f t="shared" ref="S32:S46" si="2">AVERAGE(G32:R32)</f>
        <v>0</v>
      </c>
      <c r="T32" s="22">
        <v>1</v>
      </c>
    </row>
    <row r="33" spans="1:21" ht="20.100000000000001" customHeight="1">
      <c r="A33" s="280"/>
      <c r="B33" s="280"/>
      <c r="C33" s="289" t="s">
        <v>58</v>
      </c>
      <c r="D33" s="290"/>
      <c r="E33" s="219">
        <v>103</v>
      </c>
      <c r="F33" s="55">
        <f>IF(R33=0,"-",E33/R33)</f>
        <v>0.91150442477876104</v>
      </c>
      <c r="G33" s="20">
        <v>136</v>
      </c>
      <c r="H33" s="20">
        <v>132</v>
      </c>
      <c r="I33" s="20">
        <v>244</v>
      </c>
      <c r="J33" s="20">
        <v>264</v>
      </c>
      <c r="K33" s="20">
        <v>120</v>
      </c>
      <c r="L33" s="71">
        <v>103</v>
      </c>
      <c r="M33" s="71">
        <v>179</v>
      </c>
      <c r="N33" s="71">
        <v>193</v>
      </c>
      <c r="O33" s="71">
        <v>174</v>
      </c>
      <c r="P33" s="71">
        <v>171</v>
      </c>
      <c r="Q33" s="71">
        <v>139</v>
      </c>
      <c r="R33" s="71">
        <v>113</v>
      </c>
      <c r="S33" s="138">
        <f t="shared" si="2"/>
        <v>164</v>
      </c>
      <c r="T33" s="19">
        <f>E33/S33</f>
        <v>0.62804878048780488</v>
      </c>
      <c r="U33" s="1" t="s">
        <v>51</v>
      </c>
    </row>
    <row r="34" spans="1:21" ht="20.100000000000001" customHeight="1" thickBot="1">
      <c r="A34" s="282"/>
      <c r="B34" s="304" t="s">
        <v>59</v>
      </c>
      <c r="C34" s="304"/>
      <c r="D34" s="304"/>
      <c r="E34" s="31">
        <v>98</v>
      </c>
      <c r="F34" s="34">
        <f>R34/E34</f>
        <v>1</v>
      </c>
      <c r="G34" s="31">
        <v>98</v>
      </c>
      <c r="H34" s="31">
        <v>98</v>
      </c>
      <c r="I34" s="31">
        <v>98</v>
      </c>
      <c r="J34" s="31">
        <v>98</v>
      </c>
      <c r="K34" s="31">
        <v>98</v>
      </c>
      <c r="L34" s="31">
        <v>98</v>
      </c>
      <c r="M34" s="30">
        <v>98</v>
      </c>
      <c r="N34" s="30">
        <v>98</v>
      </c>
      <c r="O34" s="30">
        <v>98</v>
      </c>
      <c r="P34" s="30">
        <v>98</v>
      </c>
      <c r="Q34" s="30">
        <v>98</v>
      </c>
      <c r="R34" s="30">
        <v>98</v>
      </c>
      <c r="S34" s="31">
        <f t="shared" si="2"/>
        <v>98</v>
      </c>
      <c r="T34" s="33">
        <f>S34/E34</f>
        <v>1</v>
      </c>
      <c r="U34" s="1" t="s">
        <v>60</v>
      </c>
    </row>
    <row r="35" spans="1:21" ht="20.100000000000001" customHeight="1" thickTop="1">
      <c r="A35" s="333" t="s">
        <v>61</v>
      </c>
      <c r="B35" s="309" t="s">
        <v>62</v>
      </c>
      <c r="C35" s="337" t="s">
        <v>63</v>
      </c>
      <c r="D35" s="337"/>
      <c r="E35" s="14" t="s">
        <v>19</v>
      </c>
      <c r="F35" s="14" t="s">
        <v>19</v>
      </c>
      <c r="G35" s="54">
        <f>'包材回收(同期比)'!D91</f>
        <v>3049</v>
      </c>
      <c r="H35" s="54">
        <f>'包材回收(同期比)'!E91</f>
        <v>3344</v>
      </c>
      <c r="I35" s="54">
        <f>'包材回收(同期比)'!F91</f>
        <v>3925</v>
      </c>
      <c r="J35" s="54">
        <f>'包材回收(同期比)'!G91</f>
        <v>3494</v>
      </c>
      <c r="K35" s="54">
        <f>'包材回收(同期比)'!H91</f>
        <v>3212</v>
      </c>
      <c r="L35" s="54">
        <f>'包材回收(同期比)'!I91</f>
        <v>3261</v>
      </c>
      <c r="M35" s="54">
        <f>'包材回收(同期比)'!J91</f>
        <v>3267</v>
      </c>
      <c r="N35" s="54">
        <f>'包材回收(同期比)'!K91</f>
        <v>2520</v>
      </c>
      <c r="O35" s="54">
        <f>'包材回收(同期比)'!L91</f>
        <v>2855</v>
      </c>
      <c r="P35" s="54">
        <f>'包材回收(同期比)'!M91</f>
        <v>2511</v>
      </c>
      <c r="Q35" s="54">
        <f>'包材回收(同期比)'!N91</f>
        <v>2135</v>
      </c>
      <c r="R35" s="54">
        <f>'包材回收(同期比)'!O91</f>
        <v>2603</v>
      </c>
      <c r="S35" s="65">
        <f t="shared" si="2"/>
        <v>3014.6666666666665</v>
      </c>
      <c r="T35" s="27" t="s">
        <v>19</v>
      </c>
      <c r="U35" s="1" t="s">
        <v>64</v>
      </c>
    </row>
    <row r="36" spans="1:21" ht="20.100000000000001" customHeight="1">
      <c r="A36" s="333"/>
      <c r="B36" s="335"/>
      <c r="C36" s="311" t="s">
        <v>65</v>
      </c>
      <c r="D36" s="311"/>
      <c r="E36" s="14" t="s">
        <v>19</v>
      </c>
      <c r="F36" s="14" t="s">
        <v>19</v>
      </c>
      <c r="G36" s="71">
        <f>'包材回收(同期比)'!D92</f>
        <v>14198</v>
      </c>
      <c r="H36" s="71">
        <f>'包材回收(同期比)'!E92</f>
        <v>22052</v>
      </c>
      <c r="I36" s="71">
        <f>'包材回收(同期比)'!F92</f>
        <v>23449</v>
      </c>
      <c r="J36" s="71">
        <f>'包材回收(同期比)'!G92</f>
        <v>27357.5</v>
      </c>
      <c r="K36" s="71">
        <f>'包材回收(同期比)'!H92</f>
        <v>18891</v>
      </c>
      <c r="L36" s="71">
        <f>'包材回收(同期比)'!I92</f>
        <v>29006</v>
      </c>
      <c r="M36" s="71">
        <f>'包材回收(同期比)'!J92</f>
        <v>23905</v>
      </c>
      <c r="N36" s="71">
        <f>'包材回收(同期比)'!K92</f>
        <v>12130</v>
      </c>
      <c r="O36" s="71">
        <f>'包材回收(同期比)'!L92</f>
        <v>22098</v>
      </c>
      <c r="P36" s="71">
        <f>'包材回收(同期比)'!M92</f>
        <v>18740</v>
      </c>
      <c r="Q36" s="71">
        <f>'包材回收(同期比)'!N92</f>
        <v>18324</v>
      </c>
      <c r="R36" s="71">
        <f>'包材回收(同期比)'!O92</f>
        <v>19024</v>
      </c>
      <c r="S36" s="65">
        <f t="shared" si="2"/>
        <v>20764.541666666668</v>
      </c>
      <c r="T36" s="21" t="s">
        <v>19</v>
      </c>
    </row>
    <row r="37" spans="1:21" ht="20.100000000000001" customHeight="1">
      <c r="A37" s="333"/>
      <c r="B37" s="335"/>
      <c r="C37" s="294" t="s">
        <v>66</v>
      </c>
      <c r="D37" s="294"/>
      <c r="E37" s="14">
        <v>28810.5</v>
      </c>
      <c r="F37" s="236">
        <f>R37/E37</f>
        <v>0.75066382048211588</v>
      </c>
      <c r="G37" s="18">
        <f t="shared" ref="G37:L37" si="3">G35+G36</f>
        <v>17247</v>
      </c>
      <c r="H37" s="18">
        <f t="shared" si="3"/>
        <v>25396</v>
      </c>
      <c r="I37" s="18">
        <f t="shared" si="3"/>
        <v>27374</v>
      </c>
      <c r="J37" s="18">
        <f t="shared" si="3"/>
        <v>30851.5</v>
      </c>
      <c r="K37" s="18">
        <f t="shared" si="3"/>
        <v>22103</v>
      </c>
      <c r="L37" s="18">
        <f t="shared" si="3"/>
        <v>32267</v>
      </c>
      <c r="M37" s="18">
        <f t="shared" ref="M37:N37" si="4">M35+M36</f>
        <v>27172</v>
      </c>
      <c r="N37" s="18">
        <f t="shared" si="4"/>
        <v>14650</v>
      </c>
      <c r="O37" s="18">
        <f t="shared" ref="O37:P37" si="5">O35+O36</f>
        <v>24953</v>
      </c>
      <c r="P37" s="18">
        <f t="shared" si="5"/>
        <v>21251</v>
      </c>
      <c r="Q37" s="18">
        <f t="shared" ref="Q37:R37" si="6">Q35+Q36</f>
        <v>20459</v>
      </c>
      <c r="R37" s="18">
        <f t="shared" si="6"/>
        <v>21627</v>
      </c>
      <c r="S37" s="65">
        <f t="shared" si="2"/>
        <v>23779.208333333332</v>
      </c>
      <c r="T37" s="305" t="s">
        <v>19</v>
      </c>
    </row>
    <row r="38" spans="1:21" ht="20.100000000000001" customHeight="1" thickBot="1">
      <c r="A38" s="333"/>
      <c r="B38" s="336"/>
      <c r="C38" s="307" t="s">
        <v>67</v>
      </c>
      <c r="D38" s="307"/>
      <c r="E38" s="245" t="s">
        <v>68</v>
      </c>
      <c r="F38" s="242" t="s">
        <v>68</v>
      </c>
      <c r="G38" s="34">
        <f>'包材回收(同期比)'!D94</f>
        <v>0.48625560348473312</v>
      </c>
      <c r="H38" s="34">
        <f>'包材回收(同期比)'!E94</f>
        <v>1.4146613190730837</v>
      </c>
      <c r="I38" s="34">
        <f>'包材回收(同期比)'!F94</f>
        <v>0.82588625735405041</v>
      </c>
      <c r="J38" s="34">
        <f>'包材回收(同期比)'!G94</f>
        <v>1.1633734303706775</v>
      </c>
      <c r="K38" s="34">
        <f>'包材回收(同期比)'!H94</f>
        <v>0.78835110746513537</v>
      </c>
      <c r="L38" s="34">
        <f>'包材回收(同期比)'!I94</f>
        <v>1.0247721281798838</v>
      </c>
      <c r="M38" s="34">
        <f>'包材回收(同期比)'!J94</f>
        <v>0.93842168882749089</v>
      </c>
      <c r="N38" s="34">
        <f>'包材回收(同期比)'!K94</f>
        <v>0.62926850221210429</v>
      </c>
      <c r="O38" s="34">
        <f>'包材回收(同期比)'!L94</f>
        <v>0.86610784262682006</v>
      </c>
      <c r="P38" s="34">
        <f>'包材回收(同期比)'!M94</f>
        <v>0.74835369933443674</v>
      </c>
      <c r="Q38" s="34">
        <f>'包材回收(同期比)'!N94</f>
        <v>0.87263808914480701</v>
      </c>
      <c r="R38" s="34">
        <f>'包材回收(同期比)'!O94</f>
        <v>0.80550486051622039</v>
      </c>
      <c r="S38" s="34">
        <f t="shared" si="2"/>
        <v>0.88029954404912036</v>
      </c>
      <c r="T38" s="306"/>
    </row>
    <row r="39" spans="1:21" ht="20.100000000000001" customHeight="1" thickTop="1">
      <c r="A39" s="333"/>
      <c r="B39" s="308" t="s">
        <v>69</v>
      </c>
      <c r="C39" s="311" t="s">
        <v>63</v>
      </c>
      <c r="D39" s="311"/>
      <c r="E39" s="14" t="s">
        <v>19</v>
      </c>
      <c r="F39" s="14" t="s">
        <v>19</v>
      </c>
      <c r="G39" s="7">
        <f>'包材回收(同期比)'!D95</f>
        <v>13.7</v>
      </c>
      <c r="H39" s="7">
        <f>'包材回收(同期比)'!E95</f>
        <v>15.6</v>
      </c>
      <c r="I39" s="7">
        <f>'包材回收(同期比)'!F95</f>
        <v>18</v>
      </c>
      <c r="J39" s="7">
        <f>'包材回收(同期比)'!G95</f>
        <v>16.100000000000001</v>
      </c>
      <c r="K39" s="7">
        <f>'包材回收(同期比)'!H95</f>
        <v>14.9</v>
      </c>
      <c r="L39" s="7">
        <f>'包材回收(同期比)'!I95</f>
        <v>15.3</v>
      </c>
      <c r="M39" s="7">
        <f>'包材回收(同期比)'!J95</f>
        <v>15.2</v>
      </c>
      <c r="N39" s="7">
        <f>'包材回收(同期比)'!K95</f>
        <v>11.7</v>
      </c>
      <c r="O39" s="7">
        <f>'包材回收(同期比)'!L95</f>
        <v>13.3</v>
      </c>
      <c r="P39" s="7">
        <f>'包材回收(同期比)'!M95</f>
        <v>11.6</v>
      </c>
      <c r="Q39" s="7">
        <f>'包材回收(同期比)'!N95</f>
        <v>9.8000000000000007</v>
      </c>
      <c r="R39" s="7">
        <f>'包材回收(同期比)'!O95</f>
        <v>11.9</v>
      </c>
      <c r="S39" s="138">
        <f t="shared" si="2"/>
        <v>13.925000000000002</v>
      </c>
      <c r="T39" s="27" t="s">
        <v>19</v>
      </c>
    </row>
    <row r="40" spans="1:21" ht="20.100000000000001" customHeight="1">
      <c r="A40" s="333"/>
      <c r="B40" s="309"/>
      <c r="C40" s="311" t="s">
        <v>65</v>
      </c>
      <c r="D40" s="311"/>
      <c r="E40" s="14" t="s">
        <v>19</v>
      </c>
      <c r="F40" s="14" t="s">
        <v>19</v>
      </c>
      <c r="G40" s="145">
        <f>'包材回收(同期比)'!D96</f>
        <v>47.5</v>
      </c>
      <c r="H40" s="145">
        <f>'包材回收(同期比)'!E96</f>
        <v>89.7</v>
      </c>
      <c r="I40" s="145">
        <f>'包材回收(同期比)'!F96</f>
        <v>96</v>
      </c>
      <c r="J40" s="145">
        <f>'包材回收(同期比)'!G96</f>
        <v>143.5</v>
      </c>
      <c r="K40" s="145">
        <f>'包材回收(同期比)'!H96</f>
        <v>84.3</v>
      </c>
      <c r="L40" s="145">
        <f>'包材回收(同期比)'!I96</f>
        <v>146.80000000000001</v>
      </c>
      <c r="M40" s="145">
        <f>'包材回收(同期比)'!J96</f>
        <v>123.1</v>
      </c>
      <c r="N40" s="145">
        <f>'包材回收(同期比)'!K96</f>
        <v>53.9</v>
      </c>
      <c r="O40" s="145">
        <f>'包材回收(同期比)'!L96</f>
        <v>94.8</v>
      </c>
      <c r="P40" s="145">
        <f>'包材回收(同期比)'!M96</f>
        <v>75.2</v>
      </c>
      <c r="Q40" s="145">
        <f>'包材回收(同期比)'!N96</f>
        <v>76</v>
      </c>
      <c r="R40" s="145">
        <f>'包材回收(同期比)'!O96</f>
        <v>79.3</v>
      </c>
      <c r="S40" s="138">
        <f t="shared" si="2"/>
        <v>92.508333333333326</v>
      </c>
      <c r="T40" s="21" t="s">
        <v>19</v>
      </c>
    </row>
    <row r="41" spans="1:21" ht="20.100000000000001" customHeight="1">
      <c r="A41" s="333"/>
      <c r="B41" s="309"/>
      <c r="C41" s="294" t="s">
        <v>66</v>
      </c>
      <c r="D41" s="294"/>
      <c r="E41" s="14">
        <v>120.1</v>
      </c>
      <c r="F41" s="236">
        <f>R41/E41</f>
        <v>0.75936719400499586</v>
      </c>
      <c r="G41" s="237">
        <f t="shared" ref="G41:L41" si="7">G39+G40</f>
        <v>61.2</v>
      </c>
      <c r="H41" s="237">
        <f t="shared" si="7"/>
        <v>105.3</v>
      </c>
      <c r="I41" s="237">
        <f t="shared" si="7"/>
        <v>114</v>
      </c>
      <c r="J41" s="237">
        <f t="shared" si="7"/>
        <v>159.6</v>
      </c>
      <c r="K41" s="237">
        <f t="shared" si="7"/>
        <v>99.2</v>
      </c>
      <c r="L41" s="237">
        <f t="shared" si="7"/>
        <v>162.10000000000002</v>
      </c>
      <c r="M41" s="237">
        <f t="shared" ref="M41:N41" si="8">M39+M40</f>
        <v>138.29999999999998</v>
      </c>
      <c r="N41" s="237">
        <f t="shared" si="8"/>
        <v>65.599999999999994</v>
      </c>
      <c r="O41" s="237">
        <f t="shared" ref="O41:P41" si="9">O39+O40</f>
        <v>108.1</v>
      </c>
      <c r="P41" s="237">
        <f t="shared" si="9"/>
        <v>86.8</v>
      </c>
      <c r="Q41" s="237">
        <f t="shared" ref="Q41:R41" si="10">Q39+Q40</f>
        <v>85.8</v>
      </c>
      <c r="R41" s="237">
        <f t="shared" si="10"/>
        <v>91.2</v>
      </c>
      <c r="S41" s="138">
        <f t="shared" si="2"/>
        <v>106.43333333333334</v>
      </c>
      <c r="T41" s="305" t="s">
        <v>19</v>
      </c>
    </row>
    <row r="42" spans="1:21" ht="20.100000000000001" customHeight="1" thickBot="1">
      <c r="A42" s="334"/>
      <c r="B42" s="310"/>
      <c r="C42" s="304" t="s">
        <v>25</v>
      </c>
      <c r="D42" s="304"/>
      <c r="E42" s="243" t="s">
        <v>68</v>
      </c>
      <c r="F42" s="244" t="s">
        <v>68</v>
      </c>
      <c r="G42" s="34">
        <f>'包材回收(同期比)'!D98</f>
        <v>0.42689732142857151</v>
      </c>
      <c r="H42" s="34">
        <f>'包材回收(同期比)'!E98</f>
        <v>1.3837056504599212</v>
      </c>
      <c r="I42" s="34">
        <f>'包材回收(同期比)'!F98</f>
        <v>0.79387186629526463</v>
      </c>
      <c r="J42" s="34">
        <f>'包材回收(同期比)'!G98</f>
        <v>1.4352517985611513</v>
      </c>
      <c r="K42" s="34">
        <f>'包材回收(同期比)'!H98</f>
        <v>0.91009174311926611</v>
      </c>
      <c r="L42" s="34">
        <f>'包材回收(同期比)'!I98</f>
        <v>1.1875457875457878</v>
      </c>
      <c r="M42" s="34">
        <f>'包材回收(同期比)'!J98</f>
        <v>1.2793709528214616</v>
      </c>
      <c r="N42" s="34">
        <f>'包材回收(同期比)'!K98</f>
        <v>0.71226927252985883</v>
      </c>
      <c r="O42" s="34">
        <f>'包材回收(同期比)'!L98</f>
        <v>0.90008326394671112</v>
      </c>
      <c r="P42" s="34">
        <f>'包材回收(同期比)'!M98</f>
        <v>0.82196969696969702</v>
      </c>
      <c r="Q42" s="34">
        <f>'包材回收(同期比)'!N98</f>
        <v>1.0250896057347672</v>
      </c>
      <c r="R42" s="34">
        <f>'包材回收(同期比)'!O98</f>
        <v>0.94409937888198747</v>
      </c>
      <c r="S42" s="34">
        <f t="shared" si="2"/>
        <v>0.98502052819120367</v>
      </c>
      <c r="T42" s="306"/>
    </row>
    <row r="43" spans="1:21" ht="20.100000000000001" customHeight="1" thickTop="1">
      <c r="A43" s="291" t="s">
        <v>70</v>
      </c>
      <c r="B43" s="301" t="s">
        <v>71</v>
      </c>
      <c r="C43" s="293" t="s">
        <v>72</v>
      </c>
      <c r="D43" s="293"/>
      <c r="E43" s="222">
        <v>170.80050000000003</v>
      </c>
      <c r="F43" s="274">
        <f>E46/R46</f>
        <v>0.86105773168103439</v>
      </c>
      <c r="G43" s="49">
        <v>217</v>
      </c>
      <c r="H43" s="49">
        <v>213</v>
      </c>
      <c r="I43" s="54">
        <v>164</v>
      </c>
      <c r="J43" s="54">
        <v>179</v>
      </c>
      <c r="K43" s="54">
        <v>115</v>
      </c>
      <c r="L43" s="54">
        <v>230</v>
      </c>
      <c r="M43" s="54">
        <v>191</v>
      </c>
      <c r="N43" s="54">
        <v>223</v>
      </c>
      <c r="O43" s="54">
        <v>133</v>
      </c>
      <c r="P43" s="54">
        <v>233</v>
      </c>
      <c r="Q43" s="54">
        <v>287</v>
      </c>
      <c r="R43" s="49">
        <v>315</v>
      </c>
      <c r="S43" s="65">
        <f t="shared" si="2"/>
        <v>208.33333333333334</v>
      </c>
      <c r="T43" s="70" t="s">
        <v>68</v>
      </c>
      <c r="U43" s="1" t="s">
        <v>73</v>
      </c>
    </row>
    <row r="44" spans="1:21" ht="20.100000000000001" customHeight="1">
      <c r="A44" s="291"/>
      <c r="B44" s="299"/>
      <c r="C44" s="294" t="s">
        <v>74</v>
      </c>
      <c r="D44" s="294"/>
      <c r="E44" s="222">
        <v>314.1305375</v>
      </c>
      <c r="F44" s="275"/>
      <c r="G44" s="18">
        <v>259</v>
      </c>
      <c r="H44" s="18">
        <v>234</v>
      </c>
      <c r="I44" s="18">
        <v>253</v>
      </c>
      <c r="J44" s="18">
        <v>234</v>
      </c>
      <c r="K44" s="18">
        <v>236</v>
      </c>
      <c r="L44" s="18">
        <v>230</v>
      </c>
      <c r="M44" s="18">
        <v>248</v>
      </c>
      <c r="N44" s="18">
        <v>318</v>
      </c>
      <c r="O44" s="18">
        <v>223</v>
      </c>
      <c r="P44" s="18">
        <v>225</v>
      </c>
      <c r="Q44" s="18">
        <v>238</v>
      </c>
      <c r="R44" s="18">
        <v>306</v>
      </c>
      <c r="S44" s="65">
        <f t="shared" si="2"/>
        <v>250.33333333333334</v>
      </c>
      <c r="T44" s="70" t="s">
        <v>68</v>
      </c>
      <c r="U44" s="1" t="s">
        <v>75</v>
      </c>
    </row>
    <row r="45" spans="1:21" ht="20.100000000000001" customHeight="1">
      <c r="A45" s="291"/>
      <c r="B45" s="299"/>
      <c r="C45" s="294" t="s">
        <v>76</v>
      </c>
      <c r="D45" s="294"/>
      <c r="E45" s="222">
        <v>314.1305375</v>
      </c>
      <c r="F45" s="275"/>
      <c r="G45" s="18">
        <v>259</v>
      </c>
      <c r="H45" s="18">
        <v>234</v>
      </c>
      <c r="I45" s="18">
        <v>253</v>
      </c>
      <c r="J45" s="18">
        <v>234</v>
      </c>
      <c r="K45" s="18">
        <v>236</v>
      </c>
      <c r="L45" s="18">
        <v>231</v>
      </c>
      <c r="M45" s="18">
        <v>248</v>
      </c>
      <c r="N45" s="18">
        <v>318</v>
      </c>
      <c r="O45" s="18">
        <v>224</v>
      </c>
      <c r="P45" s="18">
        <v>226</v>
      </c>
      <c r="Q45" s="18">
        <v>239</v>
      </c>
      <c r="R45" s="18">
        <v>307</v>
      </c>
      <c r="S45" s="65">
        <f t="shared" si="2"/>
        <v>250.75</v>
      </c>
      <c r="T45" s="70" t="s">
        <v>68</v>
      </c>
      <c r="U45" s="1" t="s">
        <v>77</v>
      </c>
    </row>
    <row r="46" spans="1:21" ht="20.100000000000001" customHeight="1">
      <c r="A46" s="291"/>
      <c r="B46" s="283" t="s">
        <v>66</v>
      </c>
      <c r="C46" s="284"/>
      <c r="D46" s="284"/>
      <c r="E46" s="277">
        <f>E43+E44+E45</f>
        <v>799.06157499999995</v>
      </c>
      <c r="F46" s="275"/>
      <c r="G46" s="18">
        <f t="shared" ref="G46:R46" si="11">SUM(G43:G45)</f>
        <v>735</v>
      </c>
      <c r="H46" s="18">
        <f t="shared" si="11"/>
        <v>681</v>
      </c>
      <c r="I46" s="18">
        <f t="shared" si="11"/>
        <v>670</v>
      </c>
      <c r="J46" s="18">
        <f t="shared" si="11"/>
        <v>647</v>
      </c>
      <c r="K46" s="18">
        <f t="shared" si="11"/>
        <v>587</v>
      </c>
      <c r="L46" s="18">
        <f t="shared" si="11"/>
        <v>691</v>
      </c>
      <c r="M46" s="18">
        <f t="shared" si="11"/>
        <v>687</v>
      </c>
      <c r="N46" s="18">
        <f t="shared" si="11"/>
        <v>859</v>
      </c>
      <c r="O46" s="18">
        <f t="shared" si="11"/>
        <v>580</v>
      </c>
      <c r="P46" s="18">
        <f t="shared" si="11"/>
        <v>684</v>
      </c>
      <c r="Q46" s="18">
        <f t="shared" si="11"/>
        <v>764</v>
      </c>
      <c r="R46" s="18">
        <f t="shared" si="11"/>
        <v>928</v>
      </c>
      <c r="S46" s="65">
        <f t="shared" si="2"/>
        <v>709.41666666666663</v>
      </c>
      <c r="T46" s="271" t="s">
        <v>19</v>
      </c>
    </row>
    <row r="47" spans="1:21" ht="20.100000000000001" customHeight="1" thickBot="1">
      <c r="A47" s="292"/>
      <c r="B47" s="273" t="s">
        <v>67</v>
      </c>
      <c r="C47" s="273"/>
      <c r="D47" s="273"/>
      <c r="E47" s="278"/>
      <c r="F47" s="276"/>
      <c r="G47" s="146" t="s">
        <v>68</v>
      </c>
      <c r="H47" s="146" t="s">
        <v>68</v>
      </c>
      <c r="I47" s="146" t="s">
        <v>68</v>
      </c>
      <c r="J47" s="146" t="s">
        <v>68</v>
      </c>
      <c r="K47" s="146" t="s">
        <v>68</v>
      </c>
      <c r="L47" s="146" t="s">
        <v>68</v>
      </c>
      <c r="M47" s="146" t="s">
        <v>68</v>
      </c>
      <c r="N47" s="146" t="s">
        <v>68</v>
      </c>
      <c r="O47" s="146" t="s">
        <v>68</v>
      </c>
      <c r="P47" s="146" t="s">
        <v>68</v>
      </c>
      <c r="Q47" s="146" t="s">
        <v>68</v>
      </c>
      <c r="R47" s="146"/>
      <c r="S47" s="146" t="s">
        <v>19</v>
      </c>
      <c r="T47" s="272"/>
    </row>
    <row r="48" spans="1:21" ht="20.100000000000001" customHeight="1" thickTop="1">
      <c r="A48" s="279" t="s">
        <v>78</v>
      </c>
      <c r="B48" s="283" t="s">
        <v>79</v>
      </c>
      <c r="C48" s="285" t="s">
        <v>80</v>
      </c>
      <c r="D48" s="286"/>
      <c r="E48" s="27">
        <v>0.85</v>
      </c>
      <c r="F48" s="236">
        <f>R48/E48</f>
        <v>0.86067009445558273</v>
      </c>
      <c r="G48" s="55">
        <v>0.94499999999999995</v>
      </c>
      <c r="H48" s="55">
        <v>0.94592411851730085</v>
      </c>
      <c r="I48" s="55">
        <v>0.94870361770910394</v>
      </c>
      <c r="J48" s="55">
        <v>0.95118039916714614</v>
      </c>
      <c r="K48" s="55">
        <v>0.94987320895317962</v>
      </c>
      <c r="L48" s="55">
        <v>0.94420413139366033</v>
      </c>
      <c r="M48" s="55">
        <v>0.88140396153530043</v>
      </c>
      <c r="N48" s="55">
        <v>0.86080539574258241</v>
      </c>
      <c r="O48" s="55">
        <v>0.75404235500397243</v>
      </c>
      <c r="P48" s="55">
        <v>0.58624041122161041</v>
      </c>
      <c r="Q48" s="55">
        <v>0.48386677762253089</v>
      </c>
      <c r="R48" s="55">
        <f>庫位使用率!$C296</f>
        <v>0.73156958028724528</v>
      </c>
      <c r="S48" s="225">
        <f t="shared" ref="S48:S58" si="12">AVERAGE(G48:R48)</f>
        <v>0.83190116309613593</v>
      </c>
      <c r="T48" s="55">
        <f>S48/E48</f>
        <v>0.97870725070133646</v>
      </c>
    </row>
    <row r="49" spans="1:20" ht="20.100000000000001" customHeight="1">
      <c r="A49" s="280"/>
      <c r="B49" s="284"/>
      <c r="C49" s="287" t="s">
        <v>354</v>
      </c>
      <c r="D49" s="288"/>
      <c r="E49" s="26">
        <v>0.85</v>
      </c>
      <c r="F49" s="236">
        <f t="shared" ref="F49:F57" si="13">R49/E49</f>
        <v>0.68240247973881585</v>
      </c>
      <c r="G49" s="19">
        <v>1.8109999999999999</v>
      </c>
      <c r="H49" s="19">
        <v>1.8032232391563867</v>
      </c>
      <c r="I49" s="19">
        <v>1.8175487465181059</v>
      </c>
      <c r="J49" s="19">
        <v>1.8278949462793475</v>
      </c>
      <c r="K49" s="19">
        <v>1.8243135694389176</v>
      </c>
      <c r="L49" s="19">
        <v>1.7634301631516116</v>
      </c>
      <c r="M49" s="19">
        <v>1.7628332670115401</v>
      </c>
      <c r="N49" s="19">
        <v>1.7441305212892957</v>
      </c>
      <c r="O49" s="19">
        <v>1.7859132510943097</v>
      </c>
      <c r="P49" s="19">
        <v>1.772383605252686</v>
      </c>
      <c r="Q49" s="19">
        <v>1.7200557103064067</v>
      </c>
      <c r="R49" s="19">
        <f>庫位使用率!$G296</f>
        <v>0.58004210777799348</v>
      </c>
      <c r="S49" s="225">
        <f t="shared" si="12"/>
        <v>1.6843974272730502</v>
      </c>
      <c r="T49" s="55">
        <f>S49/E49</f>
        <v>1.9816440320859414</v>
      </c>
    </row>
    <row r="50" spans="1:20" ht="20.100000000000001" customHeight="1">
      <c r="A50" s="280"/>
      <c r="B50" s="284"/>
      <c r="C50" s="287" t="s">
        <v>81</v>
      </c>
      <c r="D50" s="288"/>
      <c r="E50" s="21">
        <v>0.85</v>
      </c>
      <c r="F50" s="236">
        <f t="shared" si="13"/>
        <v>1.0390609892872336</v>
      </c>
      <c r="G50" s="19">
        <v>0.91400000000000003</v>
      </c>
      <c r="H50" s="19">
        <v>0.88581541748849446</v>
      </c>
      <c r="I50" s="19">
        <v>0.86567110453648921</v>
      </c>
      <c r="J50" s="19">
        <v>0.87924079552925716</v>
      </c>
      <c r="K50" s="19">
        <v>0.87360355029585801</v>
      </c>
      <c r="L50" s="19">
        <v>0.87559072978303754</v>
      </c>
      <c r="M50" s="19">
        <v>0.90036242603550298</v>
      </c>
      <c r="N50" s="19">
        <v>0.90036390532544386</v>
      </c>
      <c r="O50" s="19">
        <v>0.90697107166337931</v>
      </c>
      <c r="P50" s="19">
        <v>0.90169214332675873</v>
      </c>
      <c r="Q50" s="19">
        <v>0.83632232084155167</v>
      </c>
      <c r="R50" s="19">
        <f>庫位使用率!$L296</f>
        <v>0.88320184089414855</v>
      </c>
      <c r="S50" s="225">
        <f t="shared" si="12"/>
        <v>0.88523627547666006</v>
      </c>
      <c r="T50" s="55">
        <f>S50/E50</f>
        <v>1.0414544417372471</v>
      </c>
    </row>
    <row r="51" spans="1:20" ht="20.100000000000001" customHeight="1">
      <c r="A51" s="280"/>
      <c r="B51" s="298" t="s">
        <v>82</v>
      </c>
      <c r="C51" s="289" t="s">
        <v>83</v>
      </c>
      <c r="D51" s="290"/>
      <c r="E51" s="17">
        <v>0.85</v>
      </c>
      <c r="F51" s="236">
        <f t="shared" si="13"/>
        <v>1.1017117656563353</v>
      </c>
      <c r="G51" s="19">
        <v>0.94</v>
      </c>
      <c r="H51" s="19">
        <v>0.93820649539505585</v>
      </c>
      <c r="I51" s="19">
        <v>0.93565519470027481</v>
      </c>
      <c r="J51" s="19">
        <v>0.93820487962514143</v>
      </c>
      <c r="K51" s="19">
        <v>0.93978187106156086</v>
      </c>
      <c r="L51" s="19">
        <v>0.94726288576506701</v>
      </c>
      <c r="M51" s="19">
        <v>0.92799806107610283</v>
      </c>
      <c r="N51" s="19">
        <v>0.91590402326708675</v>
      </c>
      <c r="O51" s="19">
        <v>0.91384230085635809</v>
      </c>
      <c r="P51" s="19">
        <v>0.92324931329778637</v>
      </c>
      <c r="Q51" s="19">
        <v>0.93257715301341093</v>
      </c>
      <c r="R51" s="19">
        <f>庫位使用率!$Q296</f>
        <v>0.93645500080788502</v>
      </c>
      <c r="S51" s="225">
        <f t="shared" si="12"/>
        <v>0.93242809823881068</v>
      </c>
      <c r="T51" s="55">
        <f>S51/E51</f>
        <v>1.0969742332221302</v>
      </c>
    </row>
    <row r="52" spans="1:20" ht="20.100000000000001" customHeight="1">
      <c r="A52" s="280"/>
      <c r="B52" s="299"/>
      <c r="C52" s="289" t="s">
        <v>84</v>
      </c>
      <c r="D52" s="290"/>
      <c r="E52" s="17">
        <v>0.85</v>
      </c>
      <c r="F52" s="236">
        <f t="shared" si="13"/>
        <v>1.1306059265811588</v>
      </c>
      <c r="G52" s="19">
        <v>0.96799999999999997</v>
      </c>
      <c r="H52" s="19">
        <v>0.96190476190476193</v>
      </c>
      <c r="I52" s="19">
        <v>0.95526002506265661</v>
      </c>
      <c r="J52" s="19">
        <v>0.95557644110275686</v>
      </c>
      <c r="K52" s="19">
        <v>0.95526002506265661</v>
      </c>
      <c r="L52" s="19">
        <v>0.96380325814536338</v>
      </c>
      <c r="M52" s="19">
        <v>0.96095551378446109</v>
      </c>
      <c r="N52" s="19">
        <v>0.96475250626566411</v>
      </c>
      <c r="O52" s="19">
        <v>0.96823308270676689</v>
      </c>
      <c r="P52" s="19">
        <v>0.96918233082706773</v>
      </c>
      <c r="Q52" s="19">
        <v>0.96696741854636592</v>
      </c>
      <c r="R52" s="19">
        <f>庫位使用率!$T296</f>
        <v>0.96101503759398499</v>
      </c>
      <c r="S52" s="225">
        <f t="shared" si="12"/>
        <v>0.96257586675020879</v>
      </c>
      <c r="T52" s="55">
        <f>S52/E52</f>
        <v>1.1324421961767162</v>
      </c>
    </row>
    <row r="53" spans="1:20" ht="20.100000000000001" customHeight="1">
      <c r="A53" s="280"/>
      <c r="B53" s="299"/>
      <c r="C53" s="289" t="s">
        <v>85</v>
      </c>
      <c r="D53" s="290"/>
      <c r="E53" s="17">
        <v>0.85</v>
      </c>
      <c r="F53" s="236">
        <f t="shared" si="13"/>
        <v>2.4547911037206402</v>
      </c>
      <c r="G53" s="19">
        <v>2.2799999999999998</v>
      </c>
      <c r="H53" s="19">
        <v>2.2756183745583041</v>
      </c>
      <c r="I53" s="19">
        <v>2.3162544169611308</v>
      </c>
      <c r="J53" s="19">
        <v>2.3180212014134276</v>
      </c>
      <c r="K53" s="19">
        <v>2.3074204946996466</v>
      </c>
      <c r="L53" s="19">
        <v>2.2959363957597172</v>
      </c>
      <c r="M53" s="19">
        <v>2.2217314487632507</v>
      </c>
      <c r="N53" s="19">
        <v>2.1643109540636041</v>
      </c>
      <c r="O53" s="19">
        <v>2.1439929328621909</v>
      </c>
      <c r="P53" s="19">
        <v>2.1475265017667846</v>
      </c>
      <c r="Q53" s="19">
        <v>2.1148409893992932</v>
      </c>
      <c r="R53" s="19">
        <f>庫位使用率!$U296</f>
        <v>2.0865724381625443</v>
      </c>
      <c r="S53" s="225">
        <f t="shared" si="12"/>
        <v>2.2226855123674913</v>
      </c>
      <c r="T53" s="55">
        <f t="shared" ref="T53:T57" si="14">S53/E53</f>
        <v>2.6149241321970487</v>
      </c>
    </row>
    <row r="54" spans="1:20" ht="20.100000000000001" customHeight="1">
      <c r="A54" s="280"/>
      <c r="B54" s="299"/>
      <c r="C54" s="289" t="s">
        <v>86</v>
      </c>
      <c r="D54" s="290"/>
      <c r="E54" s="17">
        <v>0.85</v>
      </c>
      <c r="F54" s="236">
        <f t="shared" si="13"/>
        <v>1.218900675024108</v>
      </c>
      <c r="G54" s="19">
        <v>0.98399999999999999</v>
      </c>
      <c r="H54" s="19">
        <v>0.98360655737704916</v>
      </c>
      <c r="I54" s="19">
        <v>0.98032786885245904</v>
      </c>
      <c r="J54" s="19">
        <v>0.98032786885245904</v>
      </c>
      <c r="K54" s="19">
        <v>0.98032786885245904</v>
      </c>
      <c r="L54" s="19">
        <v>0.98360655737704916</v>
      </c>
      <c r="M54" s="19">
        <v>0.99344262295081964</v>
      </c>
      <c r="N54" s="19">
        <v>0.99344262295081964</v>
      </c>
      <c r="O54" s="19">
        <v>1.0032786885245901</v>
      </c>
      <c r="P54" s="19">
        <v>1</v>
      </c>
      <c r="Q54" s="19">
        <v>1.0163934426229508</v>
      </c>
      <c r="R54" s="19">
        <f>庫位使用率!$W296</f>
        <v>1.0360655737704918</v>
      </c>
      <c r="S54" s="225">
        <f t="shared" si="12"/>
        <v>0.99456830601092905</v>
      </c>
      <c r="T54" s="55">
        <f t="shared" si="14"/>
        <v>1.1700803600128578</v>
      </c>
    </row>
    <row r="55" spans="1:20" ht="20.100000000000001" customHeight="1">
      <c r="A55" s="280"/>
      <c r="B55" s="299"/>
      <c r="C55" s="289" t="s">
        <v>87</v>
      </c>
      <c r="D55" s="290"/>
      <c r="E55" s="17">
        <v>0.85</v>
      </c>
      <c r="F55" s="236">
        <f t="shared" si="13"/>
        <v>1.0676173499702912</v>
      </c>
      <c r="G55" s="19">
        <v>0.876</v>
      </c>
      <c r="H55" s="19">
        <v>0.87878787878787878</v>
      </c>
      <c r="I55" s="19">
        <v>0.88363636363636355</v>
      </c>
      <c r="J55" s="19">
        <v>0.88242424242424244</v>
      </c>
      <c r="K55" s="19">
        <v>0.88363636363636355</v>
      </c>
      <c r="L55" s="19">
        <v>0.88969696969696965</v>
      </c>
      <c r="M55" s="19">
        <v>0.89090909090909087</v>
      </c>
      <c r="N55" s="19">
        <v>0.8921212121212122</v>
      </c>
      <c r="O55" s="19">
        <v>0.89575757575757575</v>
      </c>
      <c r="P55" s="19">
        <v>0.90060606060606063</v>
      </c>
      <c r="Q55" s="19">
        <v>0.9054545454545454</v>
      </c>
      <c r="R55" s="19">
        <f>庫位使用率!$X296</f>
        <v>0.90747474747474743</v>
      </c>
      <c r="S55" s="225">
        <f t="shared" si="12"/>
        <v>0.89054208754208763</v>
      </c>
      <c r="T55" s="55">
        <f t="shared" si="14"/>
        <v>1.0476965735789268</v>
      </c>
    </row>
    <row r="56" spans="1:20" ht="20.100000000000001" customHeight="1">
      <c r="A56" s="280"/>
      <c r="B56" s="299"/>
      <c r="C56" s="289" t="s">
        <v>88</v>
      </c>
      <c r="D56" s="290"/>
      <c r="E56" s="17">
        <v>0.85</v>
      </c>
      <c r="F56" s="236">
        <f t="shared" si="13"/>
        <v>1.1764705882352942</v>
      </c>
      <c r="G56" s="19">
        <v>0.90500000000000003</v>
      </c>
      <c r="H56" s="19">
        <v>0.9285714285714286</v>
      </c>
      <c r="I56" s="19">
        <v>0.93253968253968256</v>
      </c>
      <c r="J56" s="19">
        <v>0.95634920634920639</v>
      </c>
      <c r="K56" s="19">
        <v>0.98015873015873012</v>
      </c>
      <c r="L56" s="19">
        <v>0.99206349206349209</v>
      </c>
      <c r="M56" s="19">
        <v>0.98015873015873012</v>
      </c>
      <c r="N56" s="19">
        <v>0.97222222222222221</v>
      </c>
      <c r="O56" s="19">
        <v>0.98809523809523814</v>
      </c>
      <c r="P56" s="19">
        <v>0.98809523809523814</v>
      </c>
      <c r="Q56" s="19">
        <v>0.98809523809523814</v>
      </c>
      <c r="R56" s="19">
        <f>庫位使用率!$Y296</f>
        <v>1</v>
      </c>
      <c r="S56" s="225">
        <f t="shared" si="12"/>
        <v>0.9676124338624339</v>
      </c>
      <c r="T56" s="55">
        <f t="shared" si="14"/>
        <v>1.1383675692499222</v>
      </c>
    </row>
    <row r="57" spans="1:20" ht="20.100000000000001" customHeight="1">
      <c r="A57" s="281"/>
      <c r="B57" s="300"/>
      <c r="C57" s="287" t="s">
        <v>89</v>
      </c>
      <c r="D57" s="288"/>
      <c r="E57" s="90">
        <v>0.85</v>
      </c>
      <c r="F57" s="236">
        <f t="shared" si="13"/>
        <v>0.91822094691535161</v>
      </c>
      <c r="G57" s="70">
        <v>0.76200000000000001</v>
      </c>
      <c r="H57" s="70">
        <v>0.76219512195121952</v>
      </c>
      <c r="I57" s="70">
        <v>0.76829268292682928</v>
      </c>
      <c r="J57" s="70">
        <v>0.76829268292682928</v>
      </c>
      <c r="K57" s="70">
        <v>0.76829268292682928</v>
      </c>
      <c r="L57" s="70">
        <v>0.77439024390243905</v>
      </c>
      <c r="M57" s="70">
        <v>0.77439024390243905</v>
      </c>
      <c r="N57" s="70">
        <v>0.77439024390243905</v>
      </c>
      <c r="O57" s="70">
        <v>0.77439024390243905</v>
      </c>
      <c r="P57" s="70">
        <v>0.78048780487804881</v>
      </c>
      <c r="Q57" s="70">
        <v>0.78048780487804881</v>
      </c>
      <c r="R57" s="70">
        <f>庫位使用率!$Z296</f>
        <v>0.78048780487804881</v>
      </c>
      <c r="S57" s="225">
        <f t="shared" si="12"/>
        <v>0.77234146341463428</v>
      </c>
      <c r="T57" s="55">
        <f t="shared" si="14"/>
        <v>0.90863701578192269</v>
      </c>
    </row>
    <row r="58" spans="1:20" ht="30" customHeight="1" thickBot="1">
      <c r="A58" s="282"/>
      <c r="B58" s="295" t="s">
        <v>90</v>
      </c>
      <c r="C58" s="296"/>
      <c r="D58" s="297"/>
      <c r="E58" s="35">
        <v>0.85</v>
      </c>
      <c r="F58" s="36">
        <f t="shared" ref="F58" si="15">Q58/E58</f>
        <v>0.75196130411784667</v>
      </c>
      <c r="G58" s="34">
        <v>1.006</v>
      </c>
      <c r="H58" s="34">
        <v>1.0045381213946387</v>
      </c>
      <c r="I58" s="34">
        <v>1.0070028100610791</v>
      </c>
      <c r="J58" s="34">
        <f>庫位使用率!$AC248</f>
        <v>1.0102442314217848</v>
      </c>
      <c r="K58" s="34">
        <f>庫位使用率!$AC254</f>
        <v>1.0089333008143875</v>
      </c>
      <c r="L58" s="34">
        <f>庫位使用率!$AC260</f>
        <v>1.0020381638106548</v>
      </c>
      <c r="M58" s="34">
        <f>庫位使用率!$AC266</f>
        <v>0.95135842063963361</v>
      </c>
      <c r="N58" s="34">
        <f>庫位使用率!$AC272</f>
        <v>0.93321995355446219</v>
      </c>
      <c r="O58" s="34">
        <f>庫位使用率!$AC278</f>
        <v>0.85342429271292841</v>
      </c>
      <c r="P58" s="34">
        <f>庫位使用率!$AC284</f>
        <v>0.7230328512046148</v>
      </c>
      <c r="Q58" s="34">
        <f>庫位使用率!$AC290</f>
        <v>0.63916710850016967</v>
      </c>
      <c r="R58" s="34">
        <f>庫位使用率!$AC296</f>
        <v>0.68946634269528206</v>
      </c>
      <c r="S58" s="34">
        <f t="shared" si="12"/>
        <v>0.9023687997341362</v>
      </c>
      <c r="T58" s="34">
        <f>S58/E58</f>
        <v>1.0616103526283955</v>
      </c>
    </row>
    <row r="59" spans="1:20" ht="16.5" thickTop="1"/>
    <row r="61" spans="1:20">
      <c r="F61" s="156"/>
    </row>
  </sheetData>
  <mergeCells count="117">
    <mergeCell ref="A1:T1"/>
    <mergeCell ref="A2:D2"/>
    <mergeCell ref="A3:D3"/>
    <mergeCell ref="A4:A22"/>
    <mergeCell ref="B4:B8"/>
    <mergeCell ref="C4:D4"/>
    <mergeCell ref="E4:E5"/>
    <mergeCell ref="F4:F5"/>
    <mergeCell ref="T4:T5"/>
    <mergeCell ref="C6:D6"/>
    <mergeCell ref="E6:E7"/>
    <mergeCell ref="F6:F7"/>
    <mergeCell ref="T6:T7"/>
    <mergeCell ref="C8:D8"/>
    <mergeCell ref="B9:B15"/>
    <mergeCell ref="C9:D9"/>
    <mergeCell ref="E9:E10"/>
    <mergeCell ref="F9:F10"/>
    <mergeCell ref="C14:D14"/>
    <mergeCell ref="C15:D15"/>
    <mergeCell ref="B16:B17"/>
    <mergeCell ref="C16:D16"/>
    <mergeCell ref="C17:D17"/>
    <mergeCell ref="B18:B22"/>
    <mergeCell ref="C18:D18"/>
    <mergeCell ref="C22:D22"/>
    <mergeCell ref="T9:T10"/>
    <mergeCell ref="C11:D11"/>
    <mergeCell ref="C12:D12"/>
    <mergeCell ref="E12:E13"/>
    <mergeCell ref="F12:F13"/>
    <mergeCell ref="T12:T13"/>
    <mergeCell ref="E18:E19"/>
    <mergeCell ref="F18:F19"/>
    <mergeCell ref="T18:T19"/>
    <mergeCell ref="C20:D20"/>
    <mergeCell ref="E20:E21"/>
    <mergeCell ref="F20:F21"/>
    <mergeCell ref="T20:T21"/>
    <mergeCell ref="T26:T28"/>
    <mergeCell ref="B27:B28"/>
    <mergeCell ref="C27:D27"/>
    <mergeCell ref="C28:D28"/>
    <mergeCell ref="A23:A29"/>
    <mergeCell ref="B23:D23"/>
    <mergeCell ref="E23:E25"/>
    <mergeCell ref="F23:F25"/>
    <mergeCell ref="S23:S25"/>
    <mergeCell ref="T23:T25"/>
    <mergeCell ref="B24:B25"/>
    <mergeCell ref="C24:D24"/>
    <mergeCell ref="C25:D25"/>
    <mergeCell ref="B26:D26"/>
    <mergeCell ref="B29:D29"/>
    <mergeCell ref="A30:A34"/>
    <mergeCell ref="B30:B33"/>
    <mergeCell ref="C30:D30"/>
    <mergeCell ref="E30:E31"/>
    <mergeCell ref="F30:F31"/>
    <mergeCell ref="E26:E28"/>
    <mergeCell ref="F26:F28"/>
    <mergeCell ref="S26:S28"/>
    <mergeCell ref="A35:A42"/>
    <mergeCell ref="B35:B38"/>
    <mergeCell ref="C35:D35"/>
    <mergeCell ref="C36:D36"/>
    <mergeCell ref="C37:D37"/>
    <mergeCell ref="C42:D42"/>
    <mergeCell ref="S30:S31"/>
    <mergeCell ref="P30:P31"/>
    <mergeCell ref="Q30:Q31"/>
    <mergeCell ref="R30:R31"/>
    <mergeCell ref="T30:T31"/>
    <mergeCell ref="C31:D31"/>
    <mergeCell ref="C32:D32"/>
    <mergeCell ref="C33:D33"/>
    <mergeCell ref="B34:D34"/>
    <mergeCell ref="T37:T38"/>
    <mergeCell ref="C38:D38"/>
    <mergeCell ref="B39:B42"/>
    <mergeCell ref="C39:D39"/>
    <mergeCell ref="C40:D40"/>
    <mergeCell ref="C41:D41"/>
    <mergeCell ref="T41:T42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T46:T47"/>
    <mergeCell ref="B47:D47"/>
    <mergeCell ref="F43:F47"/>
    <mergeCell ref="E46:E47"/>
    <mergeCell ref="A48:A58"/>
    <mergeCell ref="B48:B50"/>
    <mergeCell ref="C48:D48"/>
    <mergeCell ref="C49:D49"/>
    <mergeCell ref="C50:D50"/>
    <mergeCell ref="C51:D51"/>
    <mergeCell ref="C52:D52"/>
    <mergeCell ref="A43:A47"/>
    <mergeCell ref="C43:D43"/>
    <mergeCell ref="C44:D44"/>
    <mergeCell ref="C45:D45"/>
    <mergeCell ref="B46:D46"/>
    <mergeCell ref="C57:D57"/>
    <mergeCell ref="B58:D58"/>
    <mergeCell ref="B51:B57"/>
    <mergeCell ref="C53:D53"/>
    <mergeCell ref="C54:D54"/>
    <mergeCell ref="C55:D55"/>
    <mergeCell ref="C56:D56"/>
    <mergeCell ref="B43:B45"/>
  </mergeCells>
  <phoneticPr fontId="1" type="noConversion"/>
  <pageMargins left="0.70866141732283472" right="0.70866141732283472" top="0.55118110236220474" bottom="0.35433070866141736" header="0.51181102362204722" footer="0.11811023622047245"/>
  <pageSetup paperSize="8" scale="68" orientation="landscape" r:id="rId1"/>
  <headerFooter>
    <oddHeader>&amp;R&amp;"微軟正黑體,標準"單位:零件楊配室
日期:2026/01/06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52"/>
  <sheetViews>
    <sheetView topLeftCell="A212" zoomScale="87" zoomScaleNormal="87" workbookViewId="0">
      <pane xSplit="1" ySplit="3" topLeftCell="B221" activePane="bottomRight" state="frozen"/>
      <selection pane="topRight" activeCell="B212" sqref="B212"/>
      <selection pane="bottomLeft" activeCell="A214" sqref="A214"/>
      <selection pane="bottomRight" activeCell="S226" sqref="S226"/>
    </sheetView>
  </sheetViews>
  <sheetFormatPr defaultRowHeight="18.95" customHeight="1"/>
  <cols>
    <col min="1" max="1" width="12.375" bestFit="1" customWidth="1"/>
    <col min="2" max="8" width="10.625" style="5" bestFit="1" customWidth="1"/>
    <col min="9" max="11" width="9.625" style="5" customWidth="1"/>
    <col min="12" max="13" width="9.625" style="5" bestFit="1" customWidth="1"/>
    <col min="14" max="14" width="12.875" bestFit="1" customWidth="1"/>
    <col min="15" max="15" width="13" bestFit="1" customWidth="1"/>
    <col min="17" max="17" width="9.5" bestFit="1" customWidth="1"/>
  </cols>
  <sheetData>
    <row r="1" spans="1:13" ht="18.95" customHeight="1">
      <c r="A1" s="96" t="s">
        <v>91</v>
      </c>
      <c r="B1" s="97">
        <v>1</v>
      </c>
      <c r="C1" s="97">
        <v>2</v>
      </c>
      <c r="D1" s="97">
        <v>3</v>
      </c>
      <c r="E1" s="97">
        <v>4</v>
      </c>
      <c r="F1" s="97">
        <v>5</v>
      </c>
      <c r="G1" s="97">
        <v>6</v>
      </c>
      <c r="H1" s="97">
        <v>7</v>
      </c>
      <c r="I1" s="97">
        <v>8</v>
      </c>
      <c r="J1" s="97">
        <v>9</v>
      </c>
      <c r="K1" s="97">
        <v>10</v>
      </c>
      <c r="L1" s="97">
        <v>11</v>
      </c>
      <c r="M1" s="97">
        <v>12</v>
      </c>
    </row>
    <row r="2" spans="1:13" ht="18.95" customHeight="1">
      <c r="A2" s="98" t="s">
        <v>92</v>
      </c>
      <c r="B2" s="99">
        <v>391042</v>
      </c>
      <c r="C2" s="99">
        <v>232855</v>
      </c>
      <c r="D2" s="99">
        <v>313479</v>
      </c>
      <c r="E2" s="99">
        <v>296353</v>
      </c>
      <c r="F2" s="99">
        <v>317723</v>
      </c>
      <c r="G2" s="99">
        <v>299282</v>
      </c>
      <c r="H2" s="99">
        <v>340859</v>
      </c>
      <c r="I2" s="99">
        <v>321679</v>
      </c>
      <c r="J2" s="99">
        <v>293513</v>
      </c>
      <c r="K2" s="99">
        <v>328038</v>
      </c>
      <c r="L2" s="99">
        <v>319587</v>
      </c>
      <c r="M2" s="99">
        <v>355032</v>
      </c>
    </row>
    <row r="3" spans="1:13" ht="18.95" customHeight="1">
      <c r="A3" s="98" t="s">
        <v>93</v>
      </c>
      <c r="B3" s="103">
        <v>19165</v>
      </c>
      <c r="C3" s="103">
        <v>5370</v>
      </c>
      <c r="D3" s="103">
        <v>7040</v>
      </c>
      <c r="E3" s="103">
        <v>8088</v>
      </c>
      <c r="F3" s="103">
        <v>14307</v>
      </c>
      <c r="G3" s="103">
        <v>15998</v>
      </c>
      <c r="H3" s="103">
        <v>17087</v>
      </c>
      <c r="I3" s="103">
        <v>9871</v>
      </c>
      <c r="J3" s="103">
        <v>7884</v>
      </c>
      <c r="K3" s="103">
        <v>10591</v>
      </c>
      <c r="L3" s="103">
        <v>14011</v>
      </c>
      <c r="M3" s="103">
        <v>19338</v>
      </c>
    </row>
    <row r="4" spans="1:13" ht="18.95" customHeight="1">
      <c r="A4" s="98" t="s">
        <v>94</v>
      </c>
      <c r="B4" s="103">
        <v>1541</v>
      </c>
      <c r="C4" s="97">
        <v>915</v>
      </c>
      <c r="D4" s="103">
        <v>1173</v>
      </c>
      <c r="E4" s="103">
        <v>1192</v>
      </c>
      <c r="F4" s="103">
        <v>1374</v>
      </c>
      <c r="G4" s="103">
        <v>1259</v>
      </c>
      <c r="H4" s="103">
        <v>1698</v>
      </c>
      <c r="I4" s="103">
        <v>1184</v>
      </c>
      <c r="J4" s="103">
        <v>1284</v>
      </c>
      <c r="K4" s="103">
        <v>1463</v>
      </c>
      <c r="L4" s="103">
        <v>1337</v>
      </c>
      <c r="M4" s="103">
        <v>1413</v>
      </c>
    </row>
    <row r="5" spans="1:13" ht="18.95" customHeight="1">
      <c r="A5" s="98" t="s">
        <v>95</v>
      </c>
      <c r="B5" s="103">
        <v>9219</v>
      </c>
      <c r="C5" s="103">
        <v>5688</v>
      </c>
      <c r="D5" s="103">
        <v>6409</v>
      </c>
      <c r="E5" s="103">
        <v>7215</v>
      </c>
      <c r="F5" s="100">
        <v>6512</v>
      </c>
      <c r="G5" s="100">
        <v>7125</v>
      </c>
      <c r="H5" s="100">
        <v>6171</v>
      </c>
      <c r="I5" s="103">
        <v>3806</v>
      </c>
      <c r="J5" s="103">
        <v>4954</v>
      </c>
      <c r="K5" s="103">
        <v>6786</v>
      </c>
      <c r="L5" s="103">
        <v>6618</v>
      </c>
      <c r="M5" s="103">
        <v>7404</v>
      </c>
    </row>
    <row r="6" spans="1:13" ht="18.95" customHeight="1">
      <c r="A6" s="98" t="s">
        <v>96</v>
      </c>
      <c r="B6" s="97">
        <v>767</v>
      </c>
      <c r="C6" s="97">
        <v>338</v>
      </c>
      <c r="D6" s="97">
        <v>601</v>
      </c>
      <c r="E6" s="97">
        <v>480</v>
      </c>
      <c r="F6" s="100">
        <v>523</v>
      </c>
      <c r="G6" s="100">
        <v>573</v>
      </c>
      <c r="H6" s="97">
        <v>690</v>
      </c>
      <c r="I6" s="97">
        <v>627</v>
      </c>
      <c r="J6" s="97">
        <v>544</v>
      </c>
      <c r="K6" s="97">
        <v>652</v>
      </c>
      <c r="L6" s="97">
        <v>735</v>
      </c>
      <c r="M6" s="97">
        <v>807</v>
      </c>
    </row>
    <row r="7" spans="1:13" ht="18.95" customHeight="1">
      <c r="A7" s="98" t="s">
        <v>97</v>
      </c>
      <c r="B7" s="103">
        <v>1979</v>
      </c>
      <c r="C7" s="103">
        <v>1127</v>
      </c>
      <c r="D7" s="103">
        <v>1706</v>
      </c>
      <c r="E7" s="103">
        <v>1466</v>
      </c>
      <c r="F7" s="103">
        <v>2276</v>
      </c>
      <c r="G7" s="103">
        <v>1829</v>
      </c>
      <c r="H7" s="103">
        <v>2225</v>
      </c>
      <c r="I7" s="103">
        <v>2422</v>
      </c>
      <c r="J7" s="103">
        <v>2030</v>
      </c>
      <c r="K7" s="103">
        <v>2523</v>
      </c>
      <c r="L7" s="103">
        <v>2213</v>
      </c>
      <c r="M7" s="103">
        <v>2459</v>
      </c>
    </row>
    <row r="8" spans="1:13" ht="18.95" customHeight="1">
      <c r="A8" s="98" t="s">
        <v>98</v>
      </c>
      <c r="B8" s="97">
        <v>1781</v>
      </c>
      <c r="C8" s="97">
        <v>1320</v>
      </c>
      <c r="D8" s="97">
        <v>1206</v>
      </c>
      <c r="E8" s="97">
        <v>908</v>
      </c>
      <c r="F8" s="100">
        <v>1448</v>
      </c>
      <c r="G8" s="100">
        <v>1596</v>
      </c>
      <c r="H8" s="100">
        <v>1620</v>
      </c>
      <c r="I8" s="100">
        <v>1678</v>
      </c>
      <c r="J8" s="100">
        <v>2144</v>
      </c>
      <c r="K8" s="100">
        <v>1778</v>
      </c>
      <c r="L8" s="100">
        <v>2075</v>
      </c>
      <c r="M8" s="100">
        <v>1814</v>
      </c>
    </row>
    <row r="9" spans="1:13" ht="18.95" customHeight="1">
      <c r="A9" s="105" t="s">
        <v>99</v>
      </c>
      <c r="B9" s="106">
        <f t="shared" ref="B9:M9" si="0">SUM(B2:B8)</f>
        <v>425494</v>
      </c>
      <c r="C9" s="106">
        <f t="shared" si="0"/>
        <v>247613</v>
      </c>
      <c r="D9" s="106">
        <f t="shared" si="0"/>
        <v>331614</v>
      </c>
      <c r="E9" s="106">
        <f t="shared" si="0"/>
        <v>315702</v>
      </c>
      <c r="F9" s="106">
        <f t="shared" si="0"/>
        <v>344163</v>
      </c>
      <c r="G9" s="106">
        <f t="shared" si="0"/>
        <v>327662</v>
      </c>
      <c r="H9" s="106">
        <f t="shared" si="0"/>
        <v>370350</v>
      </c>
      <c r="I9" s="106">
        <f t="shared" si="0"/>
        <v>341267</v>
      </c>
      <c r="J9" s="106">
        <f t="shared" si="0"/>
        <v>312353</v>
      </c>
      <c r="K9" s="106">
        <f t="shared" si="0"/>
        <v>351831</v>
      </c>
      <c r="L9" s="106">
        <f t="shared" si="0"/>
        <v>346576</v>
      </c>
      <c r="M9" s="106">
        <f t="shared" si="0"/>
        <v>388267</v>
      </c>
    </row>
    <row r="10" spans="1:13" ht="18.95" customHeight="1">
      <c r="A10" s="98" t="s">
        <v>100</v>
      </c>
      <c r="B10" s="103">
        <v>2536614</v>
      </c>
      <c r="C10" s="103">
        <v>1445282</v>
      </c>
      <c r="D10" s="103">
        <v>1916054</v>
      </c>
      <c r="E10" s="103">
        <v>1898917</v>
      </c>
      <c r="F10" s="103">
        <v>2060248</v>
      </c>
      <c r="G10" s="103">
        <v>2025118</v>
      </c>
      <c r="H10" s="103">
        <v>2211194</v>
      </c>
      <c r="I10" s="103">
        <v>1962282</v>
      </c>
      <c r="J10" s="103">
        <v>1879324</v>
      </c>
      <c r="K10" s="103">
        <v>2087204</v>
      </c>
      <c r="L10" s="103">
        <v>2061187</v>
      </c>
      <c r="M10" s="103">
        <v>2312999</v>
      </c>
    </row>
    <row r="11" spans="1:13" ht="18.95" customHeight="1">
      <c r="A11" s="98" t="s">
        <v>101</v>
      </c>
      <c r="B11" s="103">
        <v>146177</v>
      </c>
      <c r="C11" s="103">
        <v>72647</v>
      </c>
      <c r="D11" s="103">
        <v>120051</v>
      </c>
      <c r="E11" s="103">
        <v>107960</v>
      </c>
      <c r="F11" s="103">
        <v>128648</v>
      </c>
      <c r="G11" s="103">
        <v>152500</v>
      </c>
      <c r="H11" s="103">
        <v>146036</v>
      </c>
      <c r="I11" s="103">
        <v>80867</v>
      </c>
      <c r="J11" s="103">
        <v>110822</v>
      </c>
      <c r="K11" s="103">
        <v>85412</v>
      </c>
      <c r="L11" s="103">
        <v>140248</v>
      </c>
      <c r="M11" s="103">
        <v>132573</v>
      </c>
    </row>
    <row r="12" spans="1:13" ht="18.95" customHeight="1">
      <c r="A12" s="98" t="s">
        <v>102</v>
      </c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</row>
    <row r="13" spans="1:13" ht="18.95" customHeight="1">
      <c r="A13" s="98" t="s">
        <v>103</v>
      </c>
      <c r="B13" s="103">
        <v>81135</v>
      </c>
      <c r="C13" s="103">
        <v>41945</v>
      </c>
      <c r="D13" s="103">
        <v>49580</v>
      </c>
      <c r="E13" s="103">
        <v>76305</v>
      </c>
      <c r="F13" s="103">
        <v>65954</v>
      </c>
      <c r="G13" s="103">
        <v>69793</v>
      </c>
      <c r="H13" s="103">
        <v>60954</v>
      </c>
      <c r="I13" s="103">
        <v>26574</v>
      </c>
      <c r="J13" s="103">
        <v>44215</v>
      </c>
      <c r="K13" s="103">
        <v>60060</v>
      </c>
      <c r="L13" s="103">
        <v>58843</v>
      </c>
      <c r="M13" s="103">
        <v>69373</v>
      </c>
    </row>
    <row r="14" spans="1:13" ht="18.95" customHeight="1">
      <c r="A14" s="98" t="s">
        <v>104</v>
      </c>
      <c r="B14" s="97">
        <v>8245</v>
      </c>
      <c r="C14" s="97">
        <v>4212</v>
      </c>
      <c r="D14" s="97">
        <v>9513</v>
      </c>
      <c r="E14" s="97">
        <v>5102</v>
      </c>
      <c r="F14" s="97">
        <v>7249</v>
      </c>
      <c r="G14" s="97">
        <v>6286</v>
      </c>
      <c r="H14" s="97">
        <v>7354</v>
      </c>
      <c r="I14" s="97">
        <v>7154</v>
      </c>
      <c r="J14" s="97">
        <v>5628</v>
      </c>
      <c r="K14" s="97">
        <v>7622</v>
      </c>
      <c r="L14" s="97">
        <v>7142</v>
      </c>
      <c r="M14" s="97">
        <v>7585</v>
      </c>
    </row>
    <row r="15" spans="1:13" ht="18.95" customHeight="1">
      <c r="A15" s="98" t="s">
        <v>105</v>
      </c>
      <c r="B15" s="103">
        <v>3216</v>
      </c>
      <c r="C15" s="103">
        <v>1899</v>
      </c>
      <c r="D15" s="103">
        <v>2655</v>
      </c>
      <c r="E15" s="103">
        <v>2092</v>
      </c>
      <c r="F15" s="103">
        <v>3983</v>
      </c>
      <c r="G15" s="103">
        <v>2776</v>
      </c>
      <c r="H15" s="103">
        <v>3989</v>
      </c>
      <c r="I15" s="103">
        <v>4303</v>
      </c>
      <c r="J15" s="103">
        <v>3435</v>
      </c>
      <c r="K15" s="103">
        <v>4350</v>
      </c>
      <c r="L15" s="103">
        <v>4033</v>
      </c>
      <c r="M15" s="103">
        <v>3827</v>
      </c>
    </row>
    <row r="16" spans="1:13" ht="18.95" customHeight="1">
      <c r="A16" s="98" t="s">
        <v>106</v>
      </c>
      <c r="B16" s="103">
        <v>10184</v>
      </c>
      <c r="C16" s="103">
        <v>7466</v>
      </c>
      <c r="D16" s="103">
        <v>6254</v>
      </c>
      <c r="E16" s="103">
        <v>4384</v>
      </c>
      <c r="F16" s="103">
        <v>6817</v>
      </c>
      <c r="G16" s="103">
        <v>7750</v>
      </c>
      <c r="H16" s="103">
        <v>7957</v>
      </c>
      <c r="I16" s="103">
        <v>8164</v>
      </c>
      <c r="J16" s="103">
        <v>10878</v>
      </c>
      <c r="K16" s="103">
        <v>9293</v>
      </c>
      <c r="L16" s="103">
        <v>11210</v>
      </c>
      <c r="M16" s="103">
        <v>9658</v>
      </c>
    </row>
    <row r="17" spans="1:15" ht="18.95" customHeight="1">
      <c r="A17" s="105" t="s">
        <v>107</v>
      </c>
      <c r="B17" s="107">
        <f t="shared" ref="B17:M17" si="1">SUM(B10:B16)</f>
        <v>2785571</v>
      </c>
      <c r="C17" s="107">
        <f t="shared" si="1"/>
        <v>1573451</v>
      </c>
      <c r="D17" s="107">
        <f t="shared" si="1"/>
        <v>2104107</v>
      </c>
      <c r="E17" s="107">
        <f t="shared" si="1"/>
        <v>2094760</v>
      </c>
      <c r="F17" s="107">
        <f t="shared" si="1"/>
        <v>2272899</v>
      </c>
      <c r="G17" s="107">
        <f t="shared" si="1"/>
        <v>2264223</v>
      </c>
      <c r="H17" s="107">
        <f t="shared" si="1"/>
        <v>2437484</v>
      </c>
      <c r="I17" s="107">
        <f t="shared" si="1"/>
        <v>2089344</v>
      </c>
      <c r="J17" s="107">
        <f t="shared" si="1"/>
        <v>2054302</v>
      </c>
      <c r="K17" s="107">
        <f t="shared" si="1"/>
        <v>2253941</v>
      </c>
      <c r="L17" s="107">
        <f t="shared" si="1"/>
        <v>2282663</v>
      </c>
      <c r="M17" s="107">
        <f t="shared" si="1"/>
        <v>2536015</v>
      </c>
    </row>
    <row r="19" spans="1:15" ht="18.95" customHeight="1">
      <c r="A19" s="94" t="s">
        <v>108</v>
      </c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4"/>
      <c r="O19" s="94"/>
    </row>
    <row r="20" spans="1:15" ht="18.95" customHeight="1">
      <c r="A20" s="96" t="s">
        <v>109</v>
      </c>
      <c r="B20" s="97">
        <v>1</v>
      </c>
      <c r="C20" s="97">
        <v>2</v>
      </c>
      <c r="D20" s="97">
        <v>3</v>
      </c>
      <c r="E20" s="97">
        <v>4</v>
      </c>
      <c r="F20" s="97">
        <v>5</v>
      </c>
      <c r="G20" s="97">
        <v>6</v>
      </c>
      <c r="H20" s="97">
        <v>7</v>
      </c>
      <c r="I20" s="97">
        <v>8</v>
      </c>
      <c r="J20" s="97">
        <v>9</v>
      </c>
      <c r="K20" s="97">
        <v>10</v>
      </c>
      <c r="L20" s="97">
        <v>11</v>
      </c>
      <c r="M20" s="97">
        <v>12</v>
      </c>
      <c r="N20" s="97" t="s">
        <v>110</v>
      </c>
      <c r="O20" s="97" t="s">
        <v>66</v>
      </c>
    </row>
    <row r="21" spans="1:15" ht="18.95" customHeight="1">
      <c r="A21" s="98" t="s">
        <v>92</v>
      </c>
      <c r="B21" s="99">
        <v>295444</v>
      </c>
      <c r="C21" s="99">
        <v>319960</v>
      </c>
      <c r="D21" s="99">
        <v>334332</v>
      </c>
      <c r="E21" s="99">
        <v>290437</v>
      </c>
      <c r="F21" s="100">
        <v>301493</v>
      </c>
      <c r="G21" s="100">
        <v>309849</v>
      </c>
      <c r="H21" s="100">
        <v>362845</v>
      </c>
      <c r="I21" s="100">
        <v>343104</v>
      </c>
      <c r="J21" s="100">
        <v>350048</v>
      </c>
      <c r="K21" s="100">
        <v>322082</v>
      </c>
      <c r="L21" s="100">
        <v>333743</v>
      </c>
      <c r="M21" s="100">
        <v>372497</v>
      </c>
      <c r="N21" s="99">
        <f t="shared" ref="N21:N34" si="2">AVERAGE(B21:M21)</f>
        <v>327986.16666666669</v>
      </c>
      <c r="O21" s="392">
        <f>SUM(B21:M21)</f>
        <v>3935834</v>
      </c>
    </row>
    <row r="22" spans="1:15" ht="18.95" customHeight="1">
      <c r="A22" s="101" t="s">
        <v>111</v>
      </c>
      <c r="B22" s="102">
        <f t="shared" ref="B22:M22" si="3">B21/B2</f>
        <v>0.75553009651137215</v>
      </c>
      <c r="C22" s="102">
        <f t="shared" si="3"/>
        <v>1.3740739945459621</v>
      </c>
      <c r="D22" s="102">
        <f t="shared" si="3"/>
        <v>1.0665212023771928</v>
      </c>
      <c r="E22" s="102">
        <f t="shared" si="3"/>
        <v>0.98003732035781654</v>
      </c>
      <c r="F22" s="102">
        <f t="shared" si="3"/>
        <v>0.94891776799287431</v>
      </c>
      <c r="G22" s="102">
        <f t="shared" si="3"/>
        <v>1.0353078367559694</v>
      </c>
      <c r="H22" s="102">
        <f t="shared" si="3"/>
        <v>1.0645017441229365</v>
      </c>
      <c r="I22" s="102">
        <f t="shared" si="3"/>
        <v>1.0666036639009695</v>
      </c>
      <c r="J22" s="102">
        <f t="shared" si="3"/>
        <v>1.1926149778715083</v>
      </c>
      <c r="K22" s="102">
        <f t="shared" si="3"/>
        <v>0.98184356690383434</v>
      </c>
      <c r="L22" s="102">
        <f t="shared" si="3"/>
        <v>1.0442946678056366</v>
      </c>
      <c r="M22" s="102">
        <f t="shared" si="3"/>
        <v>1.0491927488226414</v>
      </c>
      <c r="N22" s="102">
        <f t="shared" si="2"/>
        <v>1.0466199656640593</v>
      </c>
      <c r="O22" s="394"/>
    </row>
    <row r="23" spans="1:15" ht="18.95" customHeight="1">
      <c r="A23" s="98" t="s">
        <v>93</v>
      </c>
      <c r="B23" s="103">
        <v>7114</v>
      </c>
      <c r="C23" s="103">
        <v>7702</v>
      </c>
      <c r="D23" s="103">
        <v>9509</v>
      </c>
      <c r="E23" s="103">
        <v>7516</v>
      </c>
      <c r="F23" s="103">
        <v>10898</v>
      </c>
      <c r="G23" s="103">
        <v>16398</v>
      </c>
      <c r="H23" s="103">
        <v>18684</v>
      </c>
      <c r="I23" s="103">
        <v>11874</v>
      </c>
      <c r="J23" s="103">
        <v>10590</v>
      </c>
      <c r="K23" s="103">
        <v>8570</v>
      </c>
      <c r="L23" s="103">
        <v>15821</v>
      </c>
      <c r="M23" s="103">
        <v>18403</v>
      </c>
      <c r="N23" s="99">
        <f t="shared" si="2"/>
        <v>11923.25</v>
      </c>
      <c r="O23" s="392">
        <f>SUM(B23:M23)</f>
        <v>143079</v>
      </c>
    </row>
    <row r="24" spans="1:15" ht="18.95" customHeight="1">
      <c r="A24" s="101" t="s">
        <v>111</v>
      </c>
      <c r="B24" s="102">
        <f t="shared" ref="B24:M24" si="4">B23/B3</f>
        <v>0.37119749543438557</v>
      </c>
      <c r="C24" s="102">
        <f t="shared" si="4"/>
        <v>1.4342644320297953</v>
      </c>
      <c r="D24" s="102">
        <f t="shared" si="4"/>
        <v>1.3507102272727274</v>
      </c>
      <c r="E24" s="102">
        <f t="shared" si="4"/>
        <v>0.92927794263105834</v>
      </c>
      <c r="F24" s="102">
        <f t="shared" si="4"/>
        <v>0.76172502970573841</v>
      </c>
      <c r="G24" s="102">
        <f t="shared" si="4"/>
        <v>1.0250031253906737</v>
      </c>
      <c r="H24" s="102">
        <f t="shared" si="4"/>
        <v>1.093462866506701</v>
      </c>
      <c r="I24" s="102">
        <f t="shared" si="4"/>
        <v>1.2029176375240604</v>
      </c>
      <c r="J24" s="102">
        <f t="shared" si="4"/>
        <v>1.3432267884322679</v>
      </c>
      <c r="K24" s="102">
        <f t="shared" si="4"/>
        <v>0.80917760362572</v>
      </c>
      <c r="L24" s="102">
        <f t="shared" si="4"/>
        <v>1.1291842124045393</v>
      </c>
      <c r="M24" s="102">
        <f t="shared" si="4"/>
        <v>0.95164960182025027</v>
      </c>
      <c r="N24" s="102">
        <f t="shared" si="2"/>
        <v>1.0334830802314932</v>
      </c>
      <c r="O24" s="394"/>
    </row>
    <row r="25" spans="1:15" ht="18.95" customHeight="1">
      <c r="A25" s="98" t="s">
        <v>94</v>
      </c>
      <c r="B25" s="103">
        <v>1199</v>
      </c>
      <c r="C25" s="103">
        <v>1451</v>
      </c>
      <c r="D25" s="103">
        <v>1386</v>
      </c>
      <c r="E25" s="99">
        <v>1256</v>
      </c>
      <c r="F25" s="100">
        <v>1192</v>
      </c>
      <c r="G25" s="100">
        <v>1331</v>
      </c>
      <c r="H25" s="100">
        <v>1317</v>
      </c>
      <c r="I25" s="100">
        <v>1303</v>
      </c>
      <c r="J25" s="100">
        <v>1610</v>
      </c>
      <c r="K25" s="100">
        <v>1142</v>
      </c>
      <c r="L25" s="100">
        <v>1656</v>
      </c>
      <c r="M25" s="100">
        <v>1347</v>
      </c>
      <c r="N25" s="97">
        <f t="shared" si="2"/>
        <v>1349.1666666666667</v>
      </c>
      <c r="O25" s="391">
        <f>SUM(B25:M25)</f>
        <v>16190</v>
      </c>
    </row>
    <row r="26" spans="1:15" ht="18.95" customHeight="1">
      <c r="A26" s="101" t="s">
        <v>111</v>
      </c>
      <c r="B26" s="102">
        <f t="shared" ref="B26:M26" si="5">B25/B4</f>
        <v>0.77806619078520445</v>
      </c>
      <c r="C26" s="102">
        <f t="shared" si="5"/>
        <v>1.5857923497267759</v>
      </c>
      <c r="D26" s="102">
        <f t="shared" si="5"/>
        <v>1.1815856777493605</v>
      </c>
      <c r="E26" s="102">
        <f t="shared" si="5"/>
        <v>1.0536912751677852</v>
      </c>
      <c r="F26" s="102">
        <f t="shared" si="5"/>
        <v>0.8675400291120815</v>
      </c>
      <c r="G26" s="102">
        <f t="shared" si="5"/>
        <v>1.0571882446386021</v>
      </c>
      <c r="H26" s="102">
        <f t="shared" si="5"/>
        <v>0.77561837455830385</v>
      </c>
      <c r="I26" s="102">
        <f t="shared" si="5"/>
        <v>1.1005067567567568</v>
      </c>
      <c r="J26" s="102">
        <f t="shared" si="5"/>
        <v>1.2538940809968848</v>
      </c>
      <c r="K26" s="102">
        <f t="shared" si="5"/>
        <v>0.78058783321941216</v>
      </c>
      <c r="L26" s="102">
        <f t="shared" si="5"/>
        <v>1.2385938668661183</v>
      </c>
      <c r="M26" s="102">
        <f t="shared" si="5"/>
        <v>0.95329087048832273</v>
      </c>
      <c r="N26" s="102">
        <f t="shared" si="2"/>
        <v>1.0521962958388007</v>
      </c>
      <c r="O26" s="393"/>
    </row>
    <row r="27" spans="1:15" ht="18.95" customHeight="1">
      <c r="A27" s="98" t="s">
        <v>95</v>
      </c>
      <c r="B27" s="103">
        <v>6171</v>
      </c>
      <c r="C27" s="103">
        <v>4671</v>
      </c>
      <c r="D27" s="103">
        <v>9604</v>
      </c>
      <c r="E27" s="103">
        <v>8302</v>
      </c>
      <c r="F27" s="103">
        <v>8656</v>
      </c>
      <c r="G27" s="103">
        <v>9635</v>
      </c>
      <c r="H27" s="103">
        <v>11710</v>
      </c>
      <c r="I27" s="103">
        <v>9005</v>
      </c>
      <c r="J27" s="103">
        <v>8641</v>
      </c>
      <c r="K27" s="103">
        <v>9010</v>
      </c>
      <c r="L27" s="103">
        <v>9324</v>
      </c>
      <c r="M27" s="103">
        <v>11470</v>
      </c>
      <c r="N27" s="103">
        <f t="shared" si="2"/>
        <v>8849.9166666666661</v>
      </c>
      <c r="O27" s="391">
        <f>SUM(B27:M27)</f>
        <v>106199</v>
      </c>
    </row>
    <row r="28" spans="1:15" ht="18.95" customHeight="1">
      <c r="A28" s="101" t="s">
        <v>111</v>
      </c>
      <c r="B28" s="104">
        <f t="shared" ref="B28:M28" si="6">B27/B5</f>
        <v>0.66937845753335501</v>
      </c>
      <c r="C28" s="104">
        <f t="shared" si="6"/>
        <v>0.82120253164556967</v>
      </c>
      <c r="D28" s="104">
        <f t="shared" si="6"/>
        <v>1.4985177094710562</v>
      </c>
      <c r="E28" s="104">
        <f t="shared" si="6"/>
        <v>1.1506583506583508</v>
      </c>
      <c r="F28" s="104">
        <f t="shared" si="6"/>
        <v>1.3292383292383292</v>
      </c>
      <c r="G28" s="104">
        <f t="shared" si="6"/>
        <v>1.3522807017543859</v>
      </c>
      <c r="H28" s="104">
        <f t="shared" si="6"/>
        <v>1.8975854804731811</v>
      </c>
      <c r="I28" s="104">
        <f t="shared" si="6"/>
        <v>2.3660010509721494</v>
      </c>
      <c r="J28" s="104">
        <f t="shared" si="6"/>
        <v>1.7442470730722648</v>
      </c>
      <c r="K28" s="104">
        <f t="shared" si="6"/>
        <v>1.3277335691128795</v>
      </c>
      <c r="L28" s="104">
        <f t="shared" si="6"/>
        <v>1.4088848594741614</v>
      </c>
      <c r="M28" s="104">
        <f t="shared" si="6"/>
        <v>1.5491626148028093</v>
      </c>
      <c r="N28" s="102">
        <f t="shared" si="2"/>
        <v>1.4262408940173745</v>
      </c>
      <c r="O28" s="393"/>
    </row>
    <row r="29" spans="1:15" ht="18.95" customHeight="1">
      <c r="A29" s="98" t="s">
        <v>96</v>
      </c>
      <c r="B29" s="97">
        <v>670</v>
      </c>
      <c r="C29" s="97">
        <v>796</v>
      </c>
      <c r="D29" s="97">
        <v>831</v>
      </c>
      <c r="E29" s="97">
        <v>734</v>
      </c>
      <c r="F29" s="100">
        <v>877</v>
      </c>
      <c r="G29" s="100">
        <v>931</v>
      </c>
      <c r="H29" s="97">
        <v>817</v>
      </c>
      <c r="I29" s="97">
        <v>877</v>
      </c>
      <c r="J29" s="97">
        <v>975</v>
      </c>
      <c r="K29" s="97">
        <v>765</v>
      </c>
      <c r="L29" s="97">
        <v>994</v>
      </c>
      <c r="M29" s="97">
        <v>963</v>
      </c>
      <c r="N29" s="103">
        <f t="shared" si="2"/>
        <v>852.5</v>
      </c>
      <c r="O29" s="391">
        <f>SUM(B29:M29)</f>
        <v>10230</v>
      </c>
    </row>
    <row r="30" spans="1:15" ht="18.95" customHeight="1">
      <c r="A30" s="101" t="s">
        <v>111</v>
      </c>
      <c r="B30" s="102">
        <f t="shared" ref="B30:M30" si="7">B29/B6</f>
        <v>0.87353324641460239</v>
      </c>
      <c r="C30" s="102">
        <f t="shared" si="7"/>
        <v>2.3550295857988166</v>
      </c>
      <c r="D30" s="102">
        <f t="shared" si="7"/>
        <v>1.3826955074875209</v>
      </c>
      <c r="E30" s="102">
        <f t="shared" si="7"/>
        <v>1.5291666666666666</v>
      </c>
      <c r="F30" s="102">
        <f t="shared" si="7"/>
        <v>1.6768642447418738</v>
      </c>
      <c r="G30" s="102">
        <f t="shared" si="7"/>
        <v>1.62478184991274</v>
      </c>
      <c r="H30" s="102">
        <f t="shared" si="7"/>
        <v>1.1840579710144927</v>
      </c>
      <c r="I30" s="102">
        <f t="shared" si="7"/>
        <v>1.3987240829346093</v>
      </c>
      <c r="J30" s="102">
        <f t="shared" si="7"/>
        <v>1.7922794117647058</v>
      </c>
      <c r="K30" s="102">
        <f t="shared" si="7"/>
        <v>1.1733128834355828</v>
      </c>
      <c r="L30" s="102">
        <f t="shared" si="7"/>
        <v>1.3523809523809525</v>
      </c>
      <c r="M30" s="102">
        <f t="shared" si="7"/>
        <v>1.1933085501858736</v>
      </c>
      <c r="N30" s="102">
        <f t="shared" si="2"/>
        <v>1.4613445793948701</v>
      </c>
      <c r="O30" s="393"/>
    </row>
    <row r="31" spans="1:15" ht="18.95" customHeight="1">
      <c r="A31" s="98" t="s">
        <v>97</v>
      </c>
      <c r="B31" s="103">
        <v>2238</v>
      </c>
      <c r="C31" s="103">
        <v>2831</v>
      </c>
      <c r="D31" s="103">
        <v>3697</v>
      </c>
      <c r="E31" s="103">
        <v>3273</v>
      </c>
      <c r="F31" s="103">
        <v>3579</v>
      </c>
      <c r="G31" s="103">
        <v>4099</v>
      </c>
      <c r="H31" s="103">
        <v>5499</v>
      </c>
      <c r="I31" s="103">
        <v>5051</v>
      </c>
      <c r="J31" s="103">
        <v>4846</v>
      </c>
      <c r="K31" s="103">
        <v>4478</v>
      </c>
      <c r="L31" s="103">
        <v>4797</v>
      </c>
      <c r="M31" s="103">
        <v>4674</v>
      </c>
      <c r="N31" s="103">
        <f t="shared" si="2"/>
        <v>4088.5</v>
      </c>
      <c r="O31" s="391">
        <f>SUM(B31:M31)</f>
        <v>49062</v>
      </c>
    </row>
    <row r="32" spans="1:15" ht="18.95" customHeight="1">
      <c r="A32" s="101" t="s">
        <v>25</v>
      </c>
      <c r="B32" s="102">
        <f t="shared" ref="B32:M32" si="8">B31/B8</f>
        <v>1.2565974171813588</v>
      </c>
      <c r="C32" s="102">
        <f t="shared" si="8"/>
        <v>2.1446969696969695</v>
      </c>
      <c r="D32" s="102">
        <f t="shared" si="8"/>
        <v>3.0655058043117744</v>
      </c>
      <c r="E32" s="102">
        <f t="shared" si="8"/>
        <v>3.6046255506607929</v>
      </c>
      <c r="F32" s="102">
        <f t="shared" si="8"/>
        <v>2.471685082872928</v>
      </c>
      <c r="G32" s="102">
        <f t="shared" si="8"/>
        <v>2.568295739348371</v>
      </c>
      <c r="H32" s="102">
        <f t="shared" si="8"/>
        <v>3.3944444444444444</v>
      </c>
      <c r="I32" s="102">
        <f t="shared" si="8"/>
        <v>3.0101311084624554</v>
      </c>
      <c r="J32" s="102">
        <f t="shared" si="8"/>
        <v>2.2602611940298507</v>
      </c>
      <c r="K32" s="102">
        <f t="shared" si="8"/>
        <v>2.518560179977503</v>
      </c>
      <c r="L32" s="102">
        <f t="shared" si="8"/>
        <v>2.3118072289156628</v>
      </c>
      <c r="M32" s="102">
        <f t="shared" si="8"/>
        <v>2.5766262403528115</v>
      </c>
      <c r="N32" s="102">
        <f t="shared" si="2"/>
        <v>2.5986030800212436</v>
      </c>
      <c r="O32" s="393"/>
    </row>
    <row r="33" spans="1:15" ht="18.95" customHeight="1">
      <c r="A33" s="98" t="s">
        <v>98</v>
      </c>
      <c r="B33" s="103">
        <v>1835</v>
      </c>
      <c r="C33" s="103">
        <v>1257</v>
      </c>
      <c r="D33" s="103">
        <v>1564</v>
      </c>
      <c r="E33" s="103">
        <v>1268</v>
      </c>
      <c r="F33" s="100">
        <v>1490</v>
      </c>
      <c r="G33" s="100">
        <v>1635</v>
      </c>
      <c r="H33" s="100">
        <v>1795</v>
      </c>
      <c r="I33" s="100">
        <v>2126</v>
      </c>
      <c r="J33" s="100">
        <v>1810</v>
      </c>
      <c r="K33" s="100">
        <v>1753</v>
      </c>
      <c r="L33" s="100">
        <v>2185</v>
      </c>
      <c r="M33" s="100">
        <v>2034</v>
      </c>
      <c r="N33" s="103">
        <f t="shared" si="2"/>
        <v>1729.3333333333333</v>
      </c>
      <c r="O33" s="391">
        <f>SUM(B33:M33)</f>
        <v>20752</v>
      </c>
    </row>
    <row r="34" spans="1:15" ht="18.95" customHeight="1">
      <c r="A34" s="101" t="s">
        <v>111</v>
      </c>
      <c r="B34" s="104">
        <f t="shared" ref="B34:M34" si="9">B33/B8</f>
        <v>1.030320044918585</v>
      </c>
      <c r="C34" s="104">
        <f t="shared" si="9"/>
        <v>0.95227272727272727</v>
      </c>
      <c r="D34" s="104">
        <f t="shared" si="9"/>
        <v>1.2968490878938641</v>
      </c>
      <c r="E34" s="104">
        <f t="shared" si="9"/>
        <v>1.3964757709251101</v>
      </c>
      <c r="F34" s="104">
        <f t="shared" si="9"/>
        <v>1.0290055248618784</v>
      </c>
      <c r="G34" s="104">
        <f t="shared" si="9"/>
        <v>1.0244360902255638</v>
      </c>
      <c r="H34" s="104">
        <f t="shared" si="9"/>
        <v>1.1080246913580247</v>
      </c>
      <c r="I34" s="104">
        <f t="shared" si="9"/>
        <v>1.266984505363528</v>
      </c>
      <c r="J34" s="104">
        <f t="shared" si="9"/>
        <v>0.84421641791044777</v>
      </c>
      <c r="K34" s="104">
        <f t="shared" si="9"/>
        <v>0.98593925759280088</v>
      </c>
      <c r="L34" s="104">
        <f t="shared" si="9"/>
        <v>1.0530120481927712</v>
      </c>
      <c r="M34" s="104">
        <f t="shared" si="9"/>
        <v>1.1212789415656008</v>
      </c>
      <c r="N34" s="102">
        <f t="shared" si="2"/>
        <v>1.0924012590067418</v>
      </c>
      <c r="O34" s="393"/>
    </row>
    <row r="35" spans="1:15" ht="18.95" customHeight="1">
      <c r="A35" s="105" t="s">
        <v>99</v>
      </c>
      <c r="B35" s="106">
        <f>B21+B23+B25+B27+B29+B33+B31</f>
        <v>314671</v>
      </c>
      <c r="C35" s="106">
        <f t="shared" ref="C35:M35" si="10">C21+C23+C25+C27+C29+C33</f>
        <v>335837</v>
      </c>
      <c r="D35" s="106">
        <f t="shared" si="10"/>
        <v>357226</v>
      </c>
      <c r="E35" s="106">
        <f t="shared" si="10"/>
        <v>309513</v>
      </c>
      <c r="F35" s="106">
        <f t="shared" si="10"/>
        <v>324606</v>
      </c>
      <c r="G35" s="106">
        <f t="shared" si="10"/>
        <v>339779</v>
      </c>
      <c r="H35" s="106">
        <f t="shared" si="10"/>
        <v>397168</v>
      </c>
      <c r="I35" s="106">
        <f t="shared" si="10"/>
        <v>368289</v>
      </c>
      <c r="J35" s="106">
        <f t="shared" si="10"/>
        <v>373674</v>
      </c>
      <c r="K35" s="106">
        <f t="shared" si="10"/>
        <v>343322</v>
      </c>
      <c r="L35" s="106">
        <f t="shared" si="10"/>
        <v>363723</v>
      </c>
      <c r="M35" s="106">
        <f t="shared" si="10"/>
        <v>406714</v>
      </c>
      <c r="N35" s="107">
        <f>AVERAGEA(B35:M35)</f>
        <v>352876.83333333331</v>
      </c>
      <c r="O35" s="390">
        <f>SUM(B35:M35)</f>
        <v>4234522</v>
      </c>
    </row>
    <row r="36" spans="1:15" ht="18.95" customHeight="1">
      <c r="A36" s="108" t="s">
        <v>111</v>
      </c>
      <c r="B36" s="109">
        <f t="shared" ref="B36:M36" si="11">B35/B9</f>
        <v>0.73954274325842428</v>
      </c>
      <c r="C36" s="109">
        <f t="shared" si="11"/>
        <v>1.3562979326610476</v>
      </c>
      <c r="D36" s="109">
        <f t="shared" si="11"/>
        <v>1.077234374905764</v>
      </c>
      <c r="E36" s="109">
        <f t="shared" si="11"/>
        <v>0.98039606971130999</v>
      </c>
      <c r="F36" s="109">
        <f t="shared" si="11"/>
        <v>0.94317518152735769</v>
      </c>
      <c r="G36" s="109">
        <f t="shared" si="11"/>
        <v>1.0369801807960641</v>
      </c>
      <c r="H36" s="109">
        <f t="shared" si="11"/>
        <v>1.0724125826920481</v>
      </c>
      <c r="I36" s="109">
        <f t="shared" si="11"/>
        <v>1.0791814034172658</v>
      </c>
      <c r="J36" s="109">
        <f t="shared" si="11"/>
        <v>1.1963195487157159</v>
      </c>
      <c r="K36" s="109">
        <f t="shared" si="11"/>
        <v>0.97581509304182978</v>
      </c>
      <c r="L36" s="109">
        <f t="shared" si="11"/>
        <v>1.0494754397303909</v>
      </c>
      <c r="M36" s="109">
        <f t="shared" si="11"/>
        <v>1.0475111199252061</v>
      </c>
      <c r="N36" s="116">
        <f>AVERAGE(B36:M36)</f>
        <v>1.0461951391985351</v>
      </c>
      <c r="O36" s="395"/>
    </row>
    <row r="37" spans="1:15" ht="18.95" customHeight="1">
      <c r="A37" s="110" t="s">
        <v>112</v>
      </c>
      <c r="B37" s="111"/>
      <c r="C37" s="112"/>
      <c r="D37" s="112"/>
      <c r="E37" s="112"/>
      <c r="F37" s="113"/>
      <c r="G37" s="113"/>
      <c r="H37" s="112"/>
      <c r="I37" s="112"/>
      <c r="J37" s="112"/>
      <c r="K37" s="112"/>
      <c r="L37" s="112"/>
      <c r="M37" s="112"/>
      <c r="N37" s="94"/>
      <c r="O37" s="94"/>
    </row>
    <row r="38" spans="1:15" ht="18.95" customHeight="1">
      <c r="A38" s="98" t="s">
        <v>100</v>
      </c>
      <c r="B38" s="103">
        <v>2064225</v>
      </c>
      <c r="C38" s="103">
        <v>1919724</v>
      </c>
      <c r="D38" s="103">
        <v>2387421</v>
      </c>
      <c r="E38" s="103">
        <v>1925057</v>
      </c>
      <c r="F38" s="103">
        <v>1938618</v>
      </c>
      <c r="G38" s="103">
        <v>1975146</v>
      </c>
      <c r="H38" s="103">
        <v>2125321</v>
      </c>
      <c r="I38" s="103">
        <v>2075304</v>
      </c>
      <c r="J38" s="103">
        <v>2188146</v>
      </c>
      <c r="K38" s="103">
        <v>2006021</v>
      </c>
      <c r="L38" s="103">
        <v>2079620</v>
      </c>
      <c r="M38" s="103">
        <v>2473506</v>
      </c>
      <c r="N38" s="103">
        <f>AVERAGE(B38:M38)</f>
        <v>2096509.0833333333</v>
      </c>
      <c r="O38" s="392">
        <f>SUM(B38:M38)</f>
        <v>25158109</v>
      </c>
    </row>
    <row r="39" spans="1:15" ht="18.95" customHeight="1">
      <c r="A39" s="101" t="s">
        <v>25</v>
      </c>
      <c r="B39" s="102">
        <f t="shared" ref="B39:M39" si="12">B38/B10</f>
        <v>0.81377182338345522</v>
      </c>
      <c r="C39" s="102">
        <f t="shared" si="12"/>
        <v>1.3282695003466451</v>
      </c>
      <c r="D39" s="102">
        <f t="shared" si="12"/>
        <v>1.2460092460859662</v>
      </c>
      <c r="E39" s="102">
        <f t="shared" si="12"/>
        <v>1.0137657412093315</v>
      </c>
      <c r="F39" s="102">
        <f t="shared" si="12"/>
        <v>0.94096341799628003</v>
      </c>
      <c r="G39" s="102">
        <f t="shared" si="12"/>
        <v>0.9753239070513422</v>
      </c>
      <c r="H39" s="102">
        <f t="shared" si="12"/>
        <v>0.96116442067046126</v>
      </c>
      <c r="I39" s="102">
        <f t="shared" si="12"/>
        <v>1.0575972260867703</v>
      </c>
      <c r="J39" s="102">
        <f t="shared" si="12"/>
        <v>1.1643261087497419</v>
      </c>
      <c r="K39" s="102">
        <f t="shared" si="12"/>
        <v>0.96110442486695125</v>
      </c>
      <c r="L39" s="102">
        <f t="shared" si="12"/>
        <v>1.0089429052288803</v>
      </c>
      <c r="M39" s="102">
        <f t="shared" si="12"/>
        <v>1.0693934584493985</v>
      </c>
      <c r="N39" s="102">
        <f>AVERAGE(B39:M39)</f>
        <v>1.045052681677102</v>
      </c>
      <c r="O39" s="394"/>
    </row>
    <row r="40" spans="1:15" ht="18.95" customHeight="1">
      <c r="A40" s="98" t="s">
        <v>101</v>
      </c>
      <c r="B40" s="103">
        <v>51983</v>
      </c>
      <c r="C40" s="103">
        <v>51792</v>
      </c>
      <c r="D40" s="103">
        <v>82775</v>
      </c>
      <c r="E40" s="103">
        <v>87977</v>
      </c>
      <c r="F40" s="103">
        <v>99436</v>
      </c>
      <c r="G40" s="103">
        <v>140113</v>
      </c>
      <c r="H40" s="103">
        <v>150989</v>
      </c>
      <c r="I40" s="103">
        <v>94844</v>
      </c>
      <c r="J40" s="103">
        <v>462884</v>
      </c>
      <c r="K40" s="103">
        <v>115534</v>
      </c>
      <c r="L40" s="103">
        <v>139413</v>
      </c>
      <c r="M40" s="103">
        <v>165648</v>
      </c>
      <c r="N40" s="103">
        <f>AVERAGE(B40:M40)</f>
        <v>136949</v>
      </c>
      <c r="O40" s="392">
        <f>SUM(B40:M40)</f>
        <v>1643388</v>
      </c>
    </row>
    <row r="41" spans="1:15" ht="18.95" customHeight="1">
      <c r="A41" s="101" t="s">
        <v>25</v>
      </c>
      <c r="B41" s="104">
        <f t="shared" ref="B41:M41" si="13">B40/B11</f>
        <v>0.35561682070366746</v>
      </c>
      <c r="C41" s="104">
        <f t="shared" si="13"/>
        <v>0.712926893058213</v>
      </c>
      <c r="D41" s="104">
        <f t="shared" si="13"/>
        <v>0.68949862974902332</v>
      </c>
      <c r="E41" s="104">
        <f t="shared" si="13"/>
        <v>0.81490366802519454</v>
      </c>
      <c r="F41" s="104">
        <f t="shared" si="13"/>
        <v>0.77293078788632552</v>
      </c>
      <c r="G41" s="104">
        <f t="shared" si="13"/>
        <v>0.91877377049180331</v>
      </c>
      <c r="H41" s="104">
        <f t="shared" si="13"/>
        <v>1.0339162946122873</v>
      </c>
      <c r="I41" s="104">
        <f t="shared" si="13"/>
        <v>1.1728393535063746</v>
      </c>
      <c r="J41" s="104">
        <f t="shared" si="13"/>
        <v>4.176824096298569</v>
      </c>
      <c r="K41" s="104">
        <f t="shared" si="13"/>
        <v>1.3526670725424998</v>
      </c>
      <c r="L41" s="104">
        <f t="shared" si="13"/>
        <v>0.99404626090924653</v>
      </c>
      <c r="M41" s="104">
        <f t="shared" si="13"/>
        <v>1.2494851892919372</v>
      </c>
      <c r="N41" s="102">
        <f>AVERAGE(B41:M41)</f>
        <v>1.1870357364229285</v>
      </c>
      <c r="O41" s="394"/>
    </row>
    <row r="42" spans="1:15" ht="18.95" customHeight="1">
      <c r="A42" s="98" t="s">
        <v>102</v>
      </c>
      <c r="B42" s="114"/>
      <c r="C42" s="103">
        <v>5849</v>
      </c>
      <c r="D42" s="103">
        <v>6241</v>
      </c>
      <c r="E42" s="99">
        <v>5366</v>
      </c>
      <c r="F42" s="99">
        <v>4951</v>
      </c>
      <c r="G42" s="103">
        <v>5264</v>
      </c>
      <c r="H42" s="103">
        <v>5493</v>
      </c>
      <c r="I42" s="103">
        <v>4870</v>
      </c>
      <c r="J42" s="103">
        <v>5489</v>
      </c>
      <c r="K42" s="103">
        <v>4626</v>
      </c>
      <c r="L42" s="103">
        <v>6284</v>
      </c>
      <c r="M42" s="103">
        <v>5618</v>
      </c>
      <c r="N42" s="103">
        <f>AVERAGE(B42:M42)</f>
        <v>5459.181818181818</v>
      </c>
      <c r="O42" s="391">
        <f>SUM(B42:M42)</f>
        <v>60051</v>
      </c>
    </row>
    <row r="43" spans="1:15" ht="18.95" customHeight="1">
      <c r="A43" s="101" t="s">
        <v>25</v>
      </c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393"/>
    </row>
    <row r="44" spans="1:15" ht="18.95" customHeight="1">
      <c r="A44" s="98" t="s">
        <v>103</v>
      </c>
      <c r="B44" s="103">
        <v>60954</v>
      </c>
      <c r="C44" s="103">
        <v>42641</v>
      </c>
      <c r="D44" s="103">
        <v>108572</v>
      </c>
      <c r="E44" s="103">
        <v>103024</v>
      </c>
      <c r="F44" s="103">
        <v>105689</v>
      </c>
      <c r="G44" s="103">
        <v>107194</v>
      </c>
      <c r="H44" s="103">
        <v>100823</v>
      </c>
      <c r="I44" s="103">
        <v>109050</v>
      </c>
      <c r="J44" s="103">
        <v>84729</v>
      </c>
      <c r="K44" s="103">
        <v>111062</v>
      </c>
      <c r="L44" s="103">
        <v>131519</v>
      </c>
      <c r="M44" s="103">
        <v>134649</v>
      </c>
      <c r="N44" s="103">
        <f t="shared" ref="N44:N51" si="14">AVERAGE(B44:M44)</f>
        <v>99992.166666666672</v>
      </c>
      <c r="O44" s="391">
        <f>SUM(B44:M44)</f>
        <v>1199906</v>
      </c>
    </row>
    <row r="45" spans="1:15" ht="18.95" customHeight="1">
      <c r="A45" s="101" t="s">
        <v>25</v>
      </c>
      <c r="B45" s="104">
        <f t="shared" ref="B45:M45" si="15">B44/B13</f>
        <v>0.75126640783878718</v>
      </c>
      <c r="C45" s="104">
        <f t="shared" si="15"/>
        <v>1.0165931577065204</v>
      </c>
      <c r="D45" s="104">
        <f t="shared" si="15"/>
        <v>2.189834610730133</v>
      </c>
      <c r="E45" s="104">
        <f t="shared" si="15"/>
        <v>1.3501605399384051</v>
      </c>
      <c r="F45" s="104">
        <f t="shared" si="15"/>
        <v>1.6024653546411134</v>
      </c>
      <c r="G45" s="104">
        <f t="shared" si="15"/>
        <v>1.5358846875761178</v>
      </c>
      <c r="H45" s="104">
        <f t="shared" si="15"/>
        <v>1.6540834071594974</v>
      </c>
      <c r="I45" s="104">
        <f t="shared" si="15"/>
        <v>4.1036351320839914</v>
      </c>
      <c r="J45" s="104">
        <f t="shared" si="15"/>
        <v>1.9162953748727807</v>
      </c>
      <c r="K45" s="104">
        <f t="shared" si="15"/>
        <v>1.8491841491841492</v>
      </c>
      <c r="L45" s="104">
        <f t="shared" si="15"/>
        <v>2.2350831874649493</v>
      </c>
      <c r="M45" s="104">
        <f t="shared" si="15"/>
        <v>1.9409424415839016</v>
      </c>
      <c r="N45" s="102">
        <f t="shared" si="14"/>
        <v>1.8454523708983619</v>
      </c>
      <c r="O45" s="393"/>
    </row>
    <row r="46" spans="1:15" ht="18.95" customHeight="1">
      <c r="A46" s="98" t="s">
        <v>104</v>
      </c>
      <c r="B46" s="103">
        <v>6728</v>
      </c>
      <c r="C46" s="103">
        <v>3297</v>
      </c>
      <c r="D46" s="103">
        <v>8381</v>
      </c>
      <c r="E46" s="103">
        <v>7920</v>
      </c>
      <c r="F46" s="103">
        <v>9613</v>
      </c>
      <c r="G46" s="103">
        <v>10384</v>
      </c>
      <c r="H46" s="103">
        <v>9387</v>
      </c>
      <c r="I46" s="103">
        <v>9667</v>
      </c>
      <c r="J46" s="103">
        <v>11591</v>
      </c>
      <c r="K46" s="103">
        <v>8846</v>
      </c>
      <c r="L46" s="103">
        <v>11355</v>
      </c>
      <c r="M46" s="103">
        <v>11346</v>
      </c>
      <c r="N46" s="103">
        <f t="shared" si="14"/>
        <v>9042.9166666666661</v>
      </c>
      <c r="O46" s="391">
        <f>SUM(B46:M46)</f>
        <v>108515</v>
      </c>
    </row>
    <row r="47" spans="1:15" ht="18.95" customHeight="1">
      <c r="A47" s="101" t="s">
        <v>25</v>
      </c>
      <c r="B47" s="104">
        <f t="shared" ref="B47:M47" si="16">B46/B14</f>
        <v>0.81600970285021224</v>
      </c>
      <c r="C47" s="104">
        <f t="shared" si="16"/>
        <v>0.78276353276353272</v>
      </c>
      <c r="D47" s="104">
        <f t="shared" si="16"/>
        <v>0.8810049406075896</v>
      </c>
      <c r="E47" s="104">
        <f t="shared" si="16"/>
        <v>1.5523324186593492</v>
      </c>
      <c r="F47" s="104">
        <f t="shared" si="16"/>
        <v>1.3261139467512761</v>
      </c>
      <c r="G47" s="104">
        <f t="shared" si="16"/>
        <v>1.651924912503977</v>
      </c>
      <c r="H47" s="104">
        <f t="shared" si="16"/>
        <v>1.2764481914604298</v>
      </c>
      <c r="I47" s="104">
        <f t="shared" si="16"/>
        <v>1.3512720156555773</v>
      </c>
      <c r="J47" s="104">
        <f t="shared" si="16"/>
        <v>2.0595238095238093</v>
      </c>
      <c r="K47" s="104">
        <f t="shared" si="16"/>
        <v>1.1605877722382576</v>
      </c>
      <c r="L47" s="104">
        <f t="shared" si="16"/>
        <v>1.5898907868944274</v>
      </c>
      <c r="M47" s="104">
        <f t="shared" si="16"/>
        <v>1.495847066578774</v>
      </c>
      <c r="N47" s="102">
        <f t="shared" si="14"/>
        <v>1.3286432580406011</v>
      </c>
      <c r="O47" s="393"/>
    </row>
    <row r="48" spans="1:15" ht="18.95" customHeight="1">
      <c r="A48" s="98" t="s">
        <v>105</v>
      </c>
      <c r="B48" s="103">
        <v>3968</v>
      </c>
      <c r="C48" s="103">
        <v>5081</v>
      </c>
      <c r="D48" s="103">
        <v>5827</v>
      </c>
      <c r="E48" s="103">
        <v>5149</v>
      </c>
      <c r="F48" s="103">
        <v>5818</v>
      </c>
      <c r="G48" s="103">
        <v>5944</v>
      </c>
      <c r="H48" s="103">
        <v>8090</v>
      </c>
      <c r="I48" s="103">
        <v>7710</v>
      </c>
      <c r="J48" s="103">
        <v>6682</v>
      </c>
      <c r="K48" s="103">
        <v>6678</v>
      </c>
      <c r="L48" s="103">
        <v>6803</v>
      </c>
      <c r="M48" s="103">
        <v>7010</v>
      </c>
      <c r="N48" s="103">
        <f t="shared" si="14"/>
        <v>6230</v>
      </c>
      <c r="O48" s="391">
        <f>SUM(B48:M48)</f>
        <v>74760</v>
      </c>
    </row>
    <row r="49" spans="1:15" ht="18.95" customHeight="1">
      <c r="A49" s="101" t="s">
        <v>25</v>
      </c>
      <c r="B49" s="104">
        <f t="shared" ref="B49:M49" si="17">B48/B14</f>
        <v>0.48126137052759249</v>
      </c>
      <c r="C49" s="104">
        <f t="shared" si="17"/>
        <v>1.2063152896486229</v>
      </c>
      <c r="D49" s="104">
        <f t="shared" si="17"/>
        <v>0.61253022180174499</v>
      </c>
      <c r="E49" s="104">
        <f t="shared" si="17"/>
        <v>1.0092120736965895</v>
      </c>
      <c r="F49" s="104">
        <f t="shared" si="17"/>
        <v>0.80259346116705754</v>
      </c>
      <c r="G49" s="104">
        <f t="shared" si="17"/>
        <v>0.94559338211899457</v>
      </c>
      <c r="H49" s="104">
        <f t="shared" si="17"/>
        <v>1.1000815882512918</v>
      </c>
      <c r="I49" s="104">
        <f t="shared" si="17"/>
        <v>1.0777187587363712</v>
      </c>
      <c r="J49" s="104">
        <f t="shared" si="17"/>
        <v>1.1872778962331201</v>
      </c>
      <c r="K49" s="104">
        <f t="shared" si="17"/>
        <v>0.87614799265284704</v>
      </c>
      <c r="L49" s="104">
        <f t="shared" si="17"/>
        <v>0.95253430411649398</v>
      </c>
      <c r="M49" s="104">
        <f t="shared" si="17"/>
        <v>0.92419248516809493</v>
      </c>
      <c r="N49" s="102">
        <f t="shared" si="14"/>
        <v>0.93128823534323513</v>
      </c>
      <c r="O49" s="393"/>
    </row>
    <row r="50" spans="1:15" ht="18.95" customHeight="1">
      <c r="A50" s="98" t="s">
        <v>106</v>
      </c>
      <c r="B50" s="103">
        <v>10718</v>
      </c>
      <c r="C50" s="103">
        <v>7142</v>
      </c>
      <c r="D50" s="103">
        <v>7840</v>
      </c>
      <c r="E50" s="103">
        <v>6626</v>
      </c>
      <c r="F50" s="103">
        <v>7614</v>
      </c>
      <c r="G50" s="103">
        <v>8823</v>
      </c>
      <c r="H50" s="103">
        <v>9387</v>
      </c>
      <c r="I50" s="103">
        <v>11500</v>
      </c>
      <c r="J50" s="103">
        <v>9007</v>
      </c>
      <c r="K50" s="103">
        <v>9150</v>
      </c>
      <c r="L50" s="103">
        <v>11360</v>
      </c>
      <c r="M50" s="103">
        <v>10560</v>
      </c>
      <c r="N50" s="103">
        <f t="shared" si="14"/>
        <v>9143.9166666666661</v>
      </c>
      <c r="O50" s="391">
        <f>SUM(B50:M50)</f>
        <v>109727</v>
      </c>
    </row>
    <row r="51" spans="1:15" ht="18.95" customHeight="1">
      <c r="A51" s="101" t="s">
        <v>25</v>
      </c>
      <c r="B51" s="104">
        <f t="shared" ref="B51:M51" si="18">B50/B16</f>
        <v>1.0524351924587589</v>
      </c>
      <c r="C51" s="104">
        <f t="shared" si="18"/>
        <v>0.95660326814894192</v>
      </c>
      <c r="D51" s="104">
        <f t="shared" si="18"/>
        <v>1.2535976974736169</v>
      </c>
      <c r="E51" s="104">
        <f t="shared" si="18"/>
        <v>1.511405109489051</v>
      </c>
      <c r="F51" s="104">
        <f t="shared" si="18"/>
        <v>1.1169135983570486</v>
      </c>
      <c r="G51" s="104">
        <f t="shared" si="18"/>
        <v>1.1384516129032258</v>
      </c>
      <c r="H51" s="104">
        <f t="shared" si="18"/>
        <v>1.1797159733567928</v>
      </c>
      <c r="I51" s="104">
        <f t="shared" si="18"/>
        <v>1.4086232239098482</v>
      </c>
      <c r="J51" s="104">
        <f t="shared" si="18"/>
        <v>0.82800147085861375</v>
      </c>
      <c r="K51" s="104">
        <f t="shared" si="18"/>
        <v>0.98461207360378777</v>
      </c>
      <c r="L51" s="104">
        <f t="shared" si="18"/>
        <v>1.0133809099018734</v>
      </c>
      <c r="M51" s="104">
        <f t="shared" si="18"/>
        <v>1.0933940774487472</v>
      </c>
      <c r="N51" s="102">
        <f t="shared" si="14"/>
        <v>1.1280945173258587</v>
      </c>
      <c r="O51" s="393"/>
    </row>
    <row r="52" spans="1:15" ht="18.95" customHeight="1">
      <c r="A52" s="105" t="s">
        <v>107</v>
      </c>
      <c r="B52" s="107">
        <f t="shared" ref="B52:N52" si="19">B38+B40+B42+B44+B46+B50+B48</f>
        <v>2198576</v>
      </c>
      <c r="C52" s="107">
        <f t="shared" si="19"/>
        <v>2035526</v>
      </c>
      <c r="D52" s="107">
        <f t="shared" si="19"/>
        <v>2607057</v>
      </c>
      <c r="E52" s="107">
        <f t="shared" si="19"/>
        <v>2141119</v>
      </c>
      <c r="F52" s="107">
        <f t="shared" si="19"/>
        <v>2171739</v>
      </c>
      <c r="G52" s="107">
        <f t="shared" si="19"/>
        <v>2252868</v>
      </c>
      <c r="H52" s="107">
        <f t="shared" si="19"/>
        <v>2409490</v>
      </c>
      <c r="I52" s="107">
        <f t="shared" si="19"/>
        <v>2312945</v>
      </c>
      <c r="J52" s="107">
        <f t="shared" si="19"/>
        <v>2768528</v>
      </c>
      <c r="K52" s="107">
        <f t="shared" si="19"/>
        <v>2261917</v>
      </c>
      <c r="L52" s="107">
        <f t="shared" si="19"/>
        <v>2386354</v>
      </c>
      <c r="M52" s="107">
        <f t="shared" si="19"/>
        <v>2808337</v>
      </c>
      <c r="N52" s="107">
        <f t="shared" si="19"/>
        <v>2363326.2651515142</v>
      </c>
      <c r="O52" s="390">
        <f>SUM(B52:M52)</f>
        <v>28354456</v>
      </c>
    </row>
    <row r="53" spans="1:15" ht="18.95" customHeight="1">
      <c r="A53" s="108" t="s">
        <v>111</v>
      </c>
      <c r="B53" s="109">
        <f t="shared" ref="B53:M53" si="20">B52/B17</f>
        <v>0.78927300722185867</v>
      </c>
      <c r="C53" s="109">
        <f t="shared" si="20"/>
        <v>1.2936697742732377</v>
      </c>
      <c r="D53" s="109">
        <f t="shared" si="20"/>
        <v>1.2390325206845469</v>
      </c>
      <c r="E53" s="109">
        <f t="shared" si="20"/>
        <v>1.0221309362409059</v>
      </c>
      <c r="F53" s="109">
        <f t="shared" si="20"/>
        <v>0.95549296295171937</v>
      </c>
      <c r="G53" s="109">
        <f t="shared" si="20"/>
        <v>0.99498503460127385</v>
      </c>
      <c r="H53" s="109">
        <f t="shared" si="20"/>
        <v>0.98851520666392068</v>
      </c>
      <c r="I53" s="109">
        <f t="shared" si="20"/>
        <v>1.1070197152790542</v>
      </c>
      <c r="J53" s="109">
        <f t="shared" si="20"/>
        <v>1.3476733216440426</v>
      </c>
      <c r="K53" s="109">
        <f t="shared" si="20"/>
        <v>1.0035386906755768</v>
      </c>
      <c r="L53" s="109">
        <f t="shared" si="20"/>
        <v>1.0454254526401838</v>
      </c>
      <c r="M53" s="109">
        <f t="shared" si="20"/>
        <v>1.1073818569685117</v>
      </c>
      <c r="N53" s="126">
        <f>AVERAGE(B53:M53)</f>
        <v>1.0745115399870695</v>
      </c>
      <c r="O53" s="395"/>
    </row>
    <row r="56" spans="1:15" ht="18.95" customHeight="1">
      <c r="A56" s="94" t="s">
        <v>108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4"/>
      <c r="O56" s="94"/>
    </row>
    <row r="57" spans="1:15" ht="18.95" customHeight="1">
      <c r="A57" s="96" t="s">
        <v>113</v>
      </c>
      <c r="B57" s="97">
        <v>1</v>
      </c>
      <c r="C57" s="97">
        <v>2</v>
      </c>
      <c r="D57" s="97">
        <v>3</v>
      </c>
      <c r="E57" s="97">
        <v>4</v>
      </c>
      <c r="F57" s="97">
        <v>5</v>
      </c>
      <c r="G57" s="97">
        <v>6</v>
      </c>
      <c r="H57" s="97">
        <v>7</v>
      </c>
      <c r="I57" s="97">
        <v>8</v>
      </c>
      <c r="J57" s="97">
        <v>9</v>
      </c>
      <c r="K57" s="97">
        <v>10</v>
      </c>
      <c r="L57" s="97">
        <v>11</v>
      </c>
      <c r="M57" s="97">
        <v>12</v>
      </c>
      <c r="N57" s="97" t="s">
        <v>110</v>
      </c>
      <c r="O57" s="97" t="s">
        <v>66</v>
      </c>
    </row>
    <row r="58" spans="1:15" ht="18.95" customHeight="1">
      <c r="A58" s="98" t="s">
        <v>92</v>
      </c>
      <c r="B58" s="99">
        <v>396647</v>
      </c>
      <c r="C58" s="99">
        <v>277188</v>
      </c>
      <c r="D58" s="99">
        <v>366699</v>
      </c>
      <c r="E58" s="99">
        <v>318536</v>
      </c>
      <c r="F58" s="100">
        <v>296422</v>
      </c>
      <c r="G58" s="100">
        <v>260569</v>
      </c>
      <c r="H58" s="100">
        <v>311976</v>
      </c>
      <c r="I58" s="100">
        <v>328797</v>
      </c>
      <c r="J58" s="100">
        <v>313574</v>
      </c>
      <c r="K58" s="100">
        <v>324024</v>
      </c>
      <c r="L58" s="100">
        <v>352341</v>
      </c>
      <c r="M58" s="100">
        <v>366261</v>
      </c>
      <c r="N58" s="99">
        <f t="shared" ref="N58:N71" si="21">AVERAGE(B58:M58)</f>
        <v>326086.16666666669</v>
      </c>
      <c r="O58" s="392">
        <f>SUM(B58:M58)</f>
        <v>3913034</v>
      </c>
    </row>
    <row r="59" spans="1:15" ht="18.95" customHeight="1">
      <c r="A59" s="101" t="s">
        <v>111</v>
      </c>
      <c r="B59" s="102">
        <f t="shared" ref="B59:M59" si="22">B58/B21</f>
        <v>1.3425454570070809</v>
      </c>
      <c r="C59" s="102">
        <f t="shared" si="22"/>
        <v>0.86632079009876239</v>
      </c>
      <c r="D59" s="102">
        <f t="shared" si="22"/>
        <v>1.0968109543806754</v>
      </c>
      <c r="E59" s="102">
        <f t="shared" si="22"/>
        <v>1.0967473152525333</v>
      </c>
      <c r="F59" s="102">
        <f t="shared" si="22"/>
        <v>0.98318037234695332</v>
      </c>
      <c r="G59" s="102">
        <f t="shared" si="22"/>
        <v>0.84095478765463172</v>
      </c>
      <c r="H59" s="102">
        <f t="shared" si="22"/>
        <v>0.85980515095977617</v>
      </c>
      <c r="I59" s="102">
        <f t="shared" si="22"/>
        <v>0.95830127308337998</v>
      </c>
      <c r="J59" s="102">
        <f t="shared" si="22"/>
        <v>0.89580286132187581</v>
      </c>
      <c r="K59" s="102">
        <f t="shared" si="22"/>
        <v>1.0060295204326848</v>
      </c>
      <c r="L59" s="102">
        <f t="shared" si="22"/>
        <v>1.0557255133441001</v>
      </c>
      <c r="M59" s="102">
        <f t="shared" si="22"/>
        <v>0.98325892557523953</v>
      </c>
      <c r="N59" s="102">
        <f t="shared" si="21"/>
        <v>0.99879024345480782</v>
      </c>
      <c r="O59" s="300"/>
    </row>
    <row r="60" spans="1:15" ht="18.95" customHeight="1">
      <c r="A60" s="98" t="s">
        <v>93</v>
      </c>
      <c r="B60" s="103">
        <v>17078</v>
      </c>
      <c r="C60" s="103">
        <v>7050</v>
      </c>
      <c r="D60" s="103">
        <v>8604</v>
      </c>
      <c r="E60" s="103">
        <v>7283</v>
      </c>
      <c r="F60" s="103">
        <v>12965</v>
      </c>
      <c r="G60" s="103">
        <v>12881</v>
      </c>
      <c r="H60" s="103">
        <v>17347</v>
      </c>
      <c r="I60" s="103">
        <v>14030</v>
      </c>
      <c r="J60" s="103">
        <v>18493</v>
      </c>
      <c r="K60" s="103">
        <v>7114</v>
      </c>
      <c r="L60" s="103">
        <v>6824</v>
      </c>
      <c r="M60" s="103">
        <v>7360</v>
      </c>
      <c r="N60" s="99">
        <f t="shared" si="21"/>
        <v>11419.083333333334</v>
      </c>
      <c r="O60" s="392">
        <f>SUM(B60:M60)</f>
        <v>137029</v>
      </c>
    </row>
    <row r="61" spans="1:15" ht="18.95" customHeight="1">
      <c r="A61" s="101" t="s">
        <v>111</v>
      </c>
      <c r="B61" s="102">
        <f t="shared" ref="B61:M61" si="23">B60/B23</f>
        <v>2.4006184987348891</v>
      </c>
      <c r="C61" s="102">
        <f t="shared" si="23"/>
        <v>0.91534666320436253</v>
      </c>
      <c r="D61" s="102">
        <f t="shared" si="23"/>
        <v>0.9048270059943212</v>
      </c>
      <c r="E61" s="102">
        <f t="shared" si="23"/>
        <v>0.9689994678020224</v>
      </c>
      <c r="F61" s="102">
        <f t="shared" si="23"/>
        <v>1.189667828959442</v>
      </c>
      <c r="G61" s="102">
        <f t="shared" si="23"/>
        <v>0.78552262471033052</v>
      </c>
      <c r="H61" s="102">
        <f t="shared" si="23"/>
        <v>0.92844144722757438</v>
      </c>
      <c r="I61" s="102">
        <f t="shared" si="23"/>
        <v>1.1815731851103251</v>
      </c>
      <c r="J61" s="102">
        <f t="shared" si="23"/>
        <v>1.7462700661000945</v>
      </c>
      <c r="K61" s="102">
        <f t="shared" si="23"/>
        <v>0.8301050175029171</v>
      </c>
      <c r="L61" s="102">
        <f t="shared" si="23"/>
        <v>0.43132545351115603</v>
      </c>
      <c r="M61" s="102">
        <f t="shared" si="23"/>
        <v>0.39993479324023257</v>
      </c>
      <c r="N61" s="102">
        <f t="shared" si="21"/>
        <v>1.0568860043414725</v>
      </c>
      <c r="O61" s="300"/>
    </row>
    <row r="62" spans="1:15" ht="18.95" customHeight="1">
      <c r="A62" s="98" t="s">
        <v>94</v>
      </c>
      <c r="B62" s="103">
        <v>1366</v>
      </c>
      <c r="C62" s="103">
        <v>1389</v>
      </c>
      <c r="D62" s="103">
        <v>1341</v>
      </c>
      <c r="E62" s="99">
        <v>1284</v>
      </c>
      <c r="F62" s="100">
        <v>1454</v>
      </c>
      <c r="G62" s="100">
        <v>1387</v>
      </c>
      <c r="H62" s="100">
        <v>1400</v>
      </c>
      <c r="I62" s="100">
        <v>1629</v>
      </c>
      <c r="J62" s="100">
        <v>1344</v>
      </c>
      <c r="K62" s="100">
        <v>1481</v>
      </c>
      <c r="L62" s="100">
        <v>1829</v>
      </c>
      <c r="M62" s="100">
        <v>1440</v>
      </c>
      <c r="N62" s="99">
        <f t="shared" si="21"/>
        <v>1445.3333333333333</v>
      </c>
      <c r="O62" s="391">
        <f>SUM(B62:M62)</f>
        <v>17344</v>
      </c>
    </row>
    <row r="63" spans="1:15" ht="18.95" customHeight="1">
      <c r="A63" s="101" t="s">
        <v>111</v>
      </c>
      <c r="B63" s="102">
        <f t="shared" ref="B63:M63" si="24">B62/B25</f>
        <v>1.1392827356130109</v>
      </c>
      <c r="C63" s="102">
        <f t="shared" si="24"/>
        <v>0.95727084769124737</v>
      </c>
      <c r="D63" s="102">
        <f t="shared" si="24"/>
        <v>0.96753246753246758</v>
      </c>
      <c r="E63" s="102">
        <f t="shared" si="24"/>
        <v>1.0222929936305734</v>
      </c>
      <c r="F63" s="102">
        <f t="shared" si="24"/>
        <v>1.2197986577181208</v>
      </c>
      <c r="G63" s="102">
        <f t="shared" si="24"/>
        <v>1.0420736288504884</v>
      </c>
      <c r="H63" s="102">
        <f t="shared" si="24"/>
        <v>1.0630220197418374</v>
      </c>
      <c r="I63" s="102">
        <f t="shared" si="24"/>
        <v>1.2501918649270913</v>
      </c>
      <c r="J63" s="102">
        <f t="shared" si="24"/>
        <v>0.83478260869565213</v>
      </c>
      <c r="K63" s="102">
        <f t="shared" si="24"/>
        <v>1.2968476357267951</v>
      </c>
      <c r="L63" s="102">
        <f t="shared" si="24"/>
        <v>1.1044685990338163</v>
      </c>
      <c r="M63" s="102">
        <f t="shared" si="24"/>
        <v>1.069042316258352</v>
      </c>
      <c r="N63" s="102">
        <f t="shared" si="21"/>
        <v>1.0805505312849546</v>
      </c>
      <c r="O63" s="300"/>
    </row>
    <row r="64" spans="1:15" ht="18.95" customHeight="1">
      <c r="A64" s="98" t="s">
        <v>95</v>
      </c>
      <c r="B64" s="103">
        <v>11739</v>
      </c>
      <c r="C64" s="103">
        <v>6889</v>
      </c>
      <c r="D64" s="103">
        <v>10948</v>
      </c>
      <c r="E64" s="103">
        <v>9187</v>
      </c>
      <c r="F64" s="103">
        <v>6890</v>
      </c>
      <c r="G64" s="103">
        <v>7592</v>
      </c>
      <c r="H64" s="103">
        <v>9833</v>
      </c>
      <c r="I64" s="103">
        <v>8497</v>
      </c>
      <c r="J64" s="103">
        <v>9442</v>
      </c>
      <c r="K64" s="103">
        <v>9589</v>
      </c>
      <c r="L64" s="103">
        <v>10603</v>
      </c>
      <c r="M64" s="103">
        <v>10315</v>
      </c>
      <c r="N64" s="99">
        <f t="shared" si="21"/>
        <v>9293.6666666666661</v>
      </c>
      <c r="O64" s="391">
        <f>SUM(B64:M64)</f>
        <v>111524</v>
      </c>
    </row>
    <row r="65" spans="1:15" ht="18.95" customHeight="1">
      <c r="A65" s="101" t="s">
        <v>111</v>
      </c>
      <c r="B65" s="104">
        <f t="shared" ref="B65:M65" si="25">B64/B27</f>
        <v>1.9022848808945065</v>
      </c>
      <c r="C65" s="104">
        <f t="shared" si="25"/>
        <v>1.4748447869835153</v>
      </c>
      <c r="D65" s="104">
        <f t="shared" si="25"/>
        <v>1.1399416909620992</v>
      </c>
      <c r="E65" s="104">
        <f t="shared" si="25"/>
        <v>1.1066008190797398</v>
      </c>
      <c r="F65" s="104">
        <f t="shared" si="25"/>
        <v>0.79597966728280967</v>
      </c>
      <c r="G65" s="104">
        <f t="shared" si="25"/>
        <v>0.7879605604566684</v>
      </c>
      <c r="H65" s="104">
        <f t="shared" si="25"/>
        <v>0.83970964987190433</v>
      </c>
      <c r="I65" s="104">
        <f t="shared" si="25"/>
        <v>0.9435868961687951</v>
      </c>
      <c r="J65" s="104">
        <f t="shared" si="25"/>
        <v>1.09269760444393</v>
      </c>
      <c r="K65" s="104">
        <f t="shared" si="25"/>
        <v>1.0642619311875694</v>
      </c>
      <c r="L65" s="104">
        <f t="shared" si="25"/>
        <v>1.1371728871728872</v>
      </c>
      <c r="M65" s="104">
        <f t="shared" si="25"/>
        <v>0.89930252833478641</v>
      </c>
      <c r="N65" s="102">
        <f t="shared" si="21"/>
        <v>1.0986953252366012</v>
      </c>
      <c r="O65" s="300"/>
    </row>
    <row r="66" spans="1:15" ht="18.95" customHeight="1">
      <c r="A66" s="98" t="s">
        <v>96</v>
      </c>
      <c r="B66" s="103">
        <v>1053</v>
      </c>
      <c r="C66" s="97">
        <v>923</v>
      </c>
      <c r="D66" s="103">
        <v>1336</v>
      </c>
      <c r="E66" s="103">
        <v>1307</v>
      </c>
      <c r="F66" s="100">
        <v>1283</v>
      </c>
      <c r="G66" s="100">
        <v>1165</v>
      </c>
      <c r="H66" s="100">
        <v>1183</v>
      </c>
      <c r="I66" s="100">
        <v>1446</v>
      </c>
      <c r="J66" s="97">
        <v>1195</v>
      </c>
      <c r="K66" s="97">
        <v>1398</v>
      </c>
      <c r="L66" s="97">
        <v>1520</v>
      </c>
      <c r="M66" s="97">
        <v>1534</v>
      </c>
      <c r="N66" s="99">
        <f t="shared" si="21"/>
        <v>1278.5833333333333</v>
      </c>
      <c r="O66" s="391">
        <f>SUM(B66:M66)</f>
        <v>15343</v>
      </c>
    </row>
    <row r="67" spans="1:15" ht="18.95" customHeight="1">
      <c r="A67" s="101" t="s">
        <v>111</v>
      </c>
      <c r="B67" s="102">
        <f t="shared" ref="B67:M67" si="26">B66/B29</f>
        <v>1.5716417910447762</v>
      </c>
      <c r="C67" s="102">
        <f t="shared" si="26"/>
        <v>1.1595477386934674</v>
      </c>
      <c r="D67" s="102">
        <f t="shared" si="26"/>
        <v>1.6077015643802648</v>
      </c>
      <c r="E67" s="102">
        <f t="shared" si="26"/>
        <v>1.7806539509536785</v>
      </c>
      <c r="F67" s="102">
        <f t="shared" si="26"/>
        <v>1.4629418472063853</v>
      </c>
      <c r="G67" s="102">
        <f t="shared" si="26"/>
        <v>1.251342642320086</v>
      </c>
      <c r="H67" s="102">
        <f t="shared" si="26"/>
        <v>1.4479804161566707</v>
      </c>
      <c r="I67" s="102">
        <f t="shared" si="26"/>
        <v>1.6488027366020523</v>
      </c>
      <c r="J67" s="102">
        <f t="shared" si="26"/>
        <v>1.2256410256410257</v>
      </c>
      <c r="K67" s="102">
        <f t="shared" si="26"/>
        <v>1.8274509803921568</v>
      </c>
      <c r="L67" s="102">
        <f t="shared" si="26"/>
        <v>1.5291750503018109</v>
      </c>
      <c r="M67" s="102">
        <f t="shared" si="26"/>
        <v>1.592938733125649</v>
      </c>
      <c r="N67" s="102">
        <f t="shared" si="21"/>
        <v>1.5088182064015019</v>
      </c>
      <c r="O67" s="300"/>
    </row>
    <row r="68" spans="1:15" ht="18.95" customHeight="1">
      <c r="A68" s="98" t="s">
        <v>97</v>
      </c>
      <c r="B68" s="103">
        <v>4790</v>
      </c>
      <c r="C68" s="103">
        <v>3666</v>
      </c>
      <c r="D68" s="103">
        <v>4920</v>
      </c>
      <c r="E68" s="103">
        <v>4158</v>
      </c>
      <c r="F68" s="103">
        <v>4931</v>
      </c>
      <c r="G68" s="103">
        <v>3924</v>
      </c>
      <c r="H68" s="103">
        <v>3625</v>
      </c>
      <c r="I68" s="103">
        <v>4479</v>
      </c>
      <c r="J68" s="103">
        <v>5078</v>
      </c>
      <c r="K68" s="103">
        <v>5171</v>
      </c>
      <c r="L68" s="103">
        <v>5564</v>
      </c>
      <c r="M68" s="103">
        <v>6248</v>
      </c>
      <c r="N68" s="99">
        <f t="shared" si="21"/>
        <v>4712.833333333333</v>
      </c>
      <c r="O68" s="391">
        <f>SUM(B68:M68)</f>
        <v>56554</v>
      </c>
    </row>
    <row r="69" spans="1:15" ht="18.95" customHeight="1">
      <c r="A69" s="101" t="s">
        <v>25</v>
      </c>
      <c r="B69" s="102">
        <f t="shared" ref="B69:M69" si="27">B68/B31</f>
        <v>2.1403038427167114</v>
      </c>
      <c r="C69" s="102">
        <f t="shared" si="27"/>
        <v>1.2949487813493465</v>
      </c>
      <c r="D69" s="102">
        <f t="shared" si="27"/>
        <v>1.3308087638625914</v>
      </c>
      <c r="E69" s="102">
        <f t="shared" si="27"/>
        <v>1.2703941338221816</v>
      </c>
      <c r="F69" s="102">
        <f t="shared" si="27"/>
        <v>1.3777591506007265</v>
      </c>
      <c r="G69" s="102">
        <f t="shared" si="27"/>
        <v>0.95730666016101484</v>
      </c>
      <c r="H69" s="102">
        <f t="shared" si="27"/>
        <v>0.65921076559374436</v>
      </c>
      <c r="I69" s="102">
        <f t="shared" si="27"/>
        <v>0.88675509800039598</v>
      </c>
      <c r="J69" s="102">
        <f t="shared" si="27"/>
        <v>1.047874535699546</v>
      </c>
      <c r="K69" s="102">
        <f t="shared" si="27"/>
        <v>1.154756587762394</v>
      </c>
      <c r="L69" s="102">
        <f t="shared" si="27"/>
        <v>1.1598915989159893</v>
      </c>
      <c r="M69" s="102">
        <f t="shared" si="27"/>
        <v>1.3367565254599914</v>
      </c>
      <c r="N69" s="102">
        <f t="shared" si="21"/>
        <v>1.2180638703287194</v>
      </c>
      <c r="O69" s="300"/>
    </row>
    <row r="70" spans="1:15" ht="18.95" customHeight="1">
      <c r="A70" s="98" t="s">
        <v>98</v>
      </c>
      <c r="B70" s="103">
        <v>2420</v>
      </c>
      <c r="C70" s="103">
        <v>1436</v>
      </c>
      <c r="D70" s="103">
        <v>1551</v>
      </c>
      <c r="E70" s="103">
        <v>1353</v>
      </c>
      <c r="F70" s="100">
        <v>1553</v>
      </c>
      <c r="G70" s="100">
        <v>1280</v>
      </c>
      <c r="H70" s="100">
        <v>1659</v>
      </c>
      <c r="I70" s="100">
        <v>2100</v>
      </c>
      <c r="J70" s="100">
        <v>1673</v>
      </c>
      <c r="K70" s="100">
        <v>1929</v>
      </c>
      <c r="L70" s="100">
        <v>1907</v>
      </c>
      <c r="M70" s="100">
        <v>1780</v>
      </c>
      <c r="N70" s="99">
        <f t="shared" si="21"/>
        <v>1720.0833333333333</v>
      </c>
      <c r="O70" s="391">
        <f>SUM(B70:M70)</f>
        <v>20641</v>
      </c>
    </row>
    <row r="71" spans="1:15" ht="18.95" customHeight="1">
      <c r="A71" s="101" t="s">
        <v>111</v>
      </c>
      <c r="B71" s="104">
        <f t="shared" ref="B71:M71" si="28">B70/B33</f>
        <v>1.3188010899182561</v>
      </c>
      <c r="C71" s="104">
        <f t="shared" si="28"/>
        <v>1.1424025457438345</v>
      </c>
      <c r="D71" s="104">
        <f t="shared" si="28"/>
        <v>0.99168797953964194</v>
      </c>
      <c r="E71" s="104">
        <f t="shared" si="28"/>
        <v>1.0670347003154574</v>
      </c>
      <c r="F71" s="104">
        <f t="shared" si="28"/>
        <v>1.0422818791946309</v>
      </c>
      <c r="G71" s="104">
        <f t="shared" si="28"/>
        <v>0.78287461773700306</v>
      </c>
      <c r="H71" s="104">
        <f t="shared" si="28"/>
        <v>0.92423398328690809</v>
      </c>
      <c r="I71" s="104">
        <f t="shared" si="28"/>
        <v>0.98777046095954846</v>
      </c>
      <c r="J71" s="104">
        <f t="shared" si="28"/>
        <v>0.92430939226519337</v>
      </c>
      <c r="K71" s="104">
        <f t="shared" si="28"/>
        <v>1.1003993154592129</v>
      </c>
      <c r="L71" s="104">
        <f t="shared" si="28"/>
        <v>0.87276887871853548</v>
      </c>
      <c r="M71" s="104">
        <f t="shared" si="28"/>
        <v>0.87512291052114066</v>
      </c>
      <c r="N71" s="102">
        <f t="shared" si="21"/>
        <v>1.0024739794716135</v>
      </c>
      <c r="O71" s="300"/>
    </row>
    <row r="72" spans="1:15" ht="18.95" customHeight="1">
      <c r="A72" s="105" t="s">
        <v>99</v>
      </c>
      <c r="B72" s="106">
        <f t="shared" ref="B72:M72" si="29">B58+B60+B62+B64+B66+B68+B70</f>
        <v>435093</v>
      </c>
      <c r="C72" s="106">
        <f t="shared" si="29"/>
        <v>298541</v>
      </c>
      <c r="D72" s="106">
        <f t="shared" si="29"/>
        <v>395399</v>
      </c>
      <c r="E72" s="106">
        <f t="shared" si="29"/>
        <v>343108</v>
      </c>
      <c r="F72" s="106">
        <f t="shared" si="29"/>
        <v>325498</v>
      </c>
      <c r="G72" s="106">
        <f t="shared" si="29"/>
        <v>288798</v>
      </c>
      <c r="H72" s="106">
        <f t="shared" si="29"/>
        <v>347023</v>
      </c>
      <c r="I72" s="106">
        <f t="shared" si="29"/>
        <v>360978</v>
      </c>
      <c r="J72" s="106">
        <f t="shared" si="29"/>
        <v>350799</v>
      </c>
      <c r="K72" s="106">
        <f t="shared" si="29"/>
        <v>350706</v>
      </c>
      <c r="L72" s="106">
        <f t="shared" si="29"/>
        <v>380588</v>
      </c>
      <c r="M72" s="106">
        <f t="shared" si="29"/>
        <v>394938</v>
      </c>
      <c r="N72" s="107">
        <f>AVERAGEA(B72:M72)</f>
        <v>355955.75</v>
      </c>
      <c r="O72" s="390">
        <f>SUM(B72:M72)</f>
        <v>4271469</v>
      </c>
    </row>
    <row r="73" spans="1:15" ht="18.95" customHeight="1">
      <c r="A73" s="108" t="s">
        <v>111</v>
      </c>
      <c r="B73" s="109">
        <f t="shared" ref="B73:M73" si="30">B72/B35</f>
        <v>1.3826917637786769</v>
      </c>
      <c r="C73" s="109">
        <f t="shared" si="30"/>
        <v>0.888946125650241</v>
      </c>
      <c r="D73" s="109">
        <f t="shared" si="30"/>
        <v>1.1068595231030216</v>
      </c>
      <c r="E73" s="109">
        <f t="shared" si="30"/>
        <v>1.1085414829102493</v>
      </c>
      <c r="F73" s="109">
        <f t="shared" si="30"/>
        <v>1.0027479467415883</v>
      </c>
      <c r="G73" s="109">
        <f t="shared" si="30"/>
        <v>0.84995835528387564</v>
      </c>
      <c r="H73" s="109">
        <f t="shared" si="30"/>
        <v>0.87374360472142776</v>
      </c>
      <c r="I73" s="109">
        <f t="shared" si="30"/>
        <v>0.98014874188476986</v>
      </c>
      <c r="J73" s="109">
        <f t="shared" si="30"/>
        <v>0.938783538592463</v>
      </c>
      <c r="K73" s="109">
        <f t="shared" si="30"/>
        <v>1.0215075060730161</v>
      </c>
      <c r="L73" s="109">
        <f t="shared" si="30"/>
        <v>1.0463677028947853</v>
      </c>
      <c r="M73" s="109">
        <f t="shared" si="30"/>
        <v>0.97104599300737127</v>
      </c>
      <c r="N73" s="116">
        <f>AVERAGE(B73:M73)</f>
        <v>1.0142785237201239</v>
      </c>
      <c r="O73" s="300"/>
    </row>
    <row r="74" spans="1:15" ht="18.95" customHeight="1">
      <c r="A74" s="110" t="s">
        <v>112</v>
      </c>
      <c r="B74" s="111"/>
      <c r="C74" s="112"/>
      <c r="D74" s="112"/>
      <c r="E74" s="112"/>
      <c r="F74" s="113"/>
      <c r="G74" s="113"/>
      <c r="H74" s="112"/>
      <c r="I74" s="112"/>
      <c r="J74" s="112"/>
      <c r="K74" s="112"/>
      <c r="L74" s="112"/>
      <c r="M74" s="112"/>
      <c r="N74" s="94"/>
      <c r="O74" s="94"/>
    </row>
    <row r="75" spans="1:15" ht="18.95" customHeight="1">
      <c r="A75" s="98" t="s">
        <v>100</v>
      </c>
      <c r="B75" s="103">
        <v>2419356</v>
      </c>
      <c r="C75" s="103">
        <v>1794672</v>
      </c>
      <c r="D75" s="103">
        <v>2301951</v>
      </c>
      <c r="E75" s="103">
        <v>2038565</v>
      </c>
      <c r="F75" s="103">
        <v>1945472</v>
      </c>
      <c r="G75" s="103">
        <v>1816154</v>
      </c>
      <c r="H75" s="103">
        <v>2380488</v>
      </c>
      <c r="I75" s="103">
        <v>2068503</v>
      </c>
      <c r="J75" s="103">
        <v>2058048</v>
      </c>
      <c r="K75" s="103">
        <v>2156521</v>
      </c>
      <c r="L75" s="103">
        <v>2245189</v>
      </c>
      <c r="M75" s="103">
        <v>2412965</v>
      </c>
      <c r="N75" s="103">
        <f>AVERAGE(B75:M75)</f>
        <v>2136490.3333333335</v>
      </c>
      <c r="O75" s="392">
        <f>SUM(B75:M75)</f>
        <v>25637884</v>
      </c>
    </row>
    <row r="76" spans="1:15" ht="18.95" customHeight="1">
      <c r="A76" s="101" t="s">
        <v>25</v>
      </c>
      <c r="B76" s="102">
        <f t="shared" ref="B76:M76" si="31">B75/B38</f>
        <v>1.1720408385713768</v>
      </c>
      <c r="C76" s="102">
        <f t="shared" si="31"/>
        <v>0.93485938603674279</v>
      </c>
      <c r="D76" s="102">
        <f t="shared" si="31"/>
        <v>0.96419986252948264</v>
      </c>
      <c r="E76" s="102">
        <f t="shared" si="31"/>
        <v>1.0589634488745008</v>
      </c>
      <c r="F76" s="102">
        <f t="shared" si="31"/>
        <v>1.0035355082847679</v>
      </c>
      <c r="G76" s="102">
        <f t="shared" si="31"/>
        <v>0.91950367213360429</v>
      </c>
      <c r="H76" s="102">
        <f t="shared" si="31"/>
        <v>1.1200604520446558</v>
      </c>
      <c r="I76" s="102">
        <f t="shared" si="31"/>
        <v>0.99672288975494672</v>
      </c>
      <c r="J76" s="102">
        <f t="shared" si="31"/>
        <v>0.94054418672245821</v>
      </c>
      <c r="K76" s="102">
        <f t="shared" si="31"/>
        <v>1.0750241398270506</v>
      </c>
      <c r="L76" s="102">
        <f t="shared" si="31"/>
        <v>1.0796150258220252</v>
      </c>
      <c r="M76" s="102">
        <f t="shared" si="31"/>
        <v>0.97552421542539214</v>
      </c>
      <c r="N76" s="102">
        <f>AVERAGE(B76:M76)</f>
        <v>1.0200494688355837</v>
      </c>
      <c r="O76" s="300"/>
    </row>
    <row r="77" spans="1:15" ht="18.95" customHeight="1">
      <c r="A77" s="98" t="s">
        <v>101</v>
      </c>
      <c r="B77" s="103">
        <v>140616</v>
      </c>
      <c r="C77" s="103">
        <v>62362</v>
      </c>
      <c r="D77" s="103">
        <v>82962</v>
      </c>
      <c r="E77" s="103">
        <v>137684</v>
      </c>
      <c r="F77" s="103">
        <v>158944</v>
      </c>
      <c r="G77" s="103">
        <v>155930</v>
      </c>
      <c r="H77" s="103">
        <v>142955</v>
      </c>
      <c r="I77" s="103">
        <v>115873</v>
      </c>
      <c r="J77" s="103">
        <v>140592</v>
      </c>
      <c r="K77" s="103">
        <v>71082</v>
      </c>
      <c r="L77" s="103">
        <v>71494</v>
      </c>
      <c r="M77" s="103">
        <v>107674</v>
      </c>
      <c r="N77" s="103">
        <f>AVERAGE(B77:M77)</f>
        <v>115680.66666666667</v>
      </c>
      <c r="O77" s="392">
        <f>SUM(B77:M77)</f>
        <v>1388168</v>
      </c>
    </row>
    <row r="78" spans="1:15" ht="18.95" customHeight="1">
      <c r="A78" s="101" t="s">
        <v>25</v>
      </c>
      <c r="B78" s="129">
        <f t="shared" ref="B78:M78" si="32">B77/B40</f>
        <v>2.7050381855606642</v>
      </c>
      <c r="C78" s="129">
        <f t="shared" si="32"/>
        <v>1.2040855730614766</v>
      </c>
      <c r="D78" s="129">
        <f t="shared" si="32"/>
        <v>1.0022591362126245</v>
      </c>
      <c r="E78" s="129">
        <f t="shared" si="32"/>
        <v>1.5649999431669641</v>
      </c>
      <c r="F78" s="129">
        <f t="shared" si="32"/>
        <v>1.5984552878233236</v>
      </c>
      <c r="G78" s="129">
        <f t="shared" si="32"/>
        <v>1.1128874551255059</v>
      </c>
      <c r="H78" s="129">
        <f t="shared" si="32"/>
        <v>0.94679082582174856</v>
      </c>
      <c r="I78" s="129">
        <f t="shared" si="32"/>
        <v>1.2217219855763148</v>
      </c>
      <c r="J78" s="129">
        <f t="shared" si="32"/>
        <v>0.30373052427822089</v>
      </c>
      <c r="K78" s="129">
        <f t="shared" si="32"/>
        <v>0.61524745962227567</v>
      </c>
      <c r="L78" s="129">
        <f t="shared" si="32"/>
        <v>0.51282161634854717</v>
      </c>
      <c r="M78" s="129">
        <f t="shared" si="32"/>
        <v>0.6500169033130494</v>
      </c>
      <c r="N78" s="102">
        <f>AVERAGE(B78:M78)</f>
        <v>1.1198379079925598</v>
      </c>
      <c r="O78" s="300"/>
    </row>
    <row r="79" spans="1:15" ht="18.95" customHeight="1">
      <c r="A79" s="127" t="s">
        <v>102</v>
      </c>
      <c r="B79" s="140">
        <v>3631</v>
      </c>
      <c r="C79" s="128">
        <v>4475</v>
      </c>
      <c r="D79" s="103">
        <v>5343</v>
      </c>
      <c r="E79" s="99">
        <v>5271</v>
      </c>
      <c r="F79" s="99">
        <v>4796</v>
      </c>
      <c r="G79" s="103">
        <v>6084</v>
      </c>
      <c r="H79" s="103">
        <v>5015</v>
      </c>
      <c r="I79" s="103">
        <v>6232</v>
      </c>
      <c r="J79" s="103">
        <v>4489</v>
      </c>
      <c r="K79" s="103">
        <v>6019</v>
      </c>
      <c r="L79" s="103">
        <v>6688</v>
      </c>
      <c r="M79" s="103">
        <v>5709</v>
      </c>
      <c r="N79" s="103">
        <f>AVERAGE(B79:M79)</f>
        <v>5312.666666666667</v>
      </c>
      <c r="O79" s="391">
        <f>SUM(B79:M79)</f>
        <v>63752</v>
      </c>
    </row>
    <row r="80" spans="1:15" ht="18.95" customHeight="1">
      <c r="A80" s="130" t="s">
        <v>25</v>
      </c>
      <c r="B80" s="132" t="e">
        <f t="shared" ref="B80:M80" si="33">B79/B42</f>
        <v>#DIV/0!</v>
      </c>
      <c r="C80" s="104">
        <f t="shared" si="33"/>
        <v>0.76508804923918616</v>
      </c>
      <c r="D80" s="104">
        <f t="shared" si="33"/>
        <v>0.85611280243550714</v>
      </c>
      <c r="E80" s="104">
        <f t="shared" si="33"/>
        <v>0.98229593738352594</v>
      </c>
      <c r="F80" s="104">
        <f t="shared" si="33"/>
        <v>0.96869319329428394</v>
      </c>
      <c r="G80" s="104">
        <f t="shared" si="33"/>
        <v>1.155775075987842</v>
      </c>
      <c r="H80" s="104">
        <f t="shared" si="33"/>
        <v>0.91298015656289822</v>
      </c>
      <c r="I80" s="104">
        <f t="shared" si="33"/>
        <v>1.2796714579055442</v>
      </c>
      <c r="J80" s="104">
        <f t="shared" si="33"/>
        <v>0.81781745308799414</v>
      </c>
      <c r="K80" s="104">
        <f t="shared" si="33"/>
        <v>1.3011240812797233</v>
      </c>
      <c r="L80" s="104">
        <f t="shared" si="33"/>
        <v>1.0642902609802674</v>
      </c>
      <c r="M80" s="104">
        <f t="shared" si="33"/>
        <v>1.0161979352082591</v>
      </c>
      <c r="N80" s="102">
        <f>AVERAGE(C80:M80)</f>
        <v>1.0109133093968212</v>
      </c>
      <c r="O80" s="300"/>
    </row>
    <row r="81" spans="1:15" ht="18.95" customHeight="1">
      <c r="A81" s="98" t="s">
        <v>103</v>
      </c>
      <c r="B81" s="131">
        <v>154420</v>
      </c>
      <c r="C81" s="103">
        <v>67536</v>
      </c>
      <c r="D81" s="103">
        <v>94858</v>
      </c>
      <c r="E81" s="103">
        <v>101591</v>
      </c>
      <c r="F81" s="103">
        <v>67536</v>
      </c>
      <c r="G81" s="103">
        <v>91419</v>
      </c>
      <c r="H81" s="103">
        <v>115359</v>
      </c>
      <c r="I81" s="103">
        <v>90996</v>
      </c>
      <c r="J81" s="103">
        <v>77599</v>
      </c>
      <c r="K81" s="103">
        <v>144791</v>
      </c>
      <c r="L81" s="103">
        <v>114515</v>
      </c>
      <c r="M81" s="103">
        <v>151058</v>
      </c>
      <c r="N81" s="103">
        <f>AVERAGE(B81:M81)</f>
        <v>105973.16666666667</v>
      </c>
      <c r="O81" s="391">
        <f>SUM(B81:M81)</f>
        <v>1271678</v>
      </c>
    </row>
    <row r="82" spans="1:15" ht="18.95" customHeight="1">
      <c r="A82" s="101" t="s">
        <v>25</v>
      </c>
      <c r="B82" s="104">
        <f t="shared" ref="B82:M82" si="34">B81/B44</f>
        <v>2.5333858319388392</v>
      </c>
      <c r="C82" s="104">
        <f t="shared" si="34"/>
        <v>1.583827771393729</v>
      </c>
      <c r="D82" s="104">
        <f t="shared" si="34"/>
        <v>0.87368750690785835</v>
      </c>
      <c r="E82" s="104">
        <f t="shared" si="34"/>
        <v>0.98609061966143807</v>
      </c>
      <c r="F82" s="104">
        <f t="shared" si="34"/>
        <v>0.63900689759577634</v>
      </c>
      <c r="G82" s="104">
        <f t="shared" si="34"/>
        <v>0.85283691251376015</v>
      </c>
      <c r="H82" s="104">
        <f t="shared" si="34"/>
        <v>1.1441734524860399</v>
      </c>
      <c r="I82" s="104">
        <f t="shared" si="34"/>
        <v>0.83444291609353505</v>
      </c>
      <c r="J82" s="104">
        <f t="shared" si="34"/>
        <v>0.91584935500241949</v>
      </c>
      <c r="K82" s="104">
        <f t="shared" si="34"/>
        <v>1.3036952332931155</v>
      </c>
      <c r="L82" s="104">
        <f t="shared" si="34"/>
        <v>0.87071069579300331</v>
      </c>
      <c r="M82" s="104">
        <f t="shared" si="34"/>
        <v>1.121864997140714</v>
      </c>
      <c r="N82" s="102">
        <f>AVERAGE(C82:M82)</f>
        <v>1.0114714870801262</v>
      </c>
      <c r="O82" s="300"/>
    </row>
    <row r="83" spans="1:15" ht="18.95" customHeight="1">
      <c r="A83" s="98" t="s">
        <v>104</v>
      </c>
      <c r="B83" s="103">
        <v>11056</v>
      </c>
      <c r="C83" s="103">
        <v>10071</v>
      </c>
      <c r="D83" s="103">
        <v>12672</v>
      </c>
      <c r="E83" s="103">
        <v>15170</v>
      </c>
      <c r="F83" s="103">
        <v>15139</v>
      </c>
      <c r="G83" s="103">
        <v>11616</v>
      </c>
      <c r="H83" s="103">
        <v>13918</v>
      </c>
      <c r="I83" s="103">
        <v>13811</v>
      </c>
      <c r="J83" s="103">
        <v>13363</v>
      </c>
      <c r="K83" s="103">
        <v>14248</v>
      </c>
      <c r="L83" s="103">
        <v>14462</v>
      </c>
      <c r="M83" s="103">
        <v>13377</v>
      </c>
      <c r="N83" s="103">
        <f>AVERAGE(B83:M83)</f>
        <v>13241.916666666666</v>
      </c>
      <c r="O83" s="391">
        <f>SUM(B83:M83)</f>
        <v>158903</v>
      </c>
    </row>
    <row r="84" spans="1:15" ht="18.95" customHeight="1">
      <c r="A84" s="101" t="s">
        <v>25</v>
      </c>
      <c r="B84" s="104">
        <f t="shared" ref="B84:M84" si="35">B83/B46</f>
        <v>1.643281807372176</v>
      </c>
      <c r="C84" s="104">
        <f t="shared" si="35"/>
        <v>3.05459508644222</v>
      </c>
      <c r="D84" s="104">
        <f t="shared" si="35"/>
        <v>1.5119914091397209</v>
      </c>
      <c r="E84" s="104">
        <f t="shared" si="35"/>
        <v>1.9154040404040404</v>
      </c>
      <c r="F84" s="104">
        <f t="shared" si="35"/>
        <v>1.5748465619473631</v>
      </c>
      <c r="G84" s="104">
        <f t="shared" si="35"/>
        <v>1.1186440677966101</v>
      </c>
      <c r="H84" s="104">
        <f t="shared" si="35"/>
        <v>1.4826888249707042</v>
      </c>
      <c r="I84" s="104">
        <f t="shared" si="35"/>
        <v>1.4286748732802317</v>
      </c>
      <c r="J84" s="104">
        <f t="shared" si="35"/>
        <v>1.1528772323354326</v>
      </c>
      <c r="K84" s="104">
        <f t="shared" si="35"/>
        <v>1.6106714899389554</v>
      </c>
      <c r="L84" s="104">
        <f t="shared" si="35"/>
        <v>1.2736239542051959</v>
      </c>
      <c r="M84" s="104">
        <f t="shared" si="35"/>
        <v>1.1790058170280275</v>
      </c>
      <c r="N84" s="102">
        <f>AVERAGE(C84:M84)</f>
        <v>1.5730021234080456</v>
      </c>
      <c r="O84" s="300"/>
    </row>
    <row r="85" spans="1:15" ht="18.95" customHeight="1">
      <c r="A85" s="98" t="s">
        <v>105</v>
      </c>
      <c r="B85" s="103">
        <v>7435</v>
      </c>
      <c r="C85" s="103">
        <v>5901</v>
      </c>
      <c r="D85" s="103">
        <v>8603</v>
      </c>
      <c r="E85" s="103">
        <v>6425</v>
      </c>
      <c r="F85" s="103">
        <v>7656</v>
      </c>
      <c r="G85" s="103">
        <v>6283</v>
      </c>
      <c r="H85" s="103">
        <v>5848</v>
      </c>
      <c r="I85" s="103">
        <v>7991</v>
      </c>
      <c r="J85" s="103">
        <v>8009</v>
      </c>
      <c r="K85" s="103">
        <v>8707</v>
      </c>
      <c r="L85" s="103">
        <v>9578</v>
      </c>
      <c r="M85" s="103">
        <v>6248</v>
      </c>
      <c r="N85" s="103">
        <f>AVERAGE(B85:M85)</f>
        <v>7390.333333333333</v>
      </c>
      <c r="O85" s="391">
        <f>SUM(B85:M85)</f>
        <v>88684</v>
      </c>
    </row>
    <row r="86" spans="1:15" ht="18.95" customHeight="1">
      <c r="A86" s="101" t="s">
        <v>25</v>
      </c>
      <c r="B86" s="104">
        <f t="shared" ref="B86:M86" si="36">B85/B48</f>
        <v>1.8737399193548387</v>
      </c>
      <c r="C86" s="104">
        <f t="shared" si="36"/>
        <v>1.1613855540247984</v>
      </c>
      <c r="D86" s="104">
        <f t="shared" si="36"/>
        <v>1.4764029517762143</v>
      </c>
      <c r="E86" s="104">
        <f t="shared" si="36"/>
        <v>1.2478151097300447</v>
      </c>
      <c r="F86" s="104">
        <f t="shared" si="36"/>
        <v>1.3159161223788243</v>
      </c>
      <c r="G86" s="104">
        <f t="shared" si="36"/>
        <v>1.0570323014804845</v>
      </c>
      <c r="H86" s="104">
        <f t="shared" si="36"/>
        <v>0.72286773794808401</v>
      </c>
      <c r="I86" s="104">
        <f t="shared" si="36"/>
        <v>1.0364461738002595</v>
      </c>
      <c r="J86" s="104">
        <f t="shared" si="36"/>
        <v>1.1985932355582161</v>
      </c>
      <c r="K86" s="104">
        <f t="shared" si="36"/>
        <v>1.3038334830787661</v>
      </c>
      <c r="L86" s="104">
        <f t="shared" si="36"/>
        <v>1.4079082757606938</v>
      </c>
      <c r="M86" s="104">
        <f t="shared" si="36"/>
        <v>0.89129814550641939</v>
      </c>
      <c r="N86" s="102">
        <f>AVERAGE(C86:M86)</f>
        <v>1.1654090082766186</v>
      </c>
      <c r="O86" s="300"/>
    </row>
    <row r="87" spans="1:15" ht="18.95" customHeight="1">
      <c r="A87" s="98" t="s">
        <v>106</v>
      </c>
      <c r="B87" s="103">
        <v>14048</v>
      </c>
      <c r="C87" s="103">
        <v>8024</v>
      </c>
      <c r="D87" s="103">
        <v>7928</v>
      </c>
      <c r="E87" s="103">
        <v>13566</v>
      </c>
      <c r="F87" s="103">
        <v>7731</v>
      </c>
      <c r="G87" s="103">
        <v>5177</v>
      </c>
      <c r="H87" s="103">
        <v>6472</v>
      </c>
      <c r="I87" s="103">
        <v>10398</v>
      </c>
      <c r="J87" s="103">
        <v>8189</v>
      </c>
      <c r="K87" s="103">
        <v>9795</v>
      </c>
      <c r="L87" s="103">
        <v>9364</v>
      </c>
      <c r="M87" s="103">
        <v>8981</v>
      </c>
      <c r="N87" s="103">
        <f>AVERAGE(B87:M87)</f>
        <v>9139.4166666666661</v>
      </c>
      <c r="O87" s="391">
        <f>SUM(B87:M87)</f>
        <v>109673</v>
      </c>
    </row>
    <row r="88" spans="1:15" ht="18.95" customHeight="1">
      <c r="A88" s="101" t="s">
        <v>25</v>
      </c>
      <c r="B88" s="104">
        <f t="shared" ref="B88:M88" si="37">B87/B50</f>
        <v>1.3106922933383094</v>
      </c>
      <c r="C88" s="104">
        <f t="shared" si="37"/>
        <v>1.1234948193783254</v>
      </c>
      <c r="D88" s="104">
        <f t="shared" si="37"/>
        <v>1.0112244897959184</v>
      </c>
      <c r="E88" s="104">
        <f t="shared" si="37"/>
        <v>2.0473890733474192</v>
      </c>
      <c r="F88" s="104">
        <f t="shared" si="37"/>
        <v>1.0153664302600474</v>
      </c>
      <c r="G88" s="104">
        <f t="shared" si="37"/>
        <v>0.58676187237900945</v>
      </c>
      <c r="H88" s="104">
        <f t="shared" si="37"/>
        <v>0.68946415255140092</v>
      </c>
      <c r="I88" s="104">
        <f t="shared" si="37"/>
        <v>0.90417391304347827</v>
      </c>
      <c r="J88" s="104">
        <f t="shared" si="37"/>
        <v>0.90918174752969916</v>
      </c>
      <c r="K88" s="104">
        <f t="shared" si="37"/>
        <v>1.0704918032786885</v>
      </c>
      <c r="L88" s="104">
        <f t="shared" si="37"/>
        <v>0.82429577464788728</v>
      </c>
      <c r="M88" s="104">
        <f t="shared" si="37"/>
        <v>0.85047348484848484</v>
      </c>
      <c r="N88" s="102">
        <f>AVERAGE(C88:M88)</f>
        <v>1.0029379600963961</v>
      </c>
      <c r="O88" s="300"/>
    </row>
    <row r="89" spans="1:15" ht="18.95" customHeight="1">
      <c r="A89" s="105" t="s">
        <v>107</v>
      </c>
      <c r="B89" s="107">
        <f t="shared" ref="B89:M89" si="38">B75+B77+B79+B81+B83+B85+B87</f>
        <v>2750562</v>
      </c>
      <c r="C89" s="107">
        <f t="shared" si="38"/>
        <v>1953041</v>
      </c>
      <c r="D89" s="107">
        <f t="shared" si="38"/>
        <v>2514317</v>
      </c>
      <c r="E89" s="107">
        <f t="shared" si="38"/>
        <v>2318272</v>
      </c>
      <c r="F89" s="107">
        <f t="shared" si="38"/>
        <v>2207274</v>
      </c>
      <c r="G89" s="107">
        <f t="shared" si="38"/>
        <v>2092663</v>
      </c>
      <c r="H89" s="107">
        <f t="shared" si="38"/>
        <v>2670055</v>
      </c>
      <c r="I89" s="107">
        <f t="shared" si="38"/>
        <v>2313804</v>
      </c>
      <c r="J89" s="107">
        <f t="shared" si="38"/>
        <v>2310289</v>
      </c>
      <c r="K89" s="107">
        <f t="shared" si="38"/>
        <v>2411163</v>
      </c>
      <c r="L89" s="107">
        <f t="shared" si="38"/>
        <v>2471290</v>
      </c>
      <c r="M89" s="107">
        <f t="shared" si="38"/>
        <v>2706012</v>
      </c>
      <c r="N89" s="107">
        <f>AVERAGEA(B89:M89)</f>
        <v>2393228.5</v>
      </c>
      <c r="O89" s="390">
        <f>SUM(B89:M89)</f>
        <v>28718742</v>
      </c>
    </row>
    <row r="90" spans="1:15" ht="18.95" customHeight="1">
      <c r="A90" s="108" t="s">
        <v>111</v>
      </c>
      <c r="B90" s="109">
        <f t="shared" ref="B90:M90" si="39">B89/B52</f>
        <v>1.2510652349520781</v>
      </c>
      <c r="C90" s="109">
        <f t="shared" si="39"/>
        <v>0.95947730463772019</v>
      </c>
      <c r="D90" s="109">
        <f t="shared" si="39"/>
        <v>0.96442732168878553</v>
      </c>
      <c r="E90" s="109">
        <f t="shared" si="39"/>
        <v>1.0827385119650053</v>
      </c>
      <c r="F90" s="109">
        <f t="shared" si="39"/>
        <v>1.0163624634451931</v>
      </c>
      <c r="G90" s="109">
        <f t="shared" si="39"/>
        <v>0.9288884213367139</v>
      </c>
      <c r="H90" s="109">
        <f t="shared" si="39"/>
        <v>1.1081411419013982</v>
      </c>
      <c r="I90" s="109">
        <f t="shared" si="39"/>
        <v>1.0003713879923648</v>
      </c>
      <c r="J90" s="109">
        <f t="shared" si="39"/>
        <v>0.83448280096860139</v>
      </c>
      <c r="K90" s="109">
        <f t="shared" si="39"/>
        <v>1.0659820851074553</v>
      </c>
      <c r="L90" s="109">
        <f t="shared" si="39"/>
        <v>1.0355923722968177</v>
      </c>
      <c r="M90" s="109">
        <f t="shared" si="39"/>
        <v>0.96356384579201138</v>
      </c>
      <c r="N90" s="126">
        <f>AVERAGE(B90:M90)</f>
        <v>1.0175910743403453</v>
      </c>
      <c r="O90" s="300"/>
    </row>
    <row r="92" spans="1:15" ht="18.95" customHeight="1">
      <c r="A92" s="94" t="s">
        <v>108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4"/>
      <c r="O92" s="94"/>
    </row>
    <row r="93" spans="1:15" ht="18.95" customHeight="1">
      <c r="A93" s="96" t="s">
        <v>114</v>
      </c>
      <c r="B93" s="97">
        <v>1</v>
      </c>
      <c r="C93" s="97">
        <v>2</v>
      </c>
      <c r="D93" s="97">
        <v>3</v>
      </c>
      <c r="E93" s="97">
        <v>4</v>
      </c>
      <c r="F93" s="97">
        <v>5</v>
      </c>
      <c r="G93" s="97">
        <v>6</v>
      </c>
      <c r="H93" s="97">
        <v>7</v>
      </c>
      <c r="I93" s="97">
        <v>8</v>
      </c>
      <c r="J93" s="97">
        <v>9</v>
      </c>
      <c r="K93" s="97">
        <v>10</v>
      </c>
      <c r="L93" s="97">
        <v>11</v>
      </c>
      <c r="M93" s="97">
        <v>12</v>
      </c>
      <c r="N93" s="97" t="s">
        <v>110</v>
      </c>
      <c r="O93" s="97" t="s">
        <v>66</v>
      </c>
    </row>
    <row r="94" spans="1:15" ht="18.95" customHeight="1">
      <c r="A94" s="98" t="s">
        <v>92</v>
      </c>
      <c r="B94" s="99">
        <v>364962</v>
      </c>
      <c r="C94" s="99">
        <v>275117</v>
      </c>
      <c r="D94" s="99">
        <v>386799</v>
      </c>
      <c r="E94" s="99">
        <v>320228</v>
      </c>
      <c r="F94" s="100">
        <v>305685</v>
      </c>
      <c r="G94" s="100">
        <v>325833</v>
      </c>
      <c r="H94" s="100">
        <v>360551</v>
      </c>
      <c r="I94" s="100">
        <v>389740</v>
      </c>
      <c r="J94" s="100">
        <v>339121</v>
      </c>
      <c r="K94" s="100">
        <v>342211</v>
      </c>
      <c r="L94" s="100">
        <v>374422</v>
      </c>
      <c r="M94" s="100">
        <v>413932</v>
      </c>
      <c r="N94" s="99">
        <f t="shared" ref="N94:N108" si="40">AVERAGE(B94:M94)</f>
        <v>349883.41666666669</v>
      </c>
      <c r="O94" s="392">
        <f>SUM(B94:M94)</f>
        <v>4198601</v>
      </c>
    </row>
    <row r="95" spans="1:15" ht="18.95" customHeight="1">
      <c r="A95" s="101" t="s">
        <v>111</v>
      </c>
      <c r="B95" s="102">
        <f t="shared" ref="B95:M95" si="41">B94/B58</f>
        <v>0.92011788819781826</v>
      </c>
      <c r="C95" s="102">
        <f t="shared" si="41"/>
        <v>0.99252853658888551</v>
      </c>
      <c r="D95" s="102">
        <f t="shared" si="41"/>
        <v>1.05481334827747</v>
      </c>
      <c r="E95" s="102">
        <f t="shared" si="41"/>
        <v>1.0053118014918252</v>
      </c>
      <c r="F95" s="102">
        <f t="shared" si="41"/>
        <v>1.0312493674558569</v>
      </c>
      <c r="G95" s="102">
        <f t="shared" si="41"/>
        <v>1.2504672466793825</v>
      </c>
      <c r="H95" s="102">
        <f t="shared" si="41"/>
        <v>1.1557010795702234</v>
      </c>
      <c r="I95" s="102">
        <f t="shared" si="41"/>
        <v>1.1853514478538429</v>
      </c>
      <c r="J95" s="102">
        <f t="shared" si="41"/>
        <v>1.0814704025206172</v>
      </c>
      <c r="K95" s="102">
        <f t="shared" si="41"/>
        <v>1.0561285583783917</v>
      </c>
      <c r="L95" s="102">
        <f t="shared" si="41"/>
        <v>1.0626694026525441</v>
      </c>
      <c r="M95" s="102">
        <f t="shared" si="41"/>
        <v>1.1301558178457438</v>
      </c>
      <c r="N95" s="102">
        <f t="shared" si="40"/>
        <v>1.0771637414593835</v>
      </c>
      <c r="O95" s="300"/>
    </row>
    <row r="96" spans="1:15" ht="18.95" customHeight="1">
      <c r="A96" s="98" t="s">
        <v>115</v>
      </c>
      <c r="B96" s="103">
        <v>6119</v>
      </c>
      <c r="C96" s="103">
        <v>3287</v>
      </c>
      <c r="D96" s="103">
        <v>6235</v>
      </c>
      <c r="E96" s="103">
        <v>6194</v>
      </c>
      <c r="F96" s="103">
        <v>8512</v>
      </c>
      <c r="G96" s="103">
        <v>7822</v>
      </c>
      <c r="H96" s="103">
        <v>8256</v>
      </c>
      <c r="I96" s="103">
        <v>9715</v>
      </c>
      <c r="J96" s="103">
        <v>9676</v>
      </c>
      <c r="K96" s="103">
        <v>9685</v>
      </c>
      <c r="L96" s="103">
        <v>13000</v>
      </c>
      <c r="M96" s="103">
        <v>13348</v>
      </c>
      <c r="N96" s="99">
        <f t="shared" si="40"/>
        <v>8487.4166666666661</v>
      </c>
      <c r="O96" s="392">
        <f>SUM(B96:M96)</f>
        <v>101849</v>
      </c>
    </row>
    <row r="97" spans="1:15" ht="18.95" customHeight="1">
      <c r="A97" s="101" t="s">
        <v>111</v>
      </c>
      <c r="B97" s="102">
        <f t="shared" ref="B97:M97" si="42">B96/B60</f>
        <v>0.35829722449935592</v>
      </c>
      <c r="C97" s="102">
        <f t="shared" si="42"/>
        <v>0.46624113475177303</v>
      </c>
      <c r="D97" s="102">
        <f t="shared" si="42"/>
        <v>0.72466294746629478</v>
      </c>
      <c r="E97" s="102">
        <f t="shared" si="42"/>
        <v>0.85047370589042981</v>
      </c>
      <c r="F97" s="102">
        <f t="shared" si="42"/>
        <v>0.6565368299267258</v>
      </c>
      <c r="G97" s="102">
        <f t="shared" si="42"/>
        <v>0.60725098982998216</v>
      </c>
      <c r="H97" s="102">
        <f t="shared" si="42"/>
        <v>0.47593243788551337</v>
      </c>
      <c r="I97" s="102">
        <f t="shared" si="42"/>
        <v>0.69244476122594445</v>
      </c>
      <c r="J97" s="102">
        <f t="shared" si="42"/>
        <v>0.52322500405558858</v>
      </c>
      <c r="K97" s="102">
        <f t="shared" si="42"/>
        <v>1.3614000562271578</v>
      </c>
      <c r="L97" s="102">
        <f t="shared" si="42"/>
        <v>1.9050410316529895</v>
      </c>
      <c r="M97" s="102">
        <f t="shared" si="42"/>
        <v>1.8135869565217391</v>
      </c>
      <c r="N97" s="102">
        <f t="shared" si="40"/>
        <v>0.86959108999445789</v>
      </c>
      <c r="O97" s="300"/>
    </row>
    <row r="98" spans="1:15" ht="18.95" customHeight="1">
      <c r="A98" s="98" t="s">
        <v>94</v>
      </c>
      <c r="B98" s="103">
        <v>1435</v>
      </c>
      <c r="C98" s="103">
        <v>1257</v>
      </c>
      <c r="D98" s="103">
        <v>1808</v>
      </c>
      <c r="E98" s="99">
        <v>1528</v>
      </c>
      <c r="F98" s="100">
        <v>1539</v>
      </c>
      <c r="G98" s="100">
        <v>1379</v>
      </c>
      <c r="H98" s="100">
        <v>1486</v>
      </c>
      <c r="I98" s="100">
        <v>1475</v>
      </c>
      <c r="J98" s="100">
        <v>1351</v>
      </c>
      <c r="K98" s="100">
        <v>1561</v>
      </c>
      <c r="L98" s="100">
        <v>1501</v>
      </c>
      <c r="M98" s="100">
        <v>1120</v>
      </c>
      <c r="N98" s="99">
        <f t="shared" si="40"/>
        <v>1453.3333333333333</v>
      </c>
      <c r="O98" s="391">
        <f>SUM(B98:M98)</f>
        <v>17440</v>
      </c>
    </row>
    <row r="99" spans="1:15" ht="18.95" customHeight="1">
      <c r="A99" s="101" t="s">
        <v>111</v>
      </c>
      <c r="B99" s="102">
        <f t="shared" ref="B99:M99" si="43">B98/B62</f>
        <v>1.0505124450951684</v>
      </c>
      <c r="C99" s="102">
        <f t="shared" si="43"/>
        <v>0.90496760259179265</v>
      </c>
      <c r="D99" s="102">
        <f t="shared" si="43"/>
        <v>1.348247576435496</v>
      </c>
      <c r="E99" s="102">
        <f t="shared" si="43"/>
        <v>1.190031152647975</v>
      </c>
      <c r="F99" s="102">
        <f t="shared" si="43"/>
        <v>1.0584594222833563</v>
      </c>
      <c r="G99" s="102">
        <f t="shared" si="43"/>
        <v>0.99423215573179524</v>
      </c>
      <c r="H99" s="102">
        <f t="shared" si="43"/>
        <v>1.0614285714285714</v>
      </c>
      <c r="I99" s="102">
        <f t="shared" si="43"/>
        <v>0.90546347452424802</v>
      </c>
      <c r="J99" s="102">
        <f t="shared" si="43"/>
        <v>1.0052083333333333</v>
      </c>
      <c r="K99" s="102">
        <f t="shared" si="43"/>
        <v>1.0540175557056044</v>
      </c>
      <c r="L99" s="102">
        <f t="shared" si="43"/>
        <v>0.82066703116457085</v>
      </c>
      <c r="M99" s="102">
        <f t="shared" si="43"/>
        <v>0.77777777777777779</v>
      </c>
      <c r="N99" s="102">
        <f t="shared" si="40"/>
        <v>1.0142510915599743</v>
      </c>
      <c r="O99" s="300"/>
    </row>
    <row r="100" spans="1:15" ht="18.95" customHeight="1">
      <c r="A100" s="98" t="s">
        <v>95</v>
      </c>
      <c r="B100" s="103">
        <v>9275</v>
      </c>
      <c r="C100" s="103">
        <v>10603</v>
      </c>
      <c r="D100" s="103">
        <v>11311</v>
      </c>
      <c r="E100" s="103">
        <v>10603</v>
      </c>
      <c r="F100" s="103">
        <v>8746</v>
      </c>
      <c r="G100" s="103">
        <v>9721</v>
      </c>
      <c r="H100" s="103">
        <v>11771</v>
      </c>
      <c r="I100" s="103">
        <v>11772</v>
      </c>
      <c r="J100" s="103">
        <v>10112</v>
      </c>
      <c r="K100" s="103">
        <v>9616</v>
      </c>
      <c r="L100" s="103">
        <v>10559</v>
      </c>
      <c r="M100" s="103">
        <v>11162</v>
      </c>
      <c r="N100" s="99">
        <f t="shared" si="40"/>
        <v>10437.583333333334</v>
      </c>
      <c r="O100" s="391">
        <f>SUM(B100:M100)</f>
        <v>125251</v>
      </c>
    </row>
    <row r="101" spans="1:15" ht="18.95" customHeight="1">
      <c r="A101" s="101" t="s">
        <v>111</v>
      </c>
      <c r="B101" s="104">
        <f t="shared" ref="B101:M101" si="44">B100/B64</f>
        <v>0.79010137149672033</v>
      </c>
      <c r="C101" s="104">
        <f t="shared" si="44"/>
        <v>1.5391203367687618</v>
      </c>
      <c r="D101" s="104">
        <f t="shared" si="44"/>
        <v>1.0331567409572524</v>
      </c>
      <c r="E101" s="104">
        <f t="shared" si="44"/>
        <v>1.1541308370523566</v>
      </c>
      <c r="F101" s="104">
        <f t="shared" si="44"/>
        <v>1.2693759071117561</v>
      </c>
      <c r="G101" s="104">
        <f t="shared" si="44"/>
        <v>1.2804267650158061</v>
      </c>
      <c r="H101" s="104">
        <f t="shared" si="44"/>
        <v>1.1970914268280282</v>
      </c>
      <c r="I101" s="104">
        <f t="shared" si="44"/>
        <v>1.3854301518182888</v>
      </c>
      <c r="J101" s="104">
        <f t="shared" si="44"/>
        <v>1.0709595424698157</v>
      </c>
      <c r="K101" s="104">
        <f t="shared" si="44"/>
        <v>1.002815726353113</v>
      </c>
      <c r="L101" s="104">
        <f t="shared" si="44"/>
        <v>0.99585023106667925</v>
      </c>
      <c r="M101" s="104">
        <f t="shared" si="44"/>
        <v>1.0821134270479884</v>
      </c>
      <c r="N101" s="102">
        <f t="shared" si="40"/>
        <v>1.1500477053322138</v>
      </c>
      <c r="O101" s="300"/>
    </row>
    <row r="102" spans="1:15" ht="18.95" customHeight="1">
      <c r="A102" s="98" t="s">
        <v>96</v>
      </c>
      <c r="B102" s="103">
        <v>1709</v>
      </c>
      <c r="C102" s="103">
        <v>1525</v>
      </c>
      <c r="D102" s="103">
        <v>1965</v>
      </c>
      <c r="E102" s="103">
        <v>1732</v>
      </c>
      <c r="F102" s="100">
        <v>1837</v>
      </c>
      <c r="G102" s="100">
        <v>2052</v>
      </c>
      <c r="H102" s="100">
        <v>1866</v>
      </c>
      <c r="I102" s="100">
        <v>2167</v>
      </c>
      <c r="J102" s="100">
        <v>1911</v>
      </c>
      <c r="K102" s="100">
        <v>1826</v>
      </c>
      <c r="L102" s="103">
        <v>2069</v>
      </c>
      <c r="M102" s="103">
        <v>1891</v>
      </c>
      <c r="N102" s="99">
        <f t="shared" si="40"/>
        <v>1879.1666666666667</v>
      </c>
      <c r="O102" s="391">
        <f>SUM(B102:M102)</f>
        <v>22550</v>
      </c>
    </row>
    <row r="103" spans="1:15" ht="18.95" customHeight="1">
      <c r="A103" s="101" t="s">
        <v>111</v>
      </c>
      <c r="B103" s="102">
        <f t="shared" ref="B103:M103" si="45">B102/B66</f>
        <v>1.6229819563152896</v>
      </c>
      <c r="C103" s="102">
        <f t="shared" si="45"/>
        <v>1.6522210184182016</v>
      </c>
      <c r="D103" s="102">
        <f t="shared" si="45"/>
        <v>1.470808383233533</v>
      </c>
      <c r="E103" s="102">
        <f t="shared" si="45"/>
        <v>1.3251721499617444</v>
      </c>
      <c r="F103" s="102">
        <f t="shared" si="45"/>
        <v>1.431800467653936</v>
      </c>
      <c r="G103" s="102">
        <f t="shared" si="45"/>
        <v>1.7613733905579398</v>
      </c>
      <c r="H103" s="102">
        <f t="shared" si="45"/>
        <v>1.577345731191885</v>
      </c>
      <c r="I103" s="102">
        <f t="shared" si="45"/>
        <v>1.4986168741355463</v>
      </c>
      <c r="J103" s="102">
        <f t="shared" si="45"/>
        <v>1.599163179916318</v>
      </c>
      <c r="K103" s="102">
        <f t="shared" si="45"/>
        <v>1.3061516452074391</v>
      </c>
      <c r="L103" s="102">
        <f t="shared" si="45"/>
        <v>1.3611842105263159</v>
      </c>
      <c r="M103" s="102">
        <f t="shared" si="45"/>
        <v>1.2327249022164277</v>
      </c>
      <c r="N103" s="102">
        <f t="shared" si="40"/>
        <v>1.4866286591112148</v>
      </c>
      <c r="O103" s="300"/>
    </row>
    <row r="104" spans="1:15" ht="18.95" customHeight="1">
      <c r="A104" s="98" t="s">
        <v>97</v>
      </c>
      <c r="B104" s="103">
        <v>5531</v>
      </c>
      <c r="C104" s="103">
        <v>4925</v>
      </c>
      <c r="D104" s="103">
        <v>7831</v>
      </c>
      <c r="E104" s="103">
        <v>6525</v>
      </c>
      <c r="F104" s="103">
        <v>6536</v>
      </c>
      <c r="G104" s="103">
        <v>7143</v>
      </c>
      <c r="H104" s="103">
        <v>7571</v>
      </c>
      <c r="I104" s="103">
        <v>8156</v>
      </c>
      <c r="J104" s="103">
        <v>8306</v>
      </c>
      <c r="K104" s="103">
        <v>8009</v>
      </c>
      <c r="L104" s="103">
        <v>8448</v>
      </c>
      <c r="M104" s="103">
        <v>8481</v>
      </c>
      <c r="N104" s="99">
        <f t="shared" si="40"/>
        <v>7288.5</v>
      </c>
      <c r="O104" s="391">
        <f>SUM(B104:M104)</f>
        <v>87462</v>
      </c>
    </row>
    <row r="105" spans="1:15" ht="18.95" customHeight="1">
      <c r="A105" s="101" t="s">
        <v>25</v>
      </c>
      <c r="B105" s="102">
        <f t="shared" ref="B105:M105" si="46">B104/B68</f>
        <v>1.1546972860125262</v>
      </c>
      <c r="C105" s="102">
        <f t="shared" si="46"/>
        <v>1.3434260774686306</v>
      </c>
      <c r="D105" s="102">
        <f t="shared" si="46"/>
        <v>1.5916666666666666</v>
      </c>
      <c r="E105" s="102">
        <f t="shared" si="46"/>
        <v>1.5692640692640694</v>
      </c>
      <c r="F105" s="102">
        <f t="shared" si="46"/>
        <v>1.3254917866558507</v>
      </c>
      <c r="G105" s="102">
        <f t="shared" si="46"/>
        <v>1.820336391437309</v>
      </c>
      <c r="H105" s="102">
        <f t="shared" si="46"/>
        <v>2.0885517241379312</v>
      </c>
      <c r="I105" s="102">
        <f t="shared" si="46"/>
        <v>1.8209421745925429</v>
      </c>
      <c r="J105" s="102">
        <f t="shared" si="46"/>
        <v>1.6356833398975974</v>
      </c>
      <c r="K105" s="102">
        <f t="shared" si="46"/>
        <v>1.5488300135370334</v>
      </c>
      <c r="L105" s="102">
        <f t="shared" si="46"/>
        <v>1.5183321351545651</v>
      </c>
      <c r="M105" s="102">
        <f t="shared" si="46"/>
        <v>1.357394366197183</v>
      </c>
      <c r="N105" s="102">
        <f t="shared" si="40"/>
        <v>1.5645513359184922</v>
      </c>
      <c r="O105" s="300"/>
    </row>
    <row r="106" spans="1:15" ht="18.95" customHeight="1">
      <c r="A106" s="98" t="s">
        <v>98</v>
      </c>
      <c r="B106" s="103">
        <v>2024</v>
      </c>
      <c r="C106" s="103">
        <v>1313</v>
      </c>
      <c r="D106" s="103">
        <v>1389</v>
      </c>
      <c r="E106" s="103">
        <v>1449</v>
      </c>
      <c r="F106" s="100">
        <v>1246</v>
      </c>
      <c r="G106" s="100">
        <v>1251</v>
      </c>
      <c r="H106" s="100">
        <v>1697</v>
      </c>
      <c r="I106" s="100">
        <v>1717</v>
      </c>
      <c r="J106" s="100">
        <v>1591</v>
      </c>
      <c r="K106" s="100">
        <v>1596</v>
      </c>
      <c r="L106" s="100">
        <v>1670</v>
      </c>
      <c r="M106" s="100">
        <v>1276</v>
      </c>
      <c r="N106" s="99">
        <f t="shared" si="40"/>
        <v>1518.25</v>
      </c>
      <c r="O106" s="391">
        <f>SUM(B106:M106)</f>
        <v>18219</v>
      </c>
    </row>
    <row r="107" spans="1:15" ht="18.95" customHeight="1">
      <c r="A107" s="101" t="s">
        <v>111</v>
      </c>
      <c r="B107" s="104">
        <f t="shared" ref="B107:M107" si="47">B106/B70</f>
        <v>0.83636363636363631</v>
      </c>
      <c r="C107" s="104">
        <f t="shared" si="47"/>
        <v>0.91434540389972141</v>
      </c>
      <c r="D107" s="104">
        <f t="shared" si="47"/>
        <v>0.89555125725338491</v>
      </c>
      <c r="E107" s="104">
        <f t="shared" si="47"/>
        <v>1.0709534368070954</v>
      </c>
      <c r="F107" s="104">
        <f t="shared" si="47"/>
        <v>0.80231809401159049</v>
      </c>
      <c r="G107" s="104">
        <f t="shared" si="47"/>
        <v>0.97734374999999996</v>
      </c>
      <c r="H107" s="104">
        <f t="shared" si="47"/>
        <v>1.0229053646775166</v>
      </c>
      <c r="I107" s="104">
        <f t="shared" si="47"/>
        <v>0.81761904761904758</v>
      </c>
      <c r="J107" s="104">
        <f t="shared" si="47"/>
        <v>0.95098625224148237</v>
      </c>
      <c r="K107" s="104">
        <f t="shared" si="47"/>
        <v>0.82737169517884912</v>
      </c>
      <c r="L107" s="104">
        <f t="shared" si="47"/>
        <v>0.87572102779234395</v>
      </c>
      <c r="M107" s="104">
        <f t="shared" si="47"/>
        <v>0.71685393258426966</v>
      </c>
      <c r="N107" s="102">
        <f t="shared" si="40"/>
        <v>0.89236107486907812</v>
      </c>
      <c r="O107" s="300"/>
    </row>
    <row r="108" spans="1:15" ht="18.95" customHeight="1">
      <c r="A108" s="98" t="s">
        <v>116</v>
      </c>
      <c r="B108" s="149"/>
      <c r="C108" s="149"/>
      <c r="D108" s="149"/>
      <c r="E108" s="149"/>
      <c r="F108" s="149"/>
      <c r="G108" s="149"/>
      <c r="H108" s="149"/>
      <c r="I108" s="100">
        <v>570</v>
      </c>
      <c r="J108" s="100">
        <v>869</v>
      </c>
      <c r="K108" s="100">
        <v>757</v>
      </c>
      <c r="L108" s="100">
        <v>697</v>
      </c>
      <c r="M108" s="100">
        <v>626</v>
      </c>
      <c r="N108" s="99">
        <f t="shared" si="40"/>
        <v>703.8</v>
      </c>
      <c r="O108" s="391">
        <f>SUM(B108:M108)</f>
        <v>3519</v>
      </c>
    </row>
    <row r="109" spans="1:15" ht="18.95" customHeight="1">
      <c r="A109" s="101" t="s">
        <v>25</v>
      </c>
      <c r="B109" s="148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300"/>
    </row>
    <row r="110" spans="1:15" ht="18.95" customHeight="1">
      <c r="A110" s="105" t="s">
        <v>99</v>
      </c>
      <c r="B110" s="106">
        <f t="shared" ref="B110:N110" si="48">B94+B96+B98+B100+B102+B104+B106+B108</f>
        <v>391055</v>
      </c>
      <c r="C110" s="106">
        <f t="shared" si="48"/>
        <v>298027</v>
      </c>
      <c r="D110" s="106">
        <f t="shared" si="48"/>
        <v>417338</v>
      </c>
      <c r="E110" s="106">
        <f t="shared" si="48"/>
        <v>348259</v>
      </c>
      <c r="F110" s="106">
        <f t="shared" si="48"/>
        <v>334101</v>
      </c>
      <c r="G110" s="106">
        <f t="shared" si="48"/>
        <v>355201</v>
      </c>
      <c r="H110" s="106">
        <f t="shared" si="48"/>
        <v>393198</v>
      </c>
      <c r="I110" s="106">
        <f t="shared" si="48"/>
        <v>425312</v>
      </c>
      <c r="J110" s="106">
        <f t="shared" si="48"/>
        <v>372937</v>
      </c>
      <c r="K110" s="106">
        <f t="shared" si="48"/>
        <v>375261</v>
      </c>
      <c r="L110" s="106">
        <f t="shared" si="48"/>
        <v>412366</v>
      </c>
      <c r="M110" s="106">
        <f t="shared" si="48"/>
        <v>451836</v>
      </c>
      <c r="N110" s="106">
        <f t="shared" si="48"/>
        <v>381651.46666666667</v>
      </c>
      <c r="O110" s="390">
        <f>SUM(B110:M110)</f>
        <v>4574891</v>
      </c>
    </row>
    <row r="111" spans="1:15" ht="18.95" customHeight="1">
      <c r="A111" s="108" t="s">
        <v>111</v>
      </c>
      <c r="B111" s="109">
        <f t="shared" ref="B111:N111" si="49">B110/B72</f>
        <v>0.89878485749023773</v>
      </c>
      <c r="C111" s="109">
        <f t="shared" si="49"/>
        <v>0.99827829343373276</v>
      </c>
      <c r="D111" s="109">
        <f t="shared" si="49"/>
        <v>1.0554857245465972</v>
      </c>
      <c r="E111" s="109">
        <f t="shared" si="49"/>
        <v>1.0150127656597923</v>
      </c>
      <c r="F111" s="109">
        <f t="shared" si="49"/>
        <v>1.0264302699248535</v>
      </c>
      <c r="G111" s="109">
        <f t="shared" si="49"/>
        <v>1.2299288776238062</v>
      </c>
      <c r="H111" s="109">
        <f t="shared" si="49"/>
        <v>1.1330603447033769</v>
      </c>
      <c r="I111" s="109">
        <f t="shared" si="49"/>
        <v>1.178221387452975</v>
      </c>
      <c r="J111" s="109">
        <f t="shared" si="49"/>
        <v>1.0631073634759507</v>
      </c>
      <c r="K111" s="109">
        <f t="shared" si="49"/>
        <v>1.0700159107628613</v>
      </c>
      <c r="L111" s="109">
        <f t="shared" si="49"/>
        <v>1.0834971149904884</v>
      </c>
      <c r="M111" s="109">
        <f t="shared" si="49"/>
        <v>1.1440681828540176</v>
      </c>
      <c r="N111" s="109">
        <f t="shared" si="49"/>
        <v>1.0721879522009876</v>
      </c>
      <c r="O111" s="300"/>
    </row>
    <row r="112" spans="1:15" ht="18.95" customHeight="1">
      <c r="A112" s="110" t="s">
        <v>112</v>
      </c>
      <c r="B112" s="111"/>
      <c r="C112" s="112"/>
      <c r="D112" s="112"/>
      <c r="E112" s="112"/>
      <c r="F112" s="113"/>
      <c r="G112" s="113"/>
      <c r="H112" s="112"/>
      <c r="I112" s="112"/>
      <c r="J112" s="112"/>
      <c r="K112" s="112"/>
      <c r="L112" s="112"/>
      <c r="M112" s="112"/>
      <c r="N112" s="94"/>
      <c r="O112" s="94"/>
    </row>
    <row r="113" spans="1:15" ht="18.95" customHeight="1">
      <c r="A113" s="98" t="s">
        <v>100</v>
      </c>
      <c r="B113" s="103">
        <v>2455131</v>
      </c>
      <c r="C113" s="103">
        <v>1607132</v>
      </c>
      <c r="D113" s="103">
        <v>2522833</v>
      </c>
      <c r="E113" s="103">
        <v>2522833</v>
      </c>
      <c r="F113" s="103">
        <v>1949683</v>
      </c>
      <c r="G113" s="103">
        <v>2245711</v>
      </c>
      <c r="H113" s="103">
        <v>2326625</v>
      </c>
      <c r="I113" s="103">
        <v>2301552</v>
      </c>
      <c r="J113" s="103">
        <v>2156186</v>
      </c>
      <c r="K113" s="103">
        <v>2214868</v>
      </c>
      <c r="L113" s="103">
        <v>2382846</v>
      </c>
      <c r="M113" s="103">
        <v>2753224</v>
      </c>
      <c r="N113" s="99">
        <f>AVERAGE(B113:M113)</f>
        <v>2286552</v>
      </c>
      <c r="O113" s="392">
        <f>SUM(B113:M113)</f>
        <v>27438624</v>
      </c>
    </row>
    <row r="114" spans="1:15" ht="18.95" customHeight="1">
      <c r="A114" s="101" t="s">
        <v>25</v>
      </c>
      <c r="B114" s="102">
        <f t="shared" ref="B114:M114" si="50">B113/B75</f>
        <v>1.0147869929022435</v>
      </c>
      <c r="C114" s="102">
        <f t="shared" si="50"/>
        <v>0.89550179642853955</v>
      </c>
      <c r="D114" s="102">
        <f t="shared" si="50"/>
        <v>1.0959542579316415</v>
      </c>
      <c r="E114" s="102">
        <f t="shared" si="50"/>
        <v>1.2375533770078462</v>
      </c>
      <c r="F114" s="102">
        <f t="shared" si="50"/>
        <v>1.0021645132903481</v>
      </c>
      <c r="G114" s="102">
        <f t="shared" si="50"/>
        <v>1.2365201409131605</v>
      </c>
      <c r="H114" s="102">
        <f t="shared" si="50"/>
        <v>0.97737312685466171</v>
      </c>
      <c r="I114" s="102">
        <f t="shared" si="50"/>
        <v>1.1126655363806579</v>
      </c>
      <c r="J114" s="102">
        <f t="shared" si="50"/>
        <v>1.0476849908262587</v>
      </c>
      <c r="K114" s="102">
        <f t="shared" si="50"/>
        <v>1.0270560778216395</v>
      </c>
      <c r="L114" s="102">
        <f t="shared" si="50"/>
        <v>1.0613119875431423</v>
      </c>
      <c r="M114" s="102">
        <f t="shared" si="50"/>
        <v>1.1410128203268592</v>
      </c>
      <c r="N114" s="102">
        <f>AVERAGE(B114:M114)</f>
        <v>1.0707988015189167</v>
      </c>
      <c r="O114" s="300"/>
    </row>
    <row r="115" spans="1:15" ht="18.95" customHeight="1">
      <c r="A115" s="98" t="s">
        <v>117</v>
      </c>
      <c r="B115" s="103">
        <v>111451</v>
      </c>
      <c r="C115" s="103">
        <v>52723</v>
      </c>
      <c r="D115" s="103">
        <v>76924</v>
      </c>
      <c r="E115" s="103">
        <v>75213</v>
      </c>
      <c r="F115" s="103">
        <v>153068</v>
      </c>
      <c r="G115" s="103">
        <v>126303</v>
      </c>
      <c r="H115" s="103">
        <v>146915</v>
      </c>
      <c r="I115" s="103">
        <v>264164</v>
      </c>
      <c r="J115" s="103">
        <v>185060</v>
      </c>
      <c r="K115" s="103">
        <v>190835</v>
      </c>
      <c r="L115" s="103">
        <v>216120</v>
      </c>
      <c r="M115" s="103">
        <v>268131</v>
      </c>
      <c r="N115" s="99">
        <f>AVERAGE(B115:M115)</f>
        <v>155575.58333333334</v>
      </c>
      <c r="O115" s="392">
        <f>SUM(B115:M115)</f>
        <v>1866907</v>
      </c>
    </row>
    <row r="116" spans="1:15" ht="18.95" customHeight="1">
      <c r="A116" s="101" t="s">
        <v>25</v>
      </c>
      <c r="B116" s="129">
        <f t="shared" ref="B116:M116" si="51">B115/B77</f>
        <v>0.79259117027934234</v>
      </c>
      <c r="C116" s="129">
        <f t="shared" si="51"/>
        <v>0.84543471986145413</v>
      </c>
      <c r="D116" s="129">
        <f t="shared" si="51"/>
        <v>0.92721969094284129</v>
      </c>
      <c r="E116" s="129">
        <f t="shared" si="51"/>
        <v>0.54627262427006773</v>
      </c>
      <c r="F116" s="129">
        <f t="shared" si="51"/>
        <v>0.96303100463056168</v>
      </c>
      <c r="G116" s="129">
        <f t="shared" si="51"/>
        <v>0.80999807605977037</v>
      </c>
      <c r="H116" s="129">
        <f t="shared" si="51"/>
        <v>1.0277010247980134</v>
      </c>
      <c r="I116" s="129">
        <f t="shared" si="51"/>
        <v>2.2797718191468244</v>
      </c>
      <c r="J116" s="129">
        <f t="shared" si="51"/>
        <v>1.3162911118698077</v>
      </c>
      <c r="K116" s="129">
        <f t="shared" si="51"/>
        <v>2.684716243212065</v>
      </c>
      <c r="L116" s="129">
        <f t="shared" si="51"/>
        <v>3.0229110135116235</v>
      </c>
      <c r="M116" s="129">
        <f t="shared" si="51"/>
        <v>2.490211193045675</v>
      </c>
      <c r="N116" s="102">
        <f>AVERAGE(B116:M116)</f>
        <v>1.4755124743023371</v>
      </c>
      <c r="O116" s="300"/>
    </row>
    <row r="117" spans="1:15" ht="18.95" customHeight="1">
      <c r="A117" s="127" t="s">
        <v>102</v>
      </c>
      <c r="B117" s="140">
        <v>5533</v>
      </c>
      <c r="C117" s="128">
        <v>4702</v>
      </c>
      <c r="D117" s="103">
        <v>7717</v>
      </c>
      <c r="E117" s="99">
        <v>5992</v>
      </c>
      <c r="F117" s="99">
        <v>5942</v>
      </c>
      <c r="G117" s="103">
        <v>6422</v>
      </c>
      <c r="H117" s="103">
        <v>5470</v>
      </c>
      <c r="I117" s="103">
        <v>5902</v>
      </c>
      <c r="J117" s="103">
        <v>4992</v>
      </c>
      <c r="K117" s="103">
        <v>6348</v>
      </c>
      <c r="L117" s="103">
        <v>5023</v>
      </c>
      <c r="M117" s="103">
        <v>3826</v>
      </c>
      <c r="N117" s="99">
        <f>AVERAGE(B117:M117)</f>
        <v>5655.75</v>
      </c>
      <c r="O117" s="391">
        <f>SUM(B117:M117)</f>
        <v>67869</v>
      </c>
    </row>
    <row r="118" spans="1:15" ht="18.95" customHeight="1">
      <c r="A118" s="130" t="s">
        <v>25</v>
      </c>
      <c r="B118" s="102">
        <f t="shared" ref="B118:M118" si="52">B117/B79</f>
        <v>1.5238226383916276</v>
      </c>
      <c r="C118" s="102">
        <f t="shared" si="52"/>
        <v>1.0507262569832403</v>
      </c>
      <c r="D118" s="102">
        <f t="shared" si="52"/>
        <v>1.4443196705970429</v>
      </c>
      <c r="E118" s="102">
        <f t="shared" si="52"/>
        <v>1.1367861885790174</v>
      </c>
      <c r="F118" s="102">
        <f t="shared" si="52"/>
        <v>1.2389491242702251</v>
      </c>
      <c r="G118" s="102">
        <f t="shared" si="52"/>
        <v>1.0555555555555556</v>
      </c>
      <c r="H118" s="102">
        <f t="shared" si="52"/>
        <v>1.0907278165503489</v>
      </c>
      <c r="I118" s="102">
        <f t="shared" si="52"/>
        <v>0.94704749679075739</v>
      </c>
      <c r="J118" s="102">
        <f t="shared" si="52"/>
        <v>1.1120516818890622</v>
      </c>
      <c r="K118" s="102">
        <f t="shared" si="52"/>
        <v>1.0546602425652101</v>
      </c>
      <c r="L118" s="102">
        <f t="shared" si="52"/>
        <v>0.75104665071770338</v>
      </c>
      <c r="M118" s="102">
        <f t="shared" si="52"/>
        <v>0.67016990716412683</v>
      </c>
      <c r="N118" s="102">
        <f>AVERAGE(C118:M118)</f>
        <v>1.0501855083329354</v>
      </c>
      <c r="O118" s="300"/>
    </row>
    <row r="119" spans="1:15" ht="18.95" customHeight="1">
      <c r="A119" s="98" t="s">
        <v>103</v>
      </c>
      <c r="B119" s="131">
        <v>134206</v>
      </c>
      <c r="C119" s="103">
        <v>105544</v>
      </c>
      <c r="D119" s="103">
        <v>109349</v>
      </c>
      <c r="E119" s="103">
        <v>136510</v>
      </c>
      <c r="F119" s="103">
        <v>102905</v>
      </c>
      <c r="G119" s="103">
        <v>98470</v>
      </c>
      <c r="H119" s="103">
        <v>126224</v>
      </c>
      <c r="I119" s="103">
        <v>105049</v>
      </c>
      <c r="J119" s="103">
        <v>95866</v>
      </c>
      <c r="K119" s="103">
        <v>84328</v>
      </c>
      <c r="L119" s="103">
        <v>116207</v>
      </c>
      <c r="M119" s="103">
        <v>129648</v>
      </c>
      <c r="N119" s="99">
        <f>AVERAGE(B119:M119)</f>
        <v>112025.5</v>
      </c>
      <c r="O119" s="391">
        <f>SUM(B119:M119)</f>
        <v>1344306</v>
      </c>
    </row>
    <row r="120" spans="1:15" ht="18.95" customHeight="1">
      <c r="A120" s="101" t="s">
        <v>25</v>
      </c>
      <c r="B120" s="104">
        <f t="shared" ref="B120:N120" si="53">B119/B81</f>
        <v>0.86909726719336877</v>
      </c>
      <c r="C120" s="104">
        <f t="shared" si="53"/>
        <v>1.5627813314380479</v>
      </c>
      <c r="D120" s="104">
        <f t="shared" si="53"/>
        <v>1.1527651858567542</v>
      </c>
      <c r="E120" s="104">
        <f t="shared" si="53"/>
        <v>1.3437213926430491</v>
      </c>
      <c r="F120" s="104">
        <f t="shared" si="53"/>
        <v>1.5237058753849799</v>
      </c>
      <c r="G120" s="104">
        <f t="shared" si="53"/>
        <v>1.0771283868780013</v>
      </c>
      <c r="H120" s="104">
        <f t="shared" si="53"/>
        <v>1.0941842422351096</v>
      </c>
      <c r="I120" s="104">
        <f t="shared" si="53"/>
        <v>1.1544353597960351</v>
      </c>
      <c r="J120" s="104">
        <f t="shared" si="53"/>
        <v>1.2354025180736865</v>
      </c>
      <c r="K120" s="104">
        <f t="shared" si="53"/>
        <v>0.58241189024179685</v>
      </c>
      <c r="L120" s="104">
        <f t="shared" si="53"/>
        <v>1.0147753569401388</v>
      </c>
      <c r="M120" s="104">
        <f t="shared" si="53"/>
        <v>0.85826636126520939</v>
      </c>
      <c r="N120" s="102">
        <f t="shared" si="53"/>
        <v>1.0571119418594959</v>
      </c>
      <c r="O120" s="300"/>
    </row>
    <row r="121" spans="1:15" ht="18.95" customHeight="1">
      <c r="A121" s="98" t="s">
        <v>104</v>
      </c>
      <c r="B121" s="103">
        <v>14290</v>
      </c>
      <c r="C121" s="103">
        <v>13756</v>
      </c>
      <c r="D121" s="103">
        <v>19300</v>
      </c>
      <c r="E121" s="103">
        <v>17906</v>
      </c>
      <c r="F121" s="103">
        <v>17535</v>
      </c>
      <c r="G121" s="103">
        <v>20115</v>
      </c>
      <c r="H121" s="103">
        <v>18207</v>
      </c>
      <c r="I121" s="103">
        <v>21728</v>
      </c>
      <c r="J121" s="103">
        <v>19768</v>
      </c>
      <c r="K121" s="103">
        <v>18739</v>
      </c>
      <c r="L121" s="103">
        <v>21815</v>
      </c>
      <c r="M121" s="103">
        <v>18412</v>
      </c>
      <c r="N121" s="99">
        <f>AVERAGE(B121:M121)</f>
        <v>18464.25</v>
      </c>
      <c r="O121" s="391">
        <f>SUM(B121:M121)</f>
        <v>221571</v>
      </c>
    </row>
    <row r="122" spans="1:15" ht="18.95" customHeight="1">
      <c r="A122" s="101" t="s">
        <v>25</v>
      </c>
      <c r="B122" s="104">
        <f t="shared" ref="B122:N122" si="54">B121/B83</f>
        <v>1.2925108538350216</v>
      </c>
      <c r="C122" s="104">
        <f t="shared" si="54"/>
        <v>1.3659020951246152</v>
      </c>
      <c r="D122" s="104">
        <f t="shared" si="54"/>
        <v>1.5230429292929293</v>
      </c>
      <c r="E122" s="104">
        <f t="shared" si="54"/>
        <v>1.1803559657218194</v>
      </c>
      <c r="F122" s="104">
        <f t="shared" si="54"/>
        <v>1.1582667283175903</v>
      </c>
      <c r="G122" s="104">
        <f t="shared" si="54"/>
        <v>1.7316632231404958</v>
      </c>
      <c r="H122" s="104">
        <f t="shared" si="54"/>
        <v>1.3081620922546342</v>
      </c>
      <c r="I122" s="104">
        <f t="shared" si="54"/>
        <v>1.5732387227572224</v>
      </c>
      <c r="J122" s="104">
        <f t="shared" si="54"/>
        <v>1.4793085385018334</v>
      </c>
      <c r="K122" s="104">
        <f t="shared" si="54"/>
        <v>1.3152021336327906</v>
      </c>
      <c r="L122" s="104">
        <f t="shared" si="54"/>
        <v>1.5084359009818835</v>
      </c>
      <c r="M122" s="104">
        <f t="shared" si="54"/>
        <v>1.3763923151678255</v>
      </c>
      <c r="N122" s="104">
        <f t="shared" si="54"/>
        <v>1.3943789607496397</v>
      </c>
      <c r="O122" s="300"/>
    </row>
    <row r="123" spans="1:15" ht="18.95" customHeight="1">
      <c r="A123" s="98" t="s">
        <v>105</v>
      </c>
      <c r="B123" s="103">
        <v>8683</v>
      </c>
      <c r="C123" s="103">
        <v>9218</v>
      </c>
      <c r="D123" s="103">
        <v>12133</v>
      </c>
      <c r="E123" s="103">
        <v>10814</v>
      </c>
      <c r="F123" s="103">
        <v>11019</v>
      </c>
      <c r="G123" s="103">
        <v>11677</v>
      </c>
      <c r="H123" s="103">
        <v>12231</v>
      </c>
      <c r="I123" s="103">
        <v>13497</v>
      </c>
      <c r="J123" s="103">
        <v>13045</v>
      </c>
      <c r="K123" s="103">
        <v>12980</v>
      </c>
      <c r="L123" s="103">
        <v>13487</v>
      </c>
      <c r="M123" s="103">
        <v>13112</v>
      </c>
      <c r="N123" s="99">
        <f>AVERAGE(B123:M123)</f>
        <v>11824.666666666666</v>
      </c>
      <c r="O123" s="391">
        <f>SUM(B123:M123)</f>
        <v>141896</v>
      </c>
    </row>
    <row r="124" spans="1:15" ht="18.95" customHeight="1">
      <c r="A124" s="101" t="s">
        <v>25</v>
      </c>
      <c r="B124" s="104">
        <f t="shared" ref="B124:M124" si="55">B123/B85</f>
        <v>1.1678547410894418</v>
      </c>
      <c r="C124" s="104">
        <f t="shared" si="55"/>
        <v>1.5621081172682596</v>
      </c>
      <c r="D124" s="104">
        <f t="shared" si="55"/>
        <v>1.4103219807044054</v>
      </c>
      <c r="E124" s="104">
        <f t="shared" si="55"/>
        <v>1.683112840466926</v>
      </c>
      <c r="F124" s="104">
        <f t="shared" si="55"/>
        <v>1.4392633228840126</v>
      </c>
      <c r="G124" s="104">
        <f t="shared" si="55"/>
        <v>1.8585070826038517</v>
      </c>
      <c r="H124" s="104">
        <f t="shared" si="55"/>
        <v>2.0914842681258552</v>
      </c>
      <c r="I124" s="104">
        <f t="shared" si="55"/>
        <v>1.6890251532974596</v>
      </c>
      <c r="J124" s="104">
        <f t="shared" si="55"/>
        <v>1.628792608315645</v>
      </c>
      <c r="K124" s="104">
        <f t="shared" si="55"/>
        <v>1.4907545652922936</v>
      </c>
      <c r="L124" s="104">
        <f t="shared" si="55"/>
        <v>1.4081227813739821</v>
      </c>
      <c r="M124" s="104">
        <f t="shared" si="55"/>
        <v>2.0985915492957745</v>
      </c>
      <c r="N124" s="102">
        <f>AVERAGE(C124:M124)</f>
        <v>1.6690985699662242</v>
      </c>
      <c r="O124" s="300"/>
    </row>
    <row r="125" spans="1:15" ht="18.95" customHeight="1">
      <c r="A125" s="98" t="s">
        <v>106</v>
      </c>
      <c r="B125" s="103">
        <v>10867</v>
      </c>
      <c r="C125" s="103">
        <v>7840</v>
      </c>
      <c r="D125" s="103">
        <v>6927</v>
      </c>
      <c r="E125" s="103">
        <v>7393</v>
      </c>
      <c r="F125" s="103">
        <v>5997</v>
      </c>
      <c r="G125" s="103">
        <v>5481</v>
      </c>
      <c r="H125" s="103">
        <v>8457</v>
      </c>
      <c r="I125" s="103">
        <v>8011</v>
      </c>
      <c r="J125" s="103">
        <v>7648</v>
      </c>
      <c r="K125" s="103">
        <v>7982</v>
      </c>
      <c r="L125" s="103">
        <v>8433</v>
      </c>
      <c r="M125" s="103">
        <v>9193</v>
      </c>
      <c r="N125" s="99">
        <f>AVERAGE(B125:M125)</f>
        <v>7852.416666666667</v>
      </c>
      <c r="O125" s="391">
        <f>SUM(B125:M125)</f>
        <v>94229</v>
      </c>
    </row>
    <row r="126" spans="1:15" ht="18.95" customHeight="1">
      <c r="A126" s="101" t="s">
        <v>25</v>
      </c>
      <c r="B126" s="104">
        <f t="shared" ref="B126:M126" si="56">B125/B87</f>
        <v>0.77356207289293855</v>
      </c>
      <c r="C126" s="104">
        <f t="shared" si="56"/>
        <v>0.97706879361914256</v>
      </c>
      <c r="D126" s="104">
        <f t="shared" si="56"/>
        <v>0.87373864783047428</v>
      </c>
      <c r="E126" s="104">
        <f t="shared" si="56"/>
        <v>0.54496535456287776</v>
      </c>
      <c r="F126" s="104">
        <f t="shared" si="56"/>
        <v>0.77570818781528905</v>
      </c>
      <c r="G126" s="104">
        <f t="shared" si="56"/>
        <v>1.0587212671431332</v>
      </c>
      <c r="H126" s="104">
        <f t="shared" si="56"/>
        <v>1.3067058096415327</v>
      </c>
      <c r="I126" s="104">
        <f t="shared" si="56"/>
        <v>0.77043662242738986</v>
      </c>
      <c r="J126" s="104">
        <f t="shared" si="56"/>
        <v>0.93393576749297835</v>
      </c>
      <c r="K126" s="104">
        <f t="shared" si="56"/>
        <v>0.81490556406329762</v>
      </c>
      <c r="L126" s="104">
        <f t="shared" si="56"/>
        <v>0.90057667663391716</v>
      </c>
      <c r="M126" s="104">
        <f t="shared" si="56"/>
        <v>1.0236053891548826</v>
      </c>
      <c r="N126" s="102">
        <f>AVERAGE(C126:M126)</f>
        <v>0.90730618912590133</v>
      </c>
      <c r="O126" s="300"/>
    </row>
    <row r="127" spans="1:15" ht="18.95" customHeight="1">
      <c r="A127" s="98" t="s">
        <v>118</v>
      </c>
      <c r="B127" s="150"/>
      <c r="C127" s="150"/>
      <c r="D127" s="150"/>
      <c r="E127" s="150"/>
      <c r="F127" s="150"/>
      <c r="G127" s="150"/>
      <c r="H127" s="150"/>
      <c r="I127" s="103">
        <v>2696</v>
      </c>
      <c r="J127" s="103">
        <v>4255</v>
      </c>
      <c r="K127" s="103">
        <v>4066</v>
      </c>
      <c r="L127" s="103">
        <v>3803</v>
      </c>
      <c r="M127" s="103">
        <v>3487</v>
      </c>
      <c r="N127" s="99">
        <f>AVERAGE(B127:M127)</f>
        <v>3661.4</v>
      </c>
      <c r="O127" s="391">
        <f>SUM(B127:M127)</f>
        <v>18307</v>
      </c>
    </row>
    <row r="128" spans="1:15" ht="18.95" customHeight="1">
      <c r="A128" s="101" t="s">
        <v>25</v>
      </c>
      <c r="B128" s="151"/>
      <c r="C128" s="151"/>
      <c r="D128" s="151"/>
      <c r="E128" s="151"/>
      <c r="F128" s="151"/>
      <c r="G128" s="151"/>
      <c r="H128" s="151"/>
      <c r="I128" s="151"/>
      <c r="J128" s="151"/>
      <c r="K128" s="151"/>
      <c r="L128" s="151"/>
      <c r="M128" s="151"/>
      <c r="N128" s="151"/>
      <c r="O128" s="300"/>
    </row>
    <row r="129" spans="1:15" ht="18.95" customHeight="1">
      <c r="A129" s="105" t="s">
        <v>107</v>
      </c>
      <c r="B129" s="107">
        <f>B113+B115+B117+B119+B121+B123+B125+B127</f>
        <v>2740161</v>
      </c>
      <c r="C129" s="107">
        <f t="shared" ref="C129:M129" si="57">C113+C115+C117+C119+C121+C123+C125</f>
        <v>1800915</v>
      </c>
      <c r="D129" s="107">
        <f t="shared" si="57"/>
        <v>2755183</v>
      </c>
      <c r="E129" s="107">
        <f t="shared" si="57"/>
        <v>2776661</v>
      </c>
      <c r="F129" s="107">
        <f t="shared" si="57"/>
        <v>2246149</v>
      </c>
      <c r="G129" s="107">
        <f t="shared" si="57"/>
        <v>2514179</v>
      </c>
      <c r="H129" s="107">
        <f t="shared" si="57"/>
        <v>2644129</v>
      </c>
      <c r="I129" s="107">
        <f t="shared" si="57"/>
        <v>2719903</v>
      </c>
      <c r="J129" s="107">
        <f t="shared" si="57"/>
        <v>2482565</v>
      </c>
      <c r="K129" s="107">
        <f t="shared" si="57"/>
        <v>2536080</v>
      </c>
      <c r="L129" s="107">
        <f t="shared" si="57"/>
        <v>2763931</v>
      </c>
      <c r="M129" s="107">
        <f t="shared" si="57"/>
        <v>3195546</v>
      </c>
      <c r="N129" s="107">
        <f>AVERAGEA(B129:M129)</f>
        <v>2597950.1666666665</v>
      </c>
      <c r="O129" s="390">
        <f>SUM(B129:M129)</f>
        <v>31175402</v>
      </c>
    </row>
    <row r="130" spans="1:15" ht="18.95" customHeight="1">
      <c r="A130" s="108" t="s">
        <v>111</v>
      </c>
      <c r="B130" s="109">
        <f t="shared" ref="B130:M130" si="58">B129/B89</f>
        <v>0.99621859096431931</v>
      </c>
      <c r="C130" s="109">
        <f t="shared" si="58"/>
        <v>0.92210813802680025</v>
      </c>
      <c r="D130" s="109">
        <f t="shared" si="58"/>
        <v>1.0957977852434677</v>
      </c>
      <c r="E130" s="109">
        <f t="shared" si="58"/>
        <v>1.1977287393368854</v>
      </c>
      <c r="F130" s="109">
        <f t="shared" si="58"/>
        <v>1.0176122221346331</v>
      </c>
      <c r="G130" s="109">
        <f t="shared" si="58"/>
        <v>1.2014256476078566</v>
      </c>
      <c r="H130" s="109">
        <f t="shared" si="58"/>
        <v>0.99029008765737037</v>
      </c>
      <c r="I130" s="109">
        <f t="shared" si="58"/>
        <v>1.175511408917955</v>
      </c>
      <c r="J130" s="109">
        <f t="shared" si="58"/>
        <v>1.0745690257798917</v>
      </c>
      <c r="K130" s="109">
        <f t="shared" si="58"/>
        <v>1.0518077790676117</v>
      </c>
      <c r="L130" s="109">
        <f t="shared" si="58"/>
        <v>1.1184162927054291</v>
      </c>
      <c r="M130" s="109">
        <f t="shared" si="58"/>
        <v>1.1809060713699717</v>
      </c>
      <c r="N130" s="126">
        <f>AVERAGE(B130:M130)</f>
        <v>1.0851993157343494</v>
      </c>
      <c r="O130" s="300"/>
    </row>
    <row r="132" spans="1:15" ht="18.95" customHeight="1" thickBot="1">
      <c r="A132" s="1" t="s">
        <v>108</v>
      </c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4"/>
      <c r="O132" s="94"/>
    </row>
    <row r="133" spans="1:15" ht="18.95" customHeight="1">
      <c r="A133" s="177" t="s">
        <v>119</v>
      </c>
      <c r="B133" s="168" t="s">
        <v>4</v>
      </c>
      <c r="C133" s="168" t="s">
        <v>5</v>
      </c>
      <c r="D133" s="168" t="s">
        <v>6</v>
      </c>
      <c r="E133" s="168" t="s">
        <v>7</v>
      </c>
      <c r="F133" s="168" t="s">
        <v>8</v>
      </c>
      <c r="G133" s="168" t="s">
        <v>9</v>
      </c>
      <c r="H133" s="168" t="s">
        <v>10</v>
      </c>
      <c r="I133" s="168" t="s">
        <v>11</v>
      </c>
      <c r="J133" s="168" t="s">
        <v>12</v>
      </c>
      <c r="K133" s="168" t="s">
        <v>13</v>
      </c>
      <c r="L133" s="168" t="s">
        <v>14</v>
      </c>
      <c r="M133" s="168" t="s">
        <v>15</v>
      </c>
      <c r="N133" s="168" t="s">
        <v>110</v>
      </c>
      <c r="O133" s="178" t="s">
        <v>66</v>
      </c>
    </row>
    <row r="134" spans="1:15" ht="18.95" customHeight="1">
      <c r="A134" s="179" t="s">
        <v>92</v>
      </c>
      <c r="B134" s="99">
        <v>296714</v>
      </c>
      <c r="C134" s="99">
        <v>341523</v>
      </c>
      <c r="D134" s="99">
        <v>404181</v>
      </c>
      <c r="E134" s="99">
        <v>308917</v>
      </c>
      <c r="F134" s="100">
        <v>357391</v>
      </c>
      <c r="G134" s="100">
        <v>338152</v>
      </c>
      <c r="H134" s="100">
        <v>368026</v>
      </c>
      <c r="I134" s="100">
        <v>384126</v>
      </c>
      <c r="J134" s="100">
        <v>342972</v>
      </c>
      <c r="K134" s="100">
        <v>361646</v>
      </c>
      <c r="L134" s="100">
        <v>381435</v>
      </c>
      <c r="M134" s="100">
        <v>388607</v>
      </c>
      <c r="N134" s="99">
        <f t="shared" ref="N134:N149" si="59">AVERAGE(B134:M134)</f>
        <v>356140.83333333331</v>
      </c>
      <c r="O134" s="388">
        <f>SUM(B134:M134)</f>
        <v>4273690</v>
      </c>
    </row>
    <row r="135" spans="1:15" ht="18.95" customHeight="1">
      <c r="A135" s="180" t="s">
        <v>111</v>
      </c>
      <c r="B135" s="102">
        <f t="shared" ref="B135:M135" si="60">B134/B94</f>
        <v>0.81299970955880341</v>
      </c>
      <c r="C135" s="102">
        <f t="shared" si="60"/>
        <v>1.2413736701112617</v>
      </c>
      <c r="D135" s="102">
        <f t="shared" si="60"/>
        <v>1.0449380686092777</v>
      </c>
      <c r="E135" s="102">
        <f t="shared" si="60"/>
        <v>0.96467829171715158</v>
      </c>
      <c r="F135" s="102">
        <f t="shared" si="60"/>
        <v>1.1691479791288417</v>
      </c>
      <c r="G135" s="102">
        <f t="shared" si="60"/>
        <v>1.0378077113122366</v>
      </c>
      <c r="H135" s="102">
        <f t="shared" si="60"/>
        <v>1.0207321571705528</v>
      </c>
      <c r="I135" s="102">
        <f t="shared" si="60"/>
        <v>0.98559552522194283</v>
      </c>
      <c r="J135" s="102">
        <f t="shared" si="60"/>
        <v>1.011355828745492</v>
      </c>
      <c r="K135" s="102">
        <f t="shared" si="60"/>
        <v>1.0567924467652998</v>
      </c>
      <c r="L135" s="102">
        <f t="shared" si="60"/>
        <v>1.0187302028192788</v>
      </c>
      <c r="M135" s="102">
        <f t="shared" si="60"/>
        <v>0.93881845327251823</v>
      </c>
      <c r="N135" s="102">
        <f t="shared" si="59"/>
        <v>1.0252475037027213</v>
      </c>
      <c r="O135" s="384"/>
    </row>
    <row r="136" spans="1:15" ht="18.95" customHeight="1">
      <c r="A136" s="179" t="s">
        <v>115</v>
      </c>
      <c r="B136" s="103">
        <v>9702</v>
      </c>
      <c r="C136" s="103">
        <v>7469</v>
      </c>
      <c r="D136" s="103">
        <v>10410</v>
      </c>
      <c r="E136" s="103">
        <v>8329</v>
      </c>
      <c r="F136" s="103">
        <v>10082</v>
      </c>
      <c r="G136" s="103">
        <v>13989</v>
      </c>
      <c r="H136" s="103">
        <v>16850</v>
      </c>
      <c r="I136" s="103">
        <v>11950</v>
      </c>
      <c r="J136" s="103">
        <v>10877</v>
      </c>
      <c r="K136" s="103">
        <v>13654</v>
      </c>
      <c r="L136" s="103">
        <v>13288</v>
      </c>
      <c r="M136" s="103">
        <v>16677</v>
      </c>
      <c r="N136" s="99">
        <f t="shared" si="59"/>
        <v>11939.75</v>
      </c>
      <c r="O136" s="388">
        <f>SUM(B136:M136)</f>
        <v>143277</v>
      </c>
    </row>
    <row r="137" spans="1:15" ht="18.95" customHeight="1">
      <c r="A137" s="180" t="s">
        <v>111</v>
      </c>
      <c r="B137" s="102">
        <f t="shared" ref="B137:M137" si="61">B136/B96</f>
        <v>1.5855531949664978</v>
      </c>
      <c r="C137" s="102">
        <f t="shared" si="61"/>
        <v>2.2722847581381198</v>
      </c>
      <c r="D137" s="102">
        <f t="shared" si="61"/>
        <v>1.6696070569366479</v>
      </c>
      <c r="E137" s="102">
        <f t="shared" si="61"/>
        <v>1.3446884081369066</v>
      </c>
      <c r="F137" s="102">
        <f t="shared" si="61"/>
        <v>1.1844454887218046</v>
      </c>
      <c r="G137" s="102">
        <f t="shared" si="61"/>
        <v>1.7884172845819484</v>
      </c>
      <c r="H137" s="102">
        <f t="shared" si="61"/>
        <v>2.0409399224806202</v>
      </c>
      <c r="I137" s="102">
        <f t="shared" si="61"/>
        <v>1.2300566134843027</v>
      </c>
      <c r="J137" s="102">
        <f t="shared" si="61"/>
        <v>1.1241215378255478</v>
      </c>
      <c r="K137" s="102">
        <f t="shared" si="61"/>
        <v>1.4098089829633453</v>
      </c>
      <c r="L137" s="102">
        <f t="shared" si="61"/>
        <v>1.0221538461538462</v>
      </c>
      <c r="M137" s="102">
        <f t="shared" si="61"/>
        <v>1.2494006592747977</v>
      </c>
      <c r="N137" s="102">
        <f t="shared" si="59"/>
        <v>1.493456479472032</v>
      </c>
      <c r="O137" s="384"/>
    </row>
    <row r="138" spans="1:15" ht="18.95" customHeight="1">
      <c r="A138" s="179" t="s">
        <v>94</v>
      </c>
      <c r="B138" s="103">
        <v>1367</v>
      </c>
      <c r="C138" s="103">
        <v>1450</v>
      </c>
      <c r="D138" s="103">
        <v>1616</v>
      </c>
      <c r="E138" s="99">
        <v>1504</v>
      </c>
      <c r="F138" s="100">
        <v>1387</v>
      </c>
      <c r="G138" s="100">
        <v>1155</v>
      </c>
      <c r="H138" s="100">
        <v>1522</v>
      </c>
      <c r="I138" s="100">
        <v>1580</v>
      </c>
      <c r="J138" s="100">
        <v>1409</v>
      </c>
      <c r="K138" s="100">
        <v>1213</v>
      </c>
      <c r="L138" s="100">
        <v>1640</v>
      </c>
      <c r="M138" s="100">
        <v>1223</v>
      </c>
      <c r="N138" s="99">
        <f t="shared" si="59"/>
        <v>1422.1666666666667</v>
      </c>
      <c r="O138" s="383">
        <f>SUM(B138:M138)</f>
        <v>17066</v>
      </c>
    </row>
    <row r="139" spans="1:15" ht="18.95" customHeight="1">
      <c r="A139" s="180" t="s">
        <v>111</v>
      </c>
      <c r="B139" s="102">
        <f>B138/B98</f>
        <v>0.95261324041811846</v>
      </c>
      <c r="C139" s="102">
        <f>C138/C102</f>
        <v>0.95081967213114749</v>
      </c>
      <c r="D139" s="102">
        <f>D138/D102</f>
        <v>0.82239185750636135</v>
      </c>
      <c r="E139" s="102">
        <f>E138/E102</f>
        <v>0.86836027713625863</v>
      </c>
      <c r="F139" s="102">
        <f>F138/F102</f>
        <v>0.75503538377789869</v>
      </c>
      <c r="G139" s="102">
        <f>G138/G102</f>
        <v>0.5628654970760234</v>
      </c>
      <c r="H139" s="102">
        <f t="shared" ref="H139:M139" si="62">H138/H98</f>
        <v>1.0242261103633916</v>
      </c>
      <c r="I139" s="102">
        <f t="shared" si="62"/>
        <v>1.0711864406779661</v>
      </c>
      <c r="J139" s="102">
        <f t="shared" si="62"/>
        <v>1.0429311621021466</v>
      </c>
      <c r="K139" s="102">
        <f t="shared" si="62"/>
        <v>0.77706598334401022</v>
      </c>
      <c r="L139" s="102">
        <f t="shared" si="62"/>
        <v>1.0926049300466356</v>
      </c>
      <c r="M139" s="102">
        <f t="shared" si="62"/>
        <v>1.0919642857142857</v>
      </c>
      <c r="N139" s="102">
        <f t="shared" si="59"/>
        <v>0.91767207002452034</v>
      </c>
      <c r="O139" s="384"/>
    </row>
    <row r="140" spans="1:15" ht="18.95" customHeight="1">
      <c r="A140" s="179" t="s">
        <v>95</v>
      </c>
      <c r="B140" s="103">
        <v>7737</v>
      </c>
      <c r="C140" s="103">
        <v>8521</v>
      </c>
      <c r="D140" s="103">
        <v>11203</v>
      </c>
      <c r="E140" s="103">
        <v>8609</v>
      </c>
      <c r="F140" s="103">
        <v>10682</v>
      </c>
      <c r="G140" s="103">
        <v>10682</v>
      </c>
      <c r="H140" s="103">
        <v>12165</v>
      </c>
      <c r="I140" s="103">
        <v>10236</v>
      </c>
      <c r="J140" s="103">
        <v>9823</v>
      </c>
      <c r="K140" s="103">
        <v>10577</v>
      </c>
      <c r="L140" s="103">
        <v>11402</v>
      </c>
      <c r="M140" s="103">
        <v>10778</v>
      </c>
      <c r="N140" s="99">
        <f t="shared" si="59"/>
        <v>10201.25</v>
      </c>
      <c r="O140" s="383">
        <f>SUM(B140:M140)</f>
        <v>122415</v>
      </c>
    </row>
    <row r="141" spans="1:15" ht="18.95" customHeight="1">
      <c r="A141" s="180" t="s">
        <v>111</v>
      </c>
      <c r="B141" s="102">
        <f t="shared" ref="B141:M141" si="63">B140/B100</f>
        <v>0.83417789757412397</v>
      </c>
      <c r="C141" s="102">
        <f t="shared" si="63"/>
        <v>0.80364047910968595</v>
      </c>
      <c r="D141" s="102">
        <f t="shared" si="63"/>
        <v>0.99045177261073292</v>
      </c>
      <c r="E141" s="102">
        <f t="shared" si="63"/>
        <v>0.81194001697632745</v>
      </c>
      <c r="F141" s="102">
        <f t="shared" si="63"/>
        <v>1.2213583352389663</v>
      </c>
      <c r="G141" s="102">
        <f t="shared" si="63"/>
        <v>1.0988581421664438</v>
      </c>
      <c r="H141" s="102">
        <f t="shared" si="63"/>
        <v>1.0334720924305496</v>
      </c>
      <c r="I141" s="102">
        <f t="shared" si="63"/>
        <v>0.86952089704383284</v>
      </c>
      <c r="J141" s="102">
        <f t="shared" si="63"/>
        <v>0.97142009493670889</v>
      </c>
      <c r="K141" s="102">
        <f t="shared" si="63"/>
        <v>1.0999376039933444</v>
      </c>
      <c r="L141" s="102">
        <f t="shared" si="63"/>
        <v>1.0798371057865328</v>
      </c>
      <c r="M141" s="102">
        <f t="shared" si="63"/>
        <v>0.96559756316072387</v>
      </c>
      <c r="N141" s="102">
        <f t="shared" si="59"/>
        <v>0.98168433341899775</v>
      </c>
      <c r="O141" s="384"/>
    </row>
    <row r="142" spans="1:15" ht="18.95" customHeight="1">
      <c r="A142" s="179" t="s">
        <v>96</v>
      </c>
      <c r="B142" s="103">
        <v>1964</v>
      </c>
      <c r="C142" s="103">
        <v>1960</v>
      </c>
      <c r="D142" s="103">
        <v>2103</v>
      </c>
      <c r="E142" s="103">
        <v>1877</v>
      </c>
      <c r="F142" s="100">
        <v>1822</v>
      </c>
      <c r="G142" s="100">
        <v>1653</v>
      </c>
      <c r="H142" s="100">
        <v>1857</v>
      </c>
      <c r="I142" s="100">
        <v>1895</v>
      </c>
      <c r="J142" s="100">
        <v>1570</v>
      </c>
      <c r="K142" s="100">
        <v>1735</v>
      </c>
      <c r="L142" s="103">
        <v>1711</v>
      </c>
      <c r="M142" s="103">
        <v>1661</v>
      </c>
      <c r="N142" s="99">
        <f t="shared" si="59"/>
        <v>1817.3333333333333</v>
      </c>
      <c r="O142" s="383">
        <f>SUM(B142:M142)</f>
        <v>21808</v>
      </c>
    </row>
    <row r="143" spans="1:15" ht="18.95" customHeight="1">
      <c r="A143" s="180" t="s">
        <v>111</v>
      </c>
      <c r="B143" s="102">
        <f t="shared" ref="B143:M143" si="64">B142/B102</f>
        <v>1.1492100643651257</v>
      </c>
      <c r="C143" s="102">
        <f t="shared" si="64"/>
        <v>1.2852459016393443</v>
      </c>
      <c r="D143" s="102">
        <f t="shared" si="64"/>
        <v>1.0702290076335879</v>
      </c>
      <c r="E143" s="102">
        <f t="shared" si="64"/>
        <v>1.0837182448036951</v>
      </c>
      <c r="F143" s="102">
        <f t="shared" si="64"/>
        <v>0.9918345127925966</v>
      </c>
      <c r="G143" s="102">
        <f t="shared" si="64"/>
        <v>0.80555555555555558</v>
      </c>
      <c r="H143" s="102">
        <f t="shared" si="64"/>
        <v>0.99517684887459812</v>
      </c>
      <c r="I143" s="102">
        <f t="shared" si="64"/>
        <v>0.87448084910013846</v>
      </c>
      <c r="J143" s="102">
        <f t="shared" si="64"/>
        <v>0.82155939298796443</v>
      </c>
      <c r="K143" s="102">
        <f t="shared" si="64"/>
        <v>0.95016429353778753</v>
      </c>
      <c r="L143" s="102">
        <f t="shared" si="64"/>
        <v>0.82696955050749155</v>
      </c>
      <c r="M143" s="102">
        <f t="shared" si="64"/>
        <v>0.8783712321523004</v>
      </c>
      <c r="N143" s="102">
        <f t="shared" si="59"/>
        <v>0.97770962116251547</v>
      </c>
      <c r="O143" s="384"/>
    </row>
    <row r="144" spans="1:15" ht="18.95" customHeight="1">
      <c r="A144" s="179" t="s">
        <v>97</v>
      </c>
      <c r="B144" s="103">
        <v>6432</v>
      </c>
      <c r="C144" s="103">
        <v>9262</v>
      </c>
      <c r="D144" s="103">
        <v>10848</v>
      </c>
      <c r="E144" s="103">
        <v>7685</v>
      </c>
      <c r="F144" s="103">
        <v>10104</v>
      </c>
      <c r="G144" s="103">
        <v>10024</v>
      </c>
      <c r="H144" s="103">
        <v>10424</v>
      </c>
      <c r="I144" s="103">
        <v>11379</v>
      </c>
      <c r="J144" s="103">
        <v>9605</v>
      </c>
      <c r="K144" s="103">
        <v>9752</v>
      </c>
      <c r="L144" s="103">
        <v>10861</v>
      </c>
      <c r="M144" s="103">
        <v>9305</v>
      </c>
      <c r="N144" s="99">
        <f t="shared" si="59"/>
        <v>9640.0833333333339</v>
      </c>
      <c r="O144" s="383">
        <f>SUM(B144:M144)</f>
        <v>115681</v>
      </c>
    </row>
    <row r="145" spans="1:15" ht="18.95" customHeight="1">
      <c r="A145" s="180" t="s">
        <v>25</v>
      </c>
      <c r="B145" s="102">
        <f t="shared" ref="B145:M145" si="65">B144/B104</f>
        <v>1.1629000180799132</v>
      </c>
      <c r="C145" s="102">
        <f t="shared" si="65"/>
        <v>1.8806091370558375</v>
      </c>
      <c r="D145" s="102">
        <f t="shared" si="65"/>
        <v>1.3852636955688928</v>
      </c>
      <c r="E145" s="102">
        <f t="shared" si="65"/>
        <v>1.1777777777777778</v>
      </c>
      <c r="F145" s="102">
        <f t="shared" si="65"/>
        <v>1.5458996328029375</v>
      </c>
      <c r="G145" s="102">
        <f t="shared" si="65"/>
        <v>1.4033319333613328</v>
      </c>
      <c r="H145" s="102">
        <f t="shared" si="65"/>
        <v>1.3768326509047681</v>
      </c>
      <c r="I145" s="102">
        <f t="shared" si="65"/>
        <v>1.3951692005885239</v>
      </c>
      <c r="J145" s="102">
        <f t="shared" si="65"/>
        <v>1.1563929689381169</v>
      </c>
      <c r="K145" s="102">
        <f t="shared" si="65"/>
        <v>1.217630166063179</v>
      </c>
      <c r="L145" s="102">
        <f t="shared" si="65"/>
        <v>1.2856297348484849</v>
      </c>
      <c r="M145" s="102">
        <f t="shared" si="65"/>
        <v>1.0971583539676926</v>
      </c>
      <c r="N145" s="102">
        <f t="shared" si="59"/>
        <v>1.3403829391631215</v>
      </c>
      <c r="O145" s="384"/>
    </row>
    <row r="146" spans="1:15" ht="18.95" customHeight="1">
      <c r="A146" s="179" t="s">
        <v>98</v>
      </c>
      <c r="B146" s="103">
        <v>1645</v>
      </c>
      <c r="C146" s="103">
        <v>1179</v>
      </c>
      <c r="D146" s="103">
        <v>1496</v>
      </c>
      <c r="E146" s="103">
        <v>1315</v>
      </c>
      <c r="F146" s="100">
        <v>1320</v>
      </c>
      <c r="G146" s="100">
        <v>1325</v>
      </c>
      <c r="H146" s="100">
        <v>1738</v>
      </c>
      <c r="I146" s="100">
        <v>1641</v>
      </c>
      <c r="J146" s="100">
        <v>1511</v>
      </c>
      <c r="K146" s="100">
        <v>1718</v>
      </c>
      <c r="L146" s="100">
        <v>1668</v>
      </c>
      <c r="M146" s="100">
        <v>1901</v>
      </c>
      <c r="N146" s="99">
        <f t="shared" si="59"/>
        <v>1538.0833333333333</v>
      </c>
      <c r="O146" s="383">
        <f>SUM(B146:M146)</f>
        <v>18457</v>
      </c>
    </row>
    <row r="147" spans="1:15" ht="18.95" customHeight="1">
      <c r="A147" s="180" t="s">
        <v>111</v>
      </c>
      <c r="B147" s="102">
        <f t="shared" ref="B147:M147" si="66">B146/B106</f>
        <v>0.81274703557312256</v>
      </c>
      <c r="C147" s="102">
        <f t="shared" si="66"/>
        <v>0.89794364051789799</v>
      </c>
      <c r="D147" s="102">
        <f t="shared" si="66"/>
        <v>1.0770338372930166</v>
      </c>
      <c r="E147" s="102">
        <f t="shared" si="66"/>
        <v>0.90752242926155968</v>
      </c>
      <c r="F147" s="102">
        <f t="shared" si="66"/>
        <v>1.059390048154093</v>
      </c>
      <c r="G147" s="102">
        <f t="shared" si="66"/>
        <v>1.0591526778577138</v>
      </c>
      <c r="H147" s="102">
        <f t="shared" si="66"/>
        <v>1.0241602828520919</v>
      </c>
      <c r="I147" s="102">
        <f t="shared" si="66"/>
        <v>0.95573675014560278</v>
      </c>
      <c r="J147" s="102">
        <f t="shared" si="66"/>
        <v>0.94971715901948461</v>
      </c>
      <c r="K147" s="102">
        <f t="shared" si="66"/>
        <v>1.0764411027568923</v>
      </c>
      <c r="L147" s="102">
        <f t="shared" si="66"/>
        <v>0.99880239520958081</v>
      </c>
      <c r="M147" s="102">
        <f t="shared" si="66"/>
        <v>1.4898119122257054</v>
      </c>
      <c r="N147" s="102">
        <f t="shared" si="59"/>
        <v>1.0257049392388968</v>
      </c>
      <c r="O147" s="384"/>
    </row>
    <row r="148" spans="1:15" ht="18.95" customHeight="1">
      <c r="A148" s="179" t="s">
        <v>120</v>
      </c>
      <c r="B148" s="103">
        <v>273</v>
      </c>
      <c r="C148" s="103">
        <v>223</v>
      </c>
      <c r="D148" s="103">
        <v>182</v>
      </c>
      <c r="E148" s="103">
        <v>179</v>
      </c>
      <c r="F148" s="103">
        <v>158</v>
      </c>
      <c r="G148" s="103">
        <v>224</v>
      </c>
      <c r="H148" s="103">
        <v>230</v>
      </c>
      <c r="I148" s="100">
        <v>209</v>
      </c>
      <c r="J148" s="100">
        <v>292</v>
      </c>
      <c r="K148" s="100">
        <v>216</v>
      </c>
      <c r="L148" s="100">
        <v>279</v>
      </c>
      <c r="M148" s="100">
        <v>246</v>
      </c>
      <c r="N148" s="99">
        <f t="shared" si="59"/>
        <v>225.91666666666666</v>
      </c>
      <c r="O148" s="383">
        <f>SUM(B148:M148)</f>
        <v>2711</v>
      </c>
    </row>
    <row r="149" spans="1:15" ht="18.95" customHeight="1" thickBot="1">
      <c r="A149" s="189" t="s">
        <v>25</v>
      </c>
      <c r="B149" s="190" t="e">
        <f t="shared" ref="B149:M149" si="67">B148/B108</f>
        <v>#DIV/0!</v>
      </c>
      <c r="C149" s="190" t="e">
        <f t="shared" si="67"/>
        <v>#DIV/0!</v>
      </c>
      <c r="D149" s="190" t="e">
        <f t="shared" si="67"/>
        <v>#DIV/0!</v>
      </c>
      <c r="E149" s="190" t="e">
        <f t="shared" si="67"/>
        <v>#DIV/0!</v>
      </c>
      <c r="F149" s="190" t="e">
        <f t="shared" si="67"/>
        <v>#DIV/0!</v>
      </c>
      <c r="G149" s="190" t="e">
        <f t="shared" si="67"/>
        <v>#DIV/0!</v>
      </c>
      <c r="H149" s="190" t="e">
        <f t="shared" si="67"/>
        <v>#DIV/0!</v>
      </c>
      <c r="I149" s="190">
        <f t="shared" si="67"/>
        <v>0.36666666666666664</v>
      </c>
      <c r="J149" s="190">
        <f t="shared" si="67"/>
        <v>0.33601841196777904</v>
      </c>
      <c r="K149" s="190">
        <f t="shared" si="67"/>
        <v>0.28533685601056802</v>
      </c>
      <c r="L149" s="190">
        <f t="shared" si="67"/>
        <v>0.40028694404591103</v>
      </c>
      <c r="M149" s="190">
        <f t="shared" si="67"/>
        <v>0.39297124600638977</v>
      </c>
      <c r="N149" s="191" t="e">
        <f t="shared" si="59"/>
        <v>#DIV/0!</v>
      </c>
      <c r="O149" s="385"/>
    </row>
    <row r="150" spans="1:15" ht="18.95" customHeight="1" thickTop="1">
      <c r="A150" s="211" t="s">
        <v>99</v>
      </c>
      <c r="B150" s="212">
        <f t="shared" ref="B150:N150" si="68">B134+B136+B138+B140+B142+B144+B146+B148</f>
        <v>325834</v>
      </c>
      <c r="C150" s="212">
        <f t="shared" si="68"/>
        <v>371587</v>
      </c>
      <c r="D150" s="212">
        <f t="shared" si="68"/>
        <v>442039</v>
      </c>
      <c r="E150" s="212">
        <f t="shared" si="68"/>
        <v>338415</v>
      </c>
      <c r="F150" s="212">
        <f t="shared" si="68"/>
        <v>392946</v>
      </c>
      <c r="G150" s="212">
        <f t="shared" si="68"/>
        <v>377204</v>
      </c>
      <c r="H150" s="212">
        <f t="shared" si="68"/>
        <v>412812</v>
      </c>
      <c r="I150" s="212">
        <f t="shared" si="68"/>
        <v>423016</v>
      </c>
      <c r="J150" s="212">
        <f t="shared" si="68"/>
        <v>378059</v>
      </c>
      <c r="K150" s="212">
        <f t="shared" si="68"/>
        <v>400511</v>
      </c>
      <c r="L150" s="212">
        <f t="shared" si="68"/>
        <v>422284</v>
      </c>
      <c r="M150" s="212">
        <f t="shared" si="68"/>
        <v>430398</v>
      </c>
      <c r="N150" s="212">
        <f t="shared" si="68"/>
        <v>392925.41666666663</v>
      </c>
      <c r="O150" s="386">
        <f>SUM(B150:M150)</f>
        <v>4715105</v>
      </c>
    </row>
    <row r="151" spans="1:15" ht="18.95" customHeight="1" thickBot="1">
      <c r="A151" s="213" t="s">
        <v>111</v>
      </c>
      <c r="B151" s="214">
        <f t="shared" ref="B151:N151" si="69">B150/B110</f>
        <v>0.83321783380854353</v>
      </c>
      <c r="C151" s="214">
        <f t="shared" si="69"/>
        <v>1.2468232744013126</v>
      </c>
      <c r="D151" s="214">
        <f t="shared" si="69"/>
        <v>1.0591870378446246</v>
      </c>
      <c r="E151" s="214">
        <f t="shared" si="69"/>
        <v>0.97173368096732604</v>
      </c>
      <c r="F151" s="214">
        <f t="shared" si="69"/>
        <v>1.1761293740515593</v>
      </c>
      <c r="G151" s="214">
        <f t="shared" si="69"/>
        <v>1.0619452084875887</v>
      </c>
      <c r="H151" s="214">
        <f t="shared" si="69"/>
        <v>1.0498832649199641</v>
      </c>
      <c r="I151" s="214">
        <f t="shared" si="69"/>
        <v>0.9946016101121059</v>
      </c>
      <c r="J151" s="214">
        <f t="shared" si="69"/>
        <v>1.0137342232066007</v>
      </c>
      <c r="K151" s="214">
        <f t="shared" si="69"/>
        <v>1.0672865019279913</v>
      </c>
      <c r="L151" s="214">
        <f t="shared" si="69"/>
        <v>1.0240514494405455</v>
      </c>
      <c r="M151" s="214">
        <f t="shared" si="69"/>
        <v>0.95255358138793722</v>
      </c>
      <c r="N151" s="214">
        <f t="shared" si="69"/>
        <v>1.0295399100610469</v>
      </c>
      <c r="O151" s="387"/>
    </row>
    <row r="152" spans="1:15" ht="18.95" customHeight="1" thickBot="1">
      <c r="A152" s="192" t="s">
        <v>112</v>
      </c>
      <c r="B152" s="181"/>
      <c r="C152" s="182"/>
      <c r="D152" s="182"/>
      <c r="E152" s="182"/>
      <c r="F152" s="183"/>
      <c r="G152" s="183"/>
      <c r="H152" s="182"/>
      <c r="I152" s="182"/>
      <c r="J152" s="182"/>
      <c r="K152" s="182"/>
      <c r="L152" s="182"/>
      <c r="M152" s="182"/>
      <c r="N152" s="94"/>
      <c r="O152" s="94"/>
    </row>
    <row r="153" spans="1:15" ht="18.95" customHeight="1">
      <c r="A153" s="184" t="s">
        <v>100</v>
      </c>
      <c r="B153" s="185">
        <v>2121239</v>
      </c>
      <c r="C153" s="185">
        <v>2088585</v>
      </c>
      <c r="D153" s="185">
        <v>2608252</v>
      </c>
      <c r="E153" s="185">
        <v>2017529</v>
      </c>
      <c r="F153" s="185">
        <v>2256936</v>
      </c>
      <c r="G153" s="185">
        <v>2379130</v>
      </c>
      <c r="H153" s="185">
        <v>2367765</v>
      </c>
      <c r="I153" s="185">
        <v>2410763</v>
      </c>
      <c r="J153" s="185">
        <v>2235390</v>
      </c>
      <c r="K153" s="185">
        <v>2368205</v>
      </c>
      <c r="L153" s="185">
        <v>2509079</v>
      </c>
      <c r="M153" s="185">
        <v>2733689</v>
      </c>
      <c r="N153" s="186">
        <f t="shared" ref="N153:N168" si="70">AVERAGE(B153:M153)</f>
        <v>2341380.1666666665</v>
      </c>
      <c r="O153" s="389">
        <f>SUM(B153:M153)</f>
        <v>28096562</v>
      </c>
    </row>
    <row r="154" spans="1:15" ht="18.95" customHeight="1">
      <c r="A154" s="180" t="s">
        <v>25</v>
      </c>
      <c r="B154" s="102">
        <f t="shared" ref="B154:M154" si="71">B153/B113</f>
        <v>0.86400236891636328</v>
      </c>
      <c r="C154" s="102">
        <f t="shared" si="71"/>
        <v>1.2995727793361094</v>
      </c>
      <c r="D154" s="102">
        <f t="shared" si="71"/>
        <v>1.0338583647827659</v>
      </c>
      <c r="E154" s="102">
        <f t="shared" si="71"/>
        <v>0.79970770954716386</v>
      </c>
      <c r="F154" s="102">
        <f t="shared" si="71"/>
        <v>1.1575912597073472</v>
      </c>
      <c r="G154" s="102">
        <f t="shared" si="71"/>
        <v>1.0594105831070872</v>
      </c>
      <c r="H154" s="102">
        <f t="shared" si="71"/>
        <v>1.0176822650835438</v>
      </c>
      <c r="I154" s="102">
        <f t="shared" si="71"/>
        <v>1.0474510243522632</v>
      </c>
      <c r="J154" s="102">
        <f t="shared" si="71"/>
        <v>1.0367333801443845</v>
      </c>
      <c r="K154" s="102">
        <f t="shared" si="71"/>
        <v>1.069230762284705</v>
      </c>
      <c r="L154" s="102">
        <f t="shared" si="71"/>
        <v>1.0529757273445284</v>
      </c>
      <c r="M154" s="102">
        <f t="shared" si="71"/>
        <v>0.99290468192925818</v>
      </c>
      <c r="N154" s="102">
        <f t="shared" si="70"/>
        <v>1.0359267422112932</v>
      </c>
      <c r="O154" s="384"/>
    </row>
    <row r="155" spans="1:15" ht="18.95" customHeight="1">
      <c r="A155" s="179" t="s">
        <v>117</v>
      </c>
      <c r="B155" s="103">
        <v>146325</v>
      </c>
      <c r="C155" s="103">
        <v>162124</v>
      </c>
      <c r="D155" s="103">
        <v>198475</v>
      </c>
      <c r="E155" s="103">
        <v>237078</v>
      </c>
      <c r="F155" s="103">
        <v>180757</v>
      </c>
      <c r="G155" s="103">
        <v>219660</v>
      </c>
      <c r="H155" s="103">
        <v>244665</v>
      </c>
      <c r="I155" s="103">
        <v>254544</v>
      </c>
      <c r="J155" s="103">
        <v>236106</v>
      </c>
      <c r="K155" s="103">
        <v>216585</v>
      </c>
      <c r="L155" s="103">
        <v>226696</v>
      </c>
      <c r="M155" s="103">
        <v>328307</v>
      </c>
      <c r="N155" s="99">
        <f t="shared" si="70"/>
        <v>220943.5</v>
      </c>
      <c r="O155" s="388">
        <f>SUM(B155:M155)</f>
        <v>2651322</v>
      </c>
    </row>
    <row r="156" spans="1:15" ht="18.95" customHeight="1">
      <c r="A156" s="180" t="s">
        <v>25</v>
      </c>
      <c r="B156" s="154">
        <f t="shared" ref="B156:M156" si="72">B155/B115</f>
        <v>1.3129088119442625</v>
      </c>
      <c r="C156" s="154">
        <f t="shared" si="72"/>
        <v>3.075014699467026</v>
      </c>
      <c r="D156" s="154">
        <f t="shared" si="72"/>
        <v>2.5801440382715408</v>
      </c>
      <c r="E156" s="154">
        <f t="shared" si="72"/>
        <v>3.1520880698815366</v>
      </c>
      <c r="F156" s="154">
        <f t="shared" si="72"/>
        <v>1.1808934591162097</v>
      </c>
      <c r="G156" s="154">
        <f t="shared" si="72"/>
        <v>1.7391510890477662</v>
      </c>
      <c r="H156" s="154">
        <f t="shared" si="72"/>
        <v>1.6653507129973113</v>
      </c>
      <c r="I156" s="154">
        <f t="shared" si="72"/>
        <v>0.9635832286004149</v>
      </c>
      <c r="J156" s="154">
        <f t="shared" si="72"/>
        <v>1.2758348643683131</v>
      </c>
      <c r="K156" s="154">
        <f t="shared" si="72"/>
        <v>1.1349333193596562</v>
      </c>
      <c r="L156" s="154">
        <f t="shared" si="72"/>
        <v>1.0489357764205072</v>
      </c>
      <c r="M156" s="154">
        <f t="shared" si="72"/>
        <v>1.2244276118762845</v>
      </c>
      <c r="N156" s="102">
        <f t="shared" si="70"/>
        <v>1.6961054734459022</v>
      </c>
      <c r="O156" s="384"/>
    </row>
    <row r="157" spans="1:15" ht="18.95" customHeight="1">
      <c r="A157" s="187" t="s">
        <v>102</v>
      </c>
      <c r="B157" s="140">
        <v>4317</v>
      </c>
      <c r="C157" s="128">
        <v>5199</v>
      </c>
      <c r="D157" s="103">
        <v>6665</v>
      </c>
      <c r="E157" s="99">
        <v>5694</v>
      </c>
      <c r="F157" s="99">
        <v>5386</v>
      </c>
      <c r="G157" s="103">
        <v>4565</v>
      </c>
      <c r="H157" s="103">
        <v>6356</v>
      </c>
      <c r="I157" s="103">
        <v>6487</v>
      </c>
      <c r="J157" s="103">
        <v>5647</v>
      </c>
      <c r="K157" s="103">
        <v>6691</v>
      </c>
      <c r="L157" s="103">
        <v>7420</v>
      </c>
      <c r="M157" s="103">
        <v>5620</v>
      </c>
      <c r="N157" s="99">
        <f t="shared" si="70"/>
        <v>5837.25</v>
      </c>
      <c r="O157" s="383">
        <f>SUM(B157:M157)</f>
        <v>70047</v>
      </c>
    </row>
    <row r="158" spans="1:15" ht="18.95" customHeight="1">
      <c r="A158" s="188" t="s">
        <v>25</v>
      </c>
      <c r="B158" s="102">
        <f t="shared" ref="B158:M158" si="73">B157/B117</f>
        <v>0.78022772456172063</v>
      </c>
      <c r="C158" s="102">
        <f t="shared" si="73"/>
        <v>1.1056997022543598</v>
      </c>
      <c r="D158" s="102">
        <f t="shared" si="73"/>
        <v>0.86367759492030582</v>
      </c>
      <c r="E158" s="102">
        <f t="shared" si="73"/>
        <v>0.9502670226969292</v>
      </c>
      <c r="F158" s="102">
        <f t="shared" si="73"/>
        <v>0.90642881184786273</v>
      </c>
      <c r="G158" s="102">
        <f t="shared" si="73"/>
        <v>0.71083774525070076</v>
      </c>
      <c r="H158" s="102">
        <f t="shared" si="73"/>
        <v>1.1619744058500914</v>
      </c>
      <c r="I158" s="102">
        <f t="shared" si="73"/>
        <v>1.0991189427312775</v>
      </c>
      <c r="J158" s="102">
        <f t="shared" si="73"/>
        <v>1.1312099358974359</v>
      </c>
      <c r="K158" s="102">
        <f t="shared" si="73"/>
        <v>1.0540327662255828</v>
      </c>
      <c r="L158" s="102">
        <f t="shared" si="73"/>
        <v>1.477204857654788</v>
      </c>
      <c r="M158" s="102">
        <f t="shared" si="73"/>
        <v>1.468897020386827</v>
      </c>
      <c r="N158" s="102">
        <f t="shared" si="70"/>
        <v>1.0591313775231568</v>
      </c>
      <c r="O158" s="384"/>
    </row>
    <row r="159" spans="1:15" ht="18.95" customHeight="1">
      <c r="A159" s="179" t="s">
        <v>103</v>
      </c>
      <c r="B159" s="131">
        <v>79582</v>
      </c>
      <c r="C159" s="103">
        <v>83449</v>
      </c>
      <c r="D159" s="103">
        <v>137220</v>
      </c>
      <c r="E159" s="103">
        <v>97866</v>
      </c>
      <c r="F159" s="103">
        <v>142896</v>
      </c>
      <c r="G159" s="103">
        <v>138357</v>
      </c>
      <c r="H159" s="103">
        <v>196200</v>
      </c>
      <c r="I159" s="103">
        <v>113994</v>
      </c>
      <c r="J159" s="103">
        <v>120724</v>
      </c>
      <c r="K159" s="103">
        <v>154168</v>
      </c>
      <c r="L159" s="103">
        <v>179283</v>
      </c>
      <c r="M159" s="103">
        <v>133212</v>
      </c>
      <c r="N159" s="99">
        <f t="shared" si="70"/>
        <v>131412.58333333334</v>
      </c>
      <c r="O159" s="383">
        <f>SUM(B159:M159)</f>
        <v>1576951</v>
      </c>
    </row>
    <row r="160" spans="1:15" ht="18.95" customHeight="1">
      <c r="A160" s="180" t="s">
        <v>25</v>
      </c>
      <c r="B160" s="102">
        <f t="shared" ref="B160:M160" si="74">B159/B119</f>
        <v>0.59298392024201596</v>
      </c>
      <c r="C160" s="102">
        <f t="shared" si="74"/>
        <v>0.79065602971272642</v>
      </c>
      <c r="D160" s="102">
        <f t="shared" si="74"/>
        <v>1.2548811603215393</v>
      </c>
      <c r="E160" s="102">
        <f t="shared" si="74"/>
        <v>0.71691451175738041</v>
      </c>
      <c r="F160" s="102">
        <f t="shared" si="74"/>
        <v>1.3886205723725766</v>
      </c>
      <c r="G160" s="102">
        <f t="shared" si="74"/>
        <v>1.4050675332588605</v>
      </c>
      <c r="H160" s="102">
        <f t="shared" si="74"/>
        <v>1.5543795157814679</v>
      </c>
      <c r="I160" s="102">
        <f t="shared" si="74"/>
        <v>1.0851507391788593</v>
      </c>
      <c r="J160" s="102">
        <f t="shared" si="74"/>
        <v>1.2592994387999916</v>
      </c>
      <c r="K160" s="102">
        <f t="shared" si="74"/>
        <v>1.8281946684375296</v>
      </c>
      <c r="L160" s="102">
        <f t="shared" si="74"/>
        <v>1.5427900212551739</v>
      </c>
      <c r="M160" s="102">
        <f t="shared" si="74"/>
        <v>1.0274898185857091</v>
      </c>
      <c r="N160" s="102">
        <f t="shared" si="70"/>
        <v>1.2038689941419858</v>
      </c>
      <c r="O160" s="384"/>
    </row>
    <row r="161" spans="1:20" ht="18.95" customHeight="1">
      <c r="A161" s="179" t="s">
        <v>104</v>
      </c>
      <c r="B161" s="103">
        <v>20369</v>
      </c>
      <c r="C161" s="103">
        <v>19702</v>
      </c>
      <c r="D161" s="103">
        <v>20926</v>
      </c>
      <c r="E161" s="103">
        <v>17927</v>
      </c>
      <c r="F161" s="103">
        <v>22269</v>
      </c>
      <c r="G161" s="103">
        <v>18960</v>
      </c>
      <c r="H161" s="103">
        <v>19987</v>
      </c>
      <c r="I161" s="103">
        <v>19774</v>
      </c>
      <c r="J161" s="103">
        <v>16845</v>
      </c>
      <c r="K161" s="103">
        <v>16900</v>
      </c>
      <c r="L161" s="103">
        <v>17632</v>
      </c>
      <c r="M161" s="103">
        <v>15069</v>
      </c>
      <c r="N161" s="99">
        <f t="shared" si="70"/>
        <v>18863.333333333332</v>
      </c>
      <c r="O161" s="383">
        <f>SUM(B161:M161)</f>
        <v>226360</v>
      </c>
    </row>
    <row r="162" spans="1:20" ht="18.95" customHeight="1">
      <c r="A162" s="180" t="s">
        <v>25</v>
      </c>
      <c r="B162" s="104">
        <f t="shared" ref="B162:M162" si="75">B161/B121</f>
        <v>1.425402379286214</v>
      </c>
      <c r="C162" s="104">
        <f t="shared" si="75"/>
        <v>1.432247746437918</v>
      </c>
      <c r="D162" s="104">
        <f t="shared" si="75"/>
        <v>1.0842487046632123</v>
      </c>
      <c r="E162" s="104">
        <f t="shared" si="75"/>
        <v>1.0011727912431587</v>
      </c>
      <c r="F162" s="104">
        <f t="shared" si="75"/>
        <v>1.2699743370402052</v>
      </c>
      <c r="G162" s="104">
        <f t="shared" si="75"/>
        <v>0.94258016405667411</v>
      </c>
      <c r="H162" s="104">
        <f t="shared" si="75"/>
        <v>1.0977645960344922</v>
      </c>
      <c r="I162" s="104">
        <f t="shared" si="75"/>
        <v>0.91006995581737848</v>
      </c>
      <c r="J162" s="104">
        <f t="shared" si="75"/>
        <v>0.85213476325374338</v>
      </c>
      <c r="K162" s="104">
        <f t="shared" si="75"/>
        <v>0.90186242595656119</v>
      </c>
      <c r="L162" s="104">
        <f t="shared" si="75"/>
        <v>0.80825120330048128</v>
      </c>
      <c r="M162" s="104">
        <f t="shared" si="75"/>
        <v>0.81843363024114713</v>
      </c>
      <c r="N162" s="102">
        <f t="shared" si="70"/>
        <v>1.0453452247775989</v>
      </c>
      <c r="O162" s="384"/>
    </row>
    <row r="163" spans="1:20" ht="18.95" customHeight="1">
      <c r="A163" s="179" t="s">
        <v>105</v>
      </c>
      <c r="B163" s="103">
        <v>12314</v>
      </c>
      <c r="C163" s="103">
        <v>15954</v>
      </c>
      <c r="D163" s="103">
        <v>20004</v>
      </c>
      <c r="E163" s="103">
        <v>13385</v>
      </c>
      <c r="F163" s="103">
        <v>17036</v>
      </c>
      <c r="G163" s="103">
        <v>17336</v>
      </c>
      <c r="H163" s="103">
        <v>18479</v>
      </c>
      <c r="I163" s="103">
        <v>18884</v>
      </c>
      <c r="J163" s="103">
        <v>17050</v>
      </c>
      <c r="K163" s="103">
        <v>16369</v>
      </c>
      <c r="L163" s="103">
        <v>18350</v>
      </c>
      <c r="M163" s="103">
        <v>15572</v>
      </c>
      <c r="N163" s="99">
        <f t="shared" si="70"/>
        <v>16727.75</v>
      </c>
      <c r="O163" s="383">
        <f>SUM(B163:M163)</f>
        <v>200733</v>
      </c>
    </row>
    <row r="164" spans="1:20" ht="18.95" customHeight="1">
      <c r="A164" s="180" t="s">
        <v>25</v>
      </c>
      <c r="B164" s="104">
        <f t="shared" ref="B164:M164" si="76">B163/B123</f>
        <v>1.4181734423586319</v>
      </c>
      <c r="C164" s="104">
        <f t="shared" si="76"/>
        <v>1.7307441961379908</v>
      </c>
      <c r="D164" s="104">
        <f t="shared" si="76"/>
        <v>1.6487266133684992</v>
      </c>
      <c r="E164" s="104">
        <f t="shared" si="76"/>
        <v>1.2377473645274644</v>
      </c>
      <c r="F164" s="104">
        <f t="shared" si="76"/>
        <v>1.5460568109628823</v>
      </c>
      <c r="G164" s="104">
        <f t="shared" si="76"/>
        <v>1.4846279010019696</v>
      </c>
      <c r="H164" s="104">
        <f t="shared" si="76"/>
        <v>1.5108331289346741</v>
      </c>
      <c r="I164" s="104">
        <f t="shared" si="76"/>
        <v>1.3991257316440691</v>
      </c>
      <c r="J164" s="104">
        <f t="shared" si="76"/>
        <v>1.3070141816788041</v>
      </c>
      <c r="K164" s="104">
        <f t="shared" si="76"/>
        <v>1.2610939907550076</v>
      </c>
      <c r="L164" s="104">
        <f t="shared" si="76"/>
        <v>1.3605694372358568</v>
      </c>
      <c r="M164" s="104">
        <f t="shared" si="76"/>
        <v>1.1876143990237951</v>
      </c>
      <c r="N164" s="102">
        <f t="shared" si="70"/>
        <v>1.4243605998024702</v>
      </c>
      <c r="O164" s="384"/>
    </row>
    <row r="165" spans="1:20" ht="18.95" customHeight="1">
      <c r="A165" s="179" t="s">
        <v>106</v>
      </c>
      <c r="B165" s="103">
        <v>9214</v>
      </c>
      <c r="C165" s="103">
        <v>6584</v>
      </c>
      <c r="D165" s="103">
        <v>7787</v>
      </c>
      <c r="E165" s="103">
        <v>6609</v>
      </c>
      <c r="F165" s="103">
        <v>6202</v>
      </c>
      <c r="G165" s="103">
        <v>6436</v>
      </c>
      <c r="H165" s="103">
        <v>9075</v>
      </c>
      <c r="I165" s="103">
        <v>8181</v>
      </c>
      <c r="J165" s="103">
        <v>7332</v>
      </c>
      <c r="K165" s="103">
        <v>7048</v>
      </c>
      <c r="L165" s="103">
        <v>8512</v>
      </c>
      <c r="M165" s="103">
        <v>10664</v>
      </c>
      <c r="N165" s="99">
        <f t="shared" si="70"/>
        <v>7803.666666666667</v>
      </c>
      <c r="O165" s="383">
        <f>SUM(B165:M165)</f>
        <v>93644</v>
      </c>
    </row>
    <row r="166" spans="1:20" ht="18.95" customHeight="1">
      <c r="A166" s="180" t="s">
        <v>25</v>
      </c>
      <c r="B166" s="104">
        <f t="shared" ref="B166:M166" si="77">B165/B125</f>
        <v>0.8478881015919757</v>
      </c>
      <c r="C166" s="104">
        <f t="shared" si="77"/>
        <v>0.83979591836734691</v>
      </c>
      <c r="D166" s="104">
        <f t="shared" si="77"/>
        <v>1.1241518694961743</v>
      </c>
      <c r="E166" s="104">
        <f t="shared" si="77"/>
        <v>0.89395374002434735</v>
      </c>
      <c r="F166" s="104">
        <f t="shared" si="77"/>
        <v>1.0341837585459397</v>
      </c>
      <c r="G166" s="104">
        <f t="shared" si="77"/>
        <v>1.1742382776865536</v>
      </c>
      <c r="H166" s="104">
        <f t="shared" si="77"/>
        <v>1.0730755587087619</v>
      </c>
      <c r="I166" s="104">
        <f t="shared" si="77"/>
        <v>1.0212208213706153</v>
      </c>
      <c r="J166" s="104">
        <f t="shared" si="77"/>
        <v>0.95868200836820083</v>
      </c>
      <c r="K166" s="104">
        <f t="shared" si="77"/>
        <v>0.88298672012027057</v>
      </c>
      <c r="L166" s="104">
        <f t="shared" si="77"/>
        <v>1.0093679592078739</v>
      </c>
      <c r="M166" s="104">
        <f t="shared" si="77"/>
        <v>1.1600130534102033</v>
      </c>
      <c r="N166" s="102">
        <f t="shared" si="70"/>
        <v>1.0016298155748551</v>
      </c>
      <c r="O166" s="384"/>
    </row>
    <row r="167" spans="1:20" ht="18.95" customHeight="1">
      <c r="A167" s="179" t="s">
        <v>118</v>
      </c>
      <c r="B167" s="103">
        <v>1525</v>
      </c>
      <c r="C167" s="103">
        <v>1132</v>
      </c>
      <c r="D167" s="103">
        <v>920</v>
      </c>
      <c r="E167" s="103">
        <v>1067</v>
      </c>
      <c r="F167" s="103">
        <v>1159</v>
      </c>
      <c r="G167" s="103">
        <v>1201</v>
      </c>
      <c r="H167" s="103">
        <v>1239</v>
      </c>
      <c r="I167" s="103">
        <v>1129</v>
      </c>
      <c r="J167" s="103">
        <v>1587</v>
      </c>
      <c r="K167" s="103">
        <v>1278</v>
      </c>
      <c r="L167" s="103">
        <v>1530</v>
      </c>
      <c r="M167" s="103">
        <v>1477</v>
      </c>
      <c r="N167" s="99">
        <f t="shared" si="70"/>
        <v>1270.3333333333333</v>
      </c>
      <c r="O167" s="383">
        <f>SUM(B167:M167)</f>
        <v>15244</v>
      </c>
    </row>
    <row r="168" spans="1:20" ht="18.95" customHeight="1" thickBot="1">
      <c r="A168" s="189" t="s">
        <v>25</v>
      </c>
      <c r="B168" s="190" t="e">
        <f t="shared" ref="B168:M168" si="78">B167/B127</f>
        <v>#DIV/0!</v>
      </c>
      <c r="C168" s="190" t="e">
        <f t="shared" si="78"/>
        <v>#DIV/0!</v>
      </c>
      <c r="D168" s="190" t="e">
        <f t="shared" si="78"/>
        <v>#DIV/0!</v>
      </c>
      <c r="E168" s="190" t="e">
        <f t="shared" si="78"/>
        <v>#DIV/0!</v>
      </c>
      <c r="F168" s="190" t="e">
        <f t="shared" si="78"/>
        <v>#DIV/0!</v>
      </c>
      <c r="G168" s="190" t="e">
        <f t="shared" si="78"/>
        <v>#DIV/0!</v>
      </c>
      <c r="H168" s="190" t="e">
        <f t="shared" si="78"/>
        <v>#DIV/0!</v>
      </c>
      <c r="I168" s="190">
        <f t="shared" si="78"/>
        <v>0.41876854599406527</v>
      </c>
      <c r="J168" s="190">
        <f t="shared" si="78"/>
        <v>0.37297297297297299</v>
      </c>
      <c r="K168" s="190">
        <f t="shared" si="78"/>
        <v>0.31431382193802265</v>
      </c>
      <c r="L168" s="190">
        <f t="shared" si="78"/>
        <v>0.40231396266105707</v>
      </c>
      <c r="M168" s="190">
        <f t="shared" si="78"/>
        <v>0.42357327215371382</v>
      </c>
      <c r="N168" s="191" t="e">
        <f t="shared" si="70"/>
        <v>#DIV/0!</v>
      </c>
      <c r="O168" s="385"/>
    </row>
    <row r="169" spans="1:20" ht="18.95" customHeight="1" thickTop="1">
      <c r="A169" s="211" t="s">
        <v>107</v>
      </c>
      <c r="B169" s="215">
        <f t="shared" ref="B169:M169" si="79">B153+B155+B157+B159+B161+B163+B165+B167</f>
        <v>2394885</v>
      </c>
      <c r="C169" s="215">
        <f t="shared" si="79"/>
        <v>2382729</v>
      </c>
      <c r="D169" s="215">
        <f t="shared" si="79"/>
        <v>3000249</v>
      </c>
      <c r="E169" s="215">
        <f t="shared" si="79"/>
        <v>2397155</v>
      </c>
      <c r="F169" s="215">
        <f t="shared" si="79"/>
        <v>2632641</v>
      </c>
      <c r="G169" s="215">
        <f t="shared" si="79"/>
        <v>2785645</v>
      </c>
      <c r="H169" s="215">
        <f t="shared" si="79"/>
        <v>2863766</v>
      </c>
      <c r="I169" s="215">
        <f t="shared" si="79"/>
        <v>2833756</v>
      </c>
      <c r="J169" s="215">
        <f t="shared" si="79"/>
        <v>2640681</v>
      </c>
      <c r="K169" s="215">
        <f t="shared" si="79"/>
        <v>2787244</v>
      </c>
      <c r="L169" s="215">
        <f t="shared" si="79"/>
        <v>2968502</v>
      </c>
      <c r="M169" s="215">
        <f t="shared" si="79"/>
        <v>3243610</v>
      </c>
      <c r="N169" s="215">
        <f>AVERAGEA(B169:M169)</f>
        <v>2744238.5833333335</v>
      </c>
      <c r="O169" s="386">
        <f>SUM(B169:M169)</f>
        <v>32930863</v>
      </c>
    </row>
    <row r="170" spans="1:20" ht="18.95" customHeight="1" thickBot="1">
      <c r="A170" s="213" t="s">
        <v>111</v>
      </c>
      <c r="B170" s="214">
        <f t="shared" ref="B170:M170" si="80">B169/B129</f>
        <v>0.87399426530046953</v>
      </c>
      <c r="C170" s="214">
        <f t="shared" si="80"/>
        <v>1.3230657748977603</v>
      </c>
      <c r="D170" s="214">
        <f t="shared" si="80"/>
        <v>1.0889472677495469</v>
      </c>
      <c r="E170" s="214">
        <f t="shared" si="80"/>
        <v>0.86332289033483023</v>
      </c>
      <c r="F170" s="214">
        <f t="shared" si="80"/>
        <v>1.1720687274085557</v>
      </c>
      <c r="G170" s="214">
        <f t="shared" si="80"/>
        <v>1.1079740145789143</v>
      </c>
      <c r="H170" s="214">
        <f t="shared" si="80"/>
        <v>1.0830659169806012</v>
      </c>
      <c r="I170" s="214">
        <f t="shared" si="80"/>
        <v>1.0418592133616529</v>
      </c>
      <c r="J170" s="214">
        <f t="shared" si="80"/>
        <v>1.0636905780916108</v>
      </c>
      <c r="K170" s="214">
        <f t="shared" si="80"/>
        <v>1.0990363080029022</v>
      </c>
      <c r="L170" s="214">
        <f t="shared" si="80"/>
        <v>1.0740145104924834</v>
      </c>
      <c r="M170" s="214">
        <f t="shared" si="80"/>
        <v>1.0150409351015444</v>
      </c>
      <c r="N170" s="216">
        <f>AVERAGE(B170:M170)</f>
        <v>1.067173366858406</v>
      </c>
      <c r="O170" s="387"/>
    </row>
    <row r="171" spans="1:20" ht="8.4499999999999993" customHeight="1"/>
    <row r="172" spans="1:20" ht="18.95" customHeight="1" thickBot="1">
      <c r="A172" s="1" t="s">
        <v>108</v>
      </c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4"/>
      <c r="O172" s="94"/>
    </row>
    <row r="173" spans="1:20" ht="18.95" customHeight="1">
      <c r="A173" s="177" t="s">
        <v>121</v>
      </c>
      <c r="B173" s="168" t="s">
        <v>4</v>
      </c>
      <c r="C173" s="168" t="s">
        <v>5</v>
      </c>
      <c r="D173" s="168" t="s">
        <v>6</v>
      </c>
      <c r="E173" s="168" t="s">
        <v>7</v>
      </c>
      <c r="F173" s="168" t="s">
        <v>8</v>
      </c>
      <c r="G173" s="168" t="s">
        <v>9</v>
      </c>
      <c r="H173" s="168" t="s">
        <v>10</v>
      </c>
      <c r="I173" s="168" t="s">
        <v>11</v>
      </c>
      <c r="J173" s="168" t="s">
        <v>12</v>
      </c>
      <c r="K173" s="168" t="s">
        <v>13</v>
      </c>
      <c r="L173" s="168" t="s">
        <v>14</v>
      </c>
      <c r="M173" s="168" t="s">
        <v>15</v>
      </c>
      <c r="N173" s="168" t="s">
        <v>110</v>
      </c>
      <c r="O173" s="178" t="s">
        <v>66</v>
      </c>
    </row>
    <row r="174" spans="1:20" ht="18.95" customHeight="1">
      <c r="A174" s="179" t="s">
        <v>92</v>
      </c>
      <c r="B174" s="99">
        <v>424348</v>
      </c>
      <c r="C174" s="99">
        <v>284935</v>
      </c>
      <c r="D174" s="99">
        <v>370073</v>
      </c>
      <c r="E174" s="99">
        <v>340074</v>
      </c>
      <c r="F174" s="100">
        <v>360262</v>
      </c>
      <c r="G174" s="100">
        <v>337248</v>
      </c>
      <c r="H174" s="100">
        <v>384020</v>
      </c>
      <c r="I174" s="100">
        <v>380565</v>
      </c>
      <c r="J174" s="100">
        <v>344760</v>
      </c>
      <c r="K174" s="100">
        <v>358030</v>
      </c>
      <c r="L174" s="100">
        <v>381098</v>
      </c>
      <c r="M174" s="100">
        <v>405393</v>
      </c>
      <c r="N174" s="99">
        <f>AVERAGE(B174:M174)</f>
        <v>364233.83333333331</v>
      </c>
      <c r="O174" s="388">
        <f>SUM(B174:M174)</f>
        <v>4370806</v>
      </c>
    </row>
    <row r="175" spans="1:20" ht="18.95" customHeight="1">
      <c r="A175" s="180" t="s">
        <v>111</v>
      </c>
      <c r="B175" s="102">
        <f t="shared" ref="B175:M175" si="81">B174/B134</f>
        <v>1.4301583342882371</v>
      </c>
      <c r="C175" s="102">
        <f t="shared" si="81"/>
        <v>0.83430691344360408</v>
      </c>
      <c r="D175" s="102">
        <f t="shared" si="81"/>
        <v>0.91561206489171931</v>
      </c>
      <c r="E175" s="102">
        <f t="shared" si="81"/>
        <v>1.1008588067344951</v>
      </c>
      <c r="F175" s="102">
        <f t="shared" si="81"/>
        <v>1.0080332185197725</v>
      </c>
      <c r="G175" s="102">
        <f t="shared" si="81"/>
        <v>0.99732664600534671</v>
      </c>
      <c r="H175" s="102">
        <f t="shared" si="81"/>
        <v>1.0434588860569634</v>
      </c>
      <c r="I175" s="102">
        <f t="shared" si="81"/>
        <v>0.99072960434857316</v>
      </c>
      <c r="J175" s="102">
        <f t="shared" si="81"/>
        <v>1.0052132535600573</v>
      </c>
      <c r="K175" s="102">
        <f t="shared" si="81"/>
        <v>0.99000127196208443</v>
      </c>
      <c r="L175" s="102">
        <f t="shared" si="81"/>
        <v>0.99911649429129468</v>
      </c>
      <c r="M175" s="102">
        <f t="shared" si="81"/>
        <v>1.0431953104293026</v>
      </c>
      <c r="N175" s="102">
        <f>AVERAGEIF(B175:M175,"&lt;&gt;0",B175:M175)</f>
        <v>1.0298342337109543</v>
      </c>
      <c r="O175" s="384"/>
      <c r="P175" s="220"/>
      <c r="R175" s="220"/>
      <c r="T175" s="220"/>
    </row>
    <row r="176" spans="1:20" ht="18.95" customHeight="1">
      <c r="A176" s="179" t="s">
        <v>115</v>
      </c>
      <c r="B176" s="103">
        <v>16184</v>
      </c>
      <c r="C176" s="103">
        <v>9191</v>
      </c>
      <c r="D176" s="103">
        <v>12968</v>
      </c>
      <c r="E176" s="103">
        <v>11405</v>
      </c>
      <c r="F176" s="103">
        <v>16180</v>
      </c>
      <c r="G176" s="103">
        <v>12543</v>
      </c>
      <c r="H176" s="103">
        <v>19362</v>
      </c>
      <c r="I176" s="103">
        <v>13076</v>
      </c>
      <c r="J176" s="103">
        <v>13297</v>
      </c>
      <c r="K176" s="103">
        <v>15499</v>
      </c>
      <c r="L176" s="103">
        <v>18701</v>
      </c>
      <c r="M176" s="103">
        <v>19000</v>
      </c>
      <c r="N176" s="99">
        <f>AVERAGE(B176:M176)</f>
        <v>14783.833333333334</v>
      </c>
      <c r="O176" s="388">
        <f>SUM(B176:M176)</f>
        <v>177406</v>
      </c>
      <c r="P176" s="220"/>
    </row>
    <row r="177" spans="1:16" ht="18.95" customHeight="1">
      <c r="A177" s="180" t="s">
        <v>111</v>
      </c>
      <c r="B177" s="102">
        <f t="shared" ref="B177:M177" si="82">B176/B136</f>
        <v>1.6681096681096681</v>
      </c>
      <c r="C177" s="102">
        <f t="shared" si="82"/>
        <v>1.2305529522024368</v>
      </c>
      <c r="D177" s="102">
        <f t="shared" si="82"/>
        <v>1.2457252641690681</v>
      </c>
      <c r="E177" s="102">
        <f t="shared" si="82"/>
        <v>1.3693120422619762</v>
      </c>
      <c r="F177" s="102">
        <f t="shared" si="82"/>
        <v>1.6048403094624082</v>
      </c>
      <c r="G177" s="102">
        <f t="shared" si="82"/>
        <v>0.89663306883980265</v>
      </c>
      <c r="H177" s="102">
        <f t="shared" si="82"/>
        <v>1.149080118694362</v>
      </c>
      <c r="I177" s="102">
        <f t="shared" si="82"/>
        <v>1.0942259414225941</v>
      </c>
      <c r="J177" s="102">
        <f t="shared" si="82"/>
        <v>1.2224878183322607</v>
      </c>
      <c r="K177" s="102">
        <f t="shared" si="82"/>
        <v>1.135125238025487</v>
      </c>
      <c r="L177" s="102">
        <f t="shared" si="82"/>
        <v>1.4073600240818784</v>
      </c>
      <c r="M177" s="102">
        <f t="shared" si="82"/>
        <v>1.1392936379444745</v>
      </c>
      <c r="N177" s="102">
        <f>AVERAGEIF(B177:M177,"&lt;&gt;0",B177:M177)</f>
        <v>1.2635621736288682</v>
      </c>
      <c r="O177" s="384"/>
      <c r="P177" s="220"/>
    </row>
    <row r="178" spans="1:16" ht="18.95" customHeight="1">
      <c r="A178" s="179" t="s">
        <v>94</v>
      </c>
      <c r="B178" s="103">
        <v>1702</v>
      </c>
      <c r="C178" s="103">
        <v>1231</v>
      </c>
      <c r="D178" s="103">
        <v>1524</v>
      </c>
      <c r="E178" s="99">
        <v>1751</v>
      </c>
      <c r="F178" s="100">
        <v>1319</v>
      </c>
      <c r="G178" s="100">
        <v>1425</v>
      </c>
      <c r="H178" s="100">
        <v>1501</v>
      </c>
      <c r="I178" s="100">
        <v>1494</v>
      </c>
      <c r="J178" s="100">
        <v>1710</v>
      </c>
      <c r="K178" s="100">
        <v>1378</v>
      </c>
      <c r="L178" s="100">
        <v>1502</v>
      </c>
      <c r="M178" s="100">
        <v>1748</v>
      </c>
      <c r="N178" s="99">
        <f>AVERAGE(B178:M178)</f>
        <v>1523.75</v>
      </c>
      <c r="O178" s="383">
        <f>SUM(B178:M178)</f>
        <v>18285</v>
      </c>
    </row>
    <row r="179" spans="1:16" ht="18.95" customHeight="1">
      <c r="A179" s="180" t="s">
        <v>111</v>
      </c>
      <c r="B179" s="102">
        <f>B178/B138</f>
        <v>1.2450621799561084</v>
      </c>
      <c r="C179" s="102">
        <f>C178/C142</f>
        <v>0.62806122448979596</v>
      </c>
      <c r="D179" s="102">
        <f>D178/D142</f>
        <v>0.72467902995720401</v>
      </c>
      <c r="E179" s="102">
        <f>E178/E142</f>
        <v>0.9328716036228023</v>
      </c>
      <c r="F179" s="102">
        <f>F178/F142</f>
        <v>0.72392974753018657</v>
      </c>
      <c r="G179" s="102">
        <f>G178/G142</f>
        <v>0.86206896551724133</v>
      </c>
      <c r="H179" s="102">
        <f t="shared" ref="H179:M179" si="83">H178/H138</f>
        <v>0.98620236530880423</v>
      </c>
      <c r="I179" s="102">
        <f t="shared" si="83"/>
        <v>0.9455696202531646</v>
      </c>
      <c r="J179" s="102">
        <f t="shared" si="83"/>
        <v>1.2136266855926188</v>
      </c>
      <c r="K179" s="102">
        <f t="shared" si="83"/>
        <v>1.1360263808738664</v>
      </c>
      <c r="L179" s="102">
        <f t="shared" si="83"/>
        <v>0.9158536585365854</v>
      </c>
      <c r="M179" s="102">
        <f t="shared" si="83"/>
        <v>1.4292722812755518</v>
      </c>
      <c r="N179" s="102">
        <f>AVERAGEIF(B179:M179,"&lt;&gt;0",B179:M179)</f>
        <v>0.97860197857616082</v>
      </c>
      <c r="O179" s="384"/>
    </row>
    <row r="180" spans="1:16" ht="18.95" customHeight="1">
      <c r="A180" s="179" t="s">
        <v>95</v>
      </c>
      <c r="B180" s="103">
        <v>12264</v>
      </c>
      <c r="C180" s="103">
        <v>6995</v>
      </c>
      <c r="D180" s="103">
        <v>7455</v>
      </c>
      <c r="E180" s="103">
        <v>10223</v>
      </c>
      <c r="F180" s="103">
        <v>11098</v>
      </c>
      <c r="G180" s="103">
        <v>10060</v>
      </c>
      <c r="H180" s="103">
        <v>13285</v>
      </c>
      <c r="I180" s="103">
        <v>10674</v>
      </c>
      <c r="J180" s="103">
        <v>10354</v>
      </c>
      <c r="K180" s="103">
        <v>10636</v>
      </c>
      <c r="L180" s="103">
        <v>11996</v>
      </c>
      <c r="M180" s="103">
        <v>12011</v>
      </c>
      <c r="N180" s="99">
        <f>AVERAGE(B180:M180)</f>
        <v>10587.583333333334</v>
      </c>
      <c r="O180" s="383">
        <f>SUM(B180:M180)</f>
        <v>127051</v>
      </c>
    </row>
    <row r="181" spans="1:16" ht="18.95" customHeight="1">
      <c r="A181" s="180" t="s">
        <v>111</v>
      </c>
      <c r="B181" s="102">
        <f t="shared" ref="B181:M181" si="84">B180/B140</f>
        <v>1.5851105079488175</v>
      </c>
      <c r="C181" s="102">
        <f t="shared" si="84"/>
        <v>0.82091303837577745</v>
      </c>
      <c r="D181" s="102">
        <f t="shared" si="84"/>
        <v>0.66544675533339281</v>
      </c>
      <c r="E181" s="102">
        <f t="shared" si="84"/>
        <v>1.1874782204669532</v>
      </c>
      <c r="F181" s="102">
        <f t="shared" si="84"/>
        <v>1.0389440179741622</v>
      </c>
      <c r="G181" s="102">
        <f t="shared" si="84"/>
        <v>0.94177120389440183</v>
      </c>
      <c r="H181" s="102">
        <f t="shared" si="84"/>
        <v>1.0920674064940403</v>
      </c>
      <c r="I181" s="102">
        <f t="shared" si="84"/>
        <v>1.0427901524032825</v>
      </c>
      <c r="J181" s="102">
        <f t="shared" si="84"/>
        <v>1.0540568054565815</v>
      </c>
      <c r="K181" s="102">
        <f t="shared" si="84"/>
        <v>1.0055781412498819</v>
      </c>
      <c r="L181" s="102">
        <f t="shared" si="84"/>
        <v>1.0520961234871076</v>
      </c>
      <c r="M181" s="102">
        <f t="shared" si="84"/>
        <v>1.1143997030989052</v>
      </c>
      <c r="N181" s="102">
        <f>AVERAGEIF(B181:M181,"&lt;&gt;0",B181:M181)</f>
        <v>1.050054339681942</v>
      </c>
      <c r="O181" s="384"/>
    </row>
    <row r="182" spans="1:16" ht="18.95" customHeight="1">
      <c r="A182" s="179" t="s">
        <v>96</v>
      </c>
      <c r="B182" s="103">
        <v>1901</v>
      </c>
      <c r="C182" s="103">
        <v>1564</v>
      </c>
      <c r="D182" s="103">
        <v>1714</v>
      </c>
      <c r="E182" s="103">
        <v>1652</v>
      </c>
      <c r="F182" s="100">
        <v>1844</v>
      </c>
      <c r="G182" s="100">
        <v>1753</v>
      </c>
      <c r="H182" s="100">
        <v>1907</v>
      </c>
      <c r="I182" s="100">
        <v>1835</v>
      </c>
      <c r="J182" s="100">
        <v>1687</v>
      </c>
      <c r="K182" s="100">
        <v>1765</v>
      </c>
      <c r="L182" s="103">
        <v>1742</v>
      </c>
      <c r="M182" s="103">
        <v>1794</v>
      </c>
      <c r="N182" s="99">
        <f>AVERAGE(B182:M182)</f>
        <v>1763.1666666666667</v>
      </c>
      <c r="O182" s="383">
        <f>SUM(B182:M182)</f>
        <v>21158</v>
      </c>
    </row>
    <row r="183" spans="1:16" ht="18.95" customHeight="1">
      <c r="A183" s="180" t="s">
        <v>111</v>
      </c>
      <c r="B183" s="102">
        <f t="shared" ref="B183:M183" si="85">B182/B142</f>
        <v>0.9679226069246436</v>
      </c>
      <c r="C183" s="102">
        <f t="shared" si="85"/>
        <v>0.79795918367346941</v>
      </c>
      <c r="D183" s="102">
        <f t="shared" si="85"/>
        <v>0.81502615311459814</v>
      </c>
      <c r="E183" s="102">
        <f t="shared" si="85"/>
        <v>0.88012786361214701</v>
      </c>
      <c r="F183" s="102">
        <f t="shared" si="85"/>
        <v>1.0120746432491767</v>
      </c>
      <c r="G183" s="102">
        <f t="shared" si="85"/>
        <v>1.0604960677555959</v>
      </c>
      <c r="H183" s="102">
        <f t="shared" si="85"/>
        <v>1.0269251480883146</v>
      </c>
      <c r="I183" s="102">
        <f t="shared" si="85"/>
        <v>0.9683377308707124</v>
      </c>
      <c r="J183" s="102">
        <f t="shared" si="85"/>
        <v>1.0745222929936307</v>
      </c>
      <c r="K183" s="102">
        <f t="shared" si="85"/>
        <v>1.0172910662824208</v>
      </c>
      <c r="L183" s="102">
        <f t="shared" si="85"/>
        <v>1.0181180596142607</v>
      </c>
      <c r="M183" s="102">
        <f t="shared" si="85"/>
        <v>1.0800722456351595</v>
      </c>
      <c r="N183" s="102">
        <f>AVERAGEIF(B183:M183,"&lt;&gt;0",B183:M183)</f>
        <v>0.97657275515117759</v>
      </c>
      <c r="O183" s="384"/>
    </row>
    <row r="184" spans="1:16" ht="18.95" customHeight="1">
      <c r="A184" s="179" t="s">
        <v>97</v>
      </c>
      <c r="B184" s="103">
        <v>11922</v>
      </c>
      <c r="C184" s="103">
        <v>8063</v>
      </c>
      <c r="D184" s="103">
        <v>10659</v>
      </c>
      <c r="E184" s="103">
        <v>8535</v>
      </c>
      <c r="F184" s="103">
        <v>9608</v>
      </c>
      <c r="G184" s="103">
        <v>8888</v>
      </c>
      <c r="H184" s="103">
        <v>9980</v>
      </c>
      <c r="I184" s="103">
        <v>10494</v>
      </c>
      <c r="J184" s="103">
        <v>9616</v>
      </c>
      <c r="K184" s="103">
        <v>9901</v>
      </c>
      <c r="L184" s="103">
        <v>10364</v>
      </c>
      <c r="M184" s="103">
        <v>11075</v>
      </c>
      <c r="N184" s="99">
        <f>AVERAGE(B184:M184)</f>
        <v>9925.4166666666661</v>
      </c>
      <c r="O184" s="383">
        <f>SUM(B184:M184)</f>
        <v>119105</v>
      </c>
    </row>
    <row r="185" spans="1:16" ht="18.95" customHeight="1">
      <c r="A185" s="180" t="s">
        <v>25</v>
      </c>
      <c r="B185" s="102">
        <f t="shared" ref="B185:M185" si="86">B184/B144</f>
        <v>1.853544776119403</v>
      </c>
      <c r="C185" s="102">
        <f t="shared" si="86"/>
        <v>0.87054631828978624</v>
      </c>
      <c r="D185" s="102">
        <f t="shared" si="86"/>
        <v>0.98257743362831862</v>
      </c>
      <c r="E185" s="102">
        <f t="shared" si="86"/>
        <v>1.1106050748210801</v>
      </c>
      <c r="F185" s="102">
        <f t="shared" si="86"/>
        <v>0.95091053048297702</v>
      </c>
      <c r="G185" s="102">
        <f t="shared" si="86"/>
        <v>0.88667198723064644</v>
      </c>
      <c r="H185" s="102">
        <f t="shared" si="86"/>
        <v>0.95740598618572526</v>
      </c>
      <c r="I185" s="102">
        <f t="shared" si="86"/>
        <v>0.92222515159504348</v>
      </c>
      <c r="J185" s="102">
        <f t="shared" si="86"/>
        <v>1.0011452368558043</v>
      </c>
      <c r="K185" s="102">
        <f t="shared" si="86"/>
        <v>1.015278917145201</v>
      </c>
      <c r="L185" s="102">
        <f t="shared" si="86"/>
        <v>0.95423994107356602</v>
      </c>
      <c r="M185" s="102">
        <f t="shared" si="86"/>
        <v>1.1902203116603975</v>
      </c>
      <c r="N185" s="102">
        <f>AVERAGEIF(B185:M185,"&lt;&gt;0",B185:M185)</f>
        <v>1.057947638757329</v>
      </c>
      <c r="O185" s="384"/>
    </row>
    <row r="186" spans="1:16" ht="18.95" customHeight="1">
      <c r="A186" s="179" t="s">
        <v>98</v>
      </c>
      <c r="B186" s="103">
        <v>1914</v>
      </c>
      <c r="C186" s="103">
        <v>1348</v>
      </c>
      <c r="D186" s="103">
        <v>1416</v>
      </c>
      <c r="E186" s="103">
        <v>1265</v>
      </c>
      <c r="F186" s="100">
        <v>1300</v>
      </c>
      <c r="G186" s="100">
        <v>1558</v>
      </c>
      <c r="H186" s="100">
        <v>1564</v>
      </c>
      <c r="I186" s="100">
        <v>1595</v>
      </c>
      <c r="J186" s="100">
        <v>1811</v>
      </c>
      <c r="K186" s="100">
        <v>1573</v>
      </c>
      <c r="L186" s="100">
        <v>1726</v>
      </c>
      <c r="M186" s="100">
        <v>1873</v>
      </c>
      <c r="N186" s="99">
        <f>AVERAGE(B186:M186)</f>
        <v>1578.5833333333333</v>
      </c>
      <c r="O186" s="383">
        <f>SUM(B186:M186)</f>
        <v>18943</v>
      </c>
    </row>
    <row r="187" spans="1:16" ht="18.95" customHeight="1">
      <c r="A187" s="180" t="s">
        <v>111</v>
      </c>
      <c r="B187" s="102">
        <f t="shared" ref="B187:M187" si="87">B186/B146</f>
        <v>1.1635258358662615</v>
      </c>
      <c r="C187" s="102">
        <f t="shared" si="87"/>
        <v>1.1433418150975403</v>
      </c>
      <c r="D187" s="102">
        <f t="shared" si="87"/>
        <v>0.946524064171123</v>
      </c>
      <c r="E187" s="102">
        <f t="shared" si="87"/>
        <v>0.96197718631178708</v>
      </c>
      <c r="F187" s="102">
        <f t="shared" si="87"/>
        <v>0.98484848484848486</v>
      </c>
      <c r="G187" s="102">
        <f t="shared" si="87"/>
        <v>1.1758490566037736</v>
      </c>
      <c r="H187" s="102">
        <f t="shared" si="87"/>
        <v>0.89988492520138086</v>
      </c>
      <c r="I187" s="102">
        <f t="shared" si="87"/>
        <v>0.9719683120048751</v>
      </c>
      <c r="J187" s="102">
        <f t="shared" si="87"/>
        <v>1.1985440105890139</v>
      </c>
      <c r="K187" s="102">
        <f t="shared" si="87"/>
        <v>0.91559953434225849</v>
      </c>
      <c r="L187" s="102">
        <f t="shared" si="87"/>
        <v>1.0347721822541966</v>
      </c>
      <c r="M187" s="102">
        <f t="shared" si="87"/>
        <v>0.98527091004734346</v>
      </c>
      <c r="N187" s="102">
        <f>AVERAGEIF(B187:M187,"&lt;&gt;0",B187:M187)</f>
        <v>1.0318421931115032</v>
      </c>
      <c r="O187" s="384"/>
    </row>
    <row r="188" spans="1:16" ht="18.95" customHeight="1">
      <c r="A188" s="179" t="s">
        <v>120</v>
      </c>
      <c r="B188" s="103">
        <v>240</v>
      </c>
      <c r="C188" s="103">
        <v>209</v>
      </c>
      <c r="D188" s="103">
        <v>141</v>
      </c>
      <c r="E188" s="103">
        <v>166</v>
      </c>
      <c r="F188" s="103">
        <v>179</v>
      </c>
      <c r="G188" s="103">
        <v>182</v>
      </c>
      <c r="H188" s="103">
        <v>193</v>
      </c>
      <c r="I188" s="100">
        <v>225</v>
      </c>
      <c r="J188" s="100">
        <v>241</v>
      </c>
      <c r="K188" s="100">
        <v>206</v>
      </c>
      <c r="L188" s="100">
        <v>292</v>
      </c>
      <c r="M188" s="100">
        <v>270</v>
      </c>
      <c r="N188" s="99">
        <f>AVERAGE(B188:M188)</f>
        <v>212</v>
      </c>
      <c r="O188" s="383">
        <f>SUM(B188:M188)</f>
        <v>2544</v>
      </c>
    </row>
    <row r="189" spans="1:16" ht="18.95" customHeight="1" thickBot="1">
      <c r="A189" s="189" t="s">
        <v>25</v>
      </c>
      <c r="B189" s="191">
        <f t="shared" ref="B189:M189" si="88">B188/B148</f>
        <v>0.87912087912087911</v>
      </c>
      <c r="C189" s="191">
        <f t="shared" si="88"/>
        <v>0.93721973094170408</v>
      </c>
      <c r="D189" s="191">
        <f t="shared" si="88"/>
        <v>0.77472527472527475</v>
      </c>
      <c r="E189" s="191">
        <f t="shared" si="88"/>
        <v>0.92737430167597767</v>
      </c>
      <c r="F189" s="191">
        <f t="shared" si="88"/>
        <v>1.1329113924050633</v>
      </c>
      <c r="G189" s="191">
        <f t="shared" si="88"/>
        <v>0.8125</v>
      </c>
      <c r="H189" s="191">
        <f t="shared" si="88"/>
        <v>0.83913043478260874</v>
      </c>
      <c r="I189" s="190">
        <f t="shared" si="88"/>
        <v>1.0765550239234449</v>
      </c>
      <c r="J189" s="190">
        <f t="shared" si="88"/>
        <v>0.82534246575342463</v>
      </c>
      <c r="K189" s="190">
        <f t="shared" si="88"/>
        <v>0.95370370370370372</v>
      </c>
      <c r="L189" s="190">
        <f t="shared" si="88"/>
        <v>1.0465949820788532</v>
      </c>
      <c r="M189" s="190">
        <f t="shared" si="88"/>
        <v>1.0975609756097562</v>
      </c>
      <c r="N189" s="191">
        <f>AVERAGEIF(B189:M189,"&lt;&gt;0",B189:M189)</f>
        <v>0.94189493039339078</v>
      </c>
      <c r="O189" s="385"/>
    </row>
    <row r="190" spans="1:16" ht="18.95" customHeight="1" thickTop="1">
      <c r="A190" s="211" t="s">
        <v>99</v>
      </c>
      <c r="B190" s="212">
        <f t="shared" ref="B190:N190" si="89">B174+B176+B178+B180+B182+B184+B186+B188</f>
        <v>470475</v>
      </c>
      <c r="C190" s="212">
        <f t="shared" si="89"/>
        <v>313536</v>
      </c>
      <c r="D190" s="212">
        <f t="shared" si="89"/>
        <v>405950</v>
      </c>
      <c r="E190" s="212">
        <f t="shared" si="89"/>
        <v>375071</v>
      </c>
      <c r="F190" s="212">
        <f t="shared" si="89"/>
        <v>401790</v>
      </c>
      <c r="G190" s="212">
        <f t="shared" si="89"/>
        <v>373657</v>
      </c>
      <c r="H190" s="212">
        <f t="shared" si="89"/>
        <v>431812</v>
      </c>
      <c r="I190" s="212">
        <f t="shared" si="89"/>
        <v>419958</v>
      </c>
      <c r="J190" s="212">
        <f t="shared" si="89"/>
        <v>383476</v>
      </c>
      <c r="K190" s="212">
        <f t="shared" si="89"/>
        <v>398988</v>
      </c>
      <c r="L190" s="212">
        <f t="shared" si="89"/>
        <v>427421</v>
      </c>
      <c r="M190" s="212">
        <f t="shared" si="89"/>
        <v>453164</v>
      </c>
      <c r="N190" s="212">
        <f t="shared" si="89"/>
        <v>404608.16666666663</v>
      </c>
      <c r="O190" s="386">
        <f>SUM(B190:M190)</f>
        <v>4855298</v>
      </c>
    </row>
    <row r="191" spans="1:16" ht="18.95" customHeight="1" thickBot="1">
      <c r="A191" s="213" t="s">
        <v>111</v>
      </c>
      <c r="B191" s="223">
        <f t="shared" ref="B191:M191" si="90">B190/B150</f>
        <v>1.4439100891865182</v>
      </c>
      <c r="C191" s="223">
        <f t="shared" si="90"/>
        <v>0.84377548191944285</v>
      </c>
      <c r="D191" s="223">
        <f t="shared" si="90"/>
        <v>0.91835788244928618</v>
      </c>
      <c r="E191" s="223">
        <f t="shared" si="90"/>
        <v>1.108316711729681</v>
      </c>
      <c r="F191" s="223">
        <f t="shared" si="90"/>
        <v>1.0225069093463224</v>
      </c>
      <c r="G191" s="223">
        <f t="shared" si="90"/>
        <v>0.99059660024814156</v>
      </c>
      <c r="H191" s="223">
        <f t="shared" si="90"/>
        <v>1.0460257938238229</v>
      </c>
      <c r="I191" s="223">
        <f t="shared" si="90"/>
        <v>0.99277095901809864</v>
      </c>
      <c r="J191" s="223">
        <f t="shared" si="90"/>
        <v>1.0143284513792821</v>
      </c>
      <c r="K191" s="223">
        <f t="shared" si="90"/>
        <v>0.99619735787531427</v>
      </c>
      <c r="L191" s="223">
        <f t="shared" si="90"/>
        <v>1.0121647990451923</v>
      </c>
      <c r="M191" s="223">
        <f t="shared" si="90"/>
        <v>1.052895227208305</v>
      </c>
      <c r="N191" s="223">
        <f>AVERAGEIF(B191:M191,"&lt;&gt;0",B191:M191)</f>
        <v>1.0368205219357838</v>
      </c>
      <c r="O191" s="387"/>
    </row>
    <row r="192" spans="1:16" ht="18.95" customHeight="1" thickBot="1">
      <c r="A192" s="192" t="s">
        <v>112</v>
      </c>
      <c r="B192" s="181"/>
      <c r="C192" s="182"/>
      <c r="D192" s="182"/>
      <c r="E192" s="182"/>
      <c r="F192" s="183"/>
      <c r="G192" s="183"/>
      <c r="H192" s="182"/>
      <c r="I192" s="182"/>
      <c r="J192" s="182"/>
      <c r="K192" s="182"/>
      <c r="L192" s="182"/>
      <c r="M192" s="182"/>
      <c r="N192" s="94"/>
      <c r="O192" s="94"/>
    </row>
    <row r="193" spans="1:15" ht="18.95" customHeight="1">
      <c r="A193" s="184" t="s">
        <v>100</v>
      </c>
      <c r="B193" s="185">
        <v>2753673</v>
      </c>
      <c r="C193" s="185">
        <v>1874868</v>
      </c>
      <c r="D193" s="185">
        <v>2456497</v>
      </c>
      <c r="E193" s="185">
        <v>2243526</v>
      </c>
      <c r="F193" s="185">
        <v>2422505</v>
      </c>
      <c r="G193" s="185">
        <v>2348098</v>
      </c>
      <c r="H193" s="185">
        <v>2549582</v>
      </c>
      <c r="I193" s="185">
        <v>2440104</v>
      </c>
      <c r="J193" s="185">
        <v>2271015</v>
      </c>
      <c r="K193" s="185">
        <v>2336004</v>
      </c>
      <c r="L193" s="185">
        <v>2475542</v>
      </c>
      <c r="M193" s="185">
        <v>2786422</v>
      </c>
      <c r="N193" s="186">
        <f>AVERAGE(B193:M193)</f>
        <v>2413153</v>
      </c>
      <c r="O193" s="389">
        <f>SUM(B193:M193)</f>
        <v>28957836</v>
      </c>
    </row>
    <row r="194" spans="1:15" ht="18.95" customHeight="1">
      <c r="A194" s="180" t="s">
        <v>25</v>
      </c>
      <c r="B194" s="102">
        <f t="shared" ref="B194:M194" si="91">B193/B153</f>
        <v>1.2981436792365217</v>
      </c>
      <c r="C194" s="102">
        <f t="shared" si="91"/>
        <v>0.89767378392548069</v>
      </c>
      <c r="D194" s="102">
        <f t="shared" si="91"/>
        <v>0.9418173550715192</v>
      </c>
      <c r="E194" s="102">
        <f t="shared" si="91"/>
        <v>1.1120167293753893</v>
      </c>
      <c r="F194" s="102">
        <f t="shared" si="91"/>
        <v>1.0733600775564749</v>
      </c>
      <c r="G194" s="102">
        <f t="shared" si="91"/>
        <v>0.98695657656370184</v>
      </c>
      <c r="H194" s="102">
        <f t="shared" si="91"/>
        <v>1.0767884481779231</v>
      </c>
      <c r="I194" s="102">
        <f t="shared" si="91"/>
        <v>1.0121708355404493</v>
      </c>
      <c r="J194" s="102">
        <f t="shared" si="91"/>
        <v>1.0159368163944547</v>
      </c>
      <c r="K194" s="102">
        <f t="shared" si="91"/>
        <v>0.98640278185376684</v>
      </c>
      <c r="L194" s="102">
        <f t="shared" si="91"/>
        <v>0.98663374090652389</v>
      </c>
      <c r="M194" s="102">
        <f t="shared" si="91"/>
        <v>1.0192900509165455</v>
      </c>
      <c r="N194" s="102">
        <f>AVERAGEIF(B194:M194,"&lt;&gt;0",B194:M194)</f>
        <v>1.0339325729598958</v>
      </c>
      <c r="O194" s="384"/>
    </row>
    <row r="195" spans="1:15" ht="18.95" customHeight="1">
      <c r="A195" s="179" t="s">
        <v>117</v>
      </c>
      <c r="B195" s="103">
        <v>323290</v>
      </c>
      <c r="C195" s="103">
        <v>169753</v>
      </c>
      <c r="D195" s="103">
        <v>259715</v>
      </c>
      <c r="E195" s="103">
        <v>209435</v>
      </c>
      <c r="F195" s="103">
        <v>255922</v>
      </c>
      <c r="G195" s="103">
        <v>243968</v>
      </c>
      <c r="H195" s="103">
        <v>310262</v>
      </c>
      <c r="I195" s="103">
        <v>215236</v>
      </c>
      <c r="J195" s="103">
        <v>257663</v>
      </c>
      <c r="K195" s="103">
        <v>253596</v>
      </c>
      <c r="L195" s="103">
        <v>247808</v>
      </c>
      <c r="M195" s="103">
        <v>330378</v>
      </c>
      <c r="N195" s="99">
        <f>AVERAGE(B195:M195)</f>
        <v>256418.83333333334</v>
      </c>
      <c r="O195" s="388">
        <f>SUM(B195:M195)</f>
        <v>3077026</v>
      </c>
    </row>
    <row r="196" spans="1:15" ht="18.95" customHeight="1">
      <c r="A196" s="180" t="s">
        <v>25</v>
      </c>
      <c r="B196" s="154">
        <f t="shared" ref="B196:M196" si="92">B195/B155</f>
        <v>2.2093968904835126</v>
      </c>
      <c r="C196" s="154">
        <f t="shared" si="92"/>
        <v>1.0470565739804101</v>
      </c>
      <c r="D196" s="154">
        <f t="shared" si="92"/>
        <v>1.3085527144476634</v>
      </c>
      <c r="E196" s="154">
        <f t="shared" si="92"/>
        <v>0.8834012434726124</v>
      </c>
      <c r="F196" s="154">
        <f t="shared" si="92"/>
        <v>1.4158345181652716</v>
      </c>
      <c r="G196" s="154">
        <f t="shared" si="92"/>
        <v>1.110661932076846</v>
      </c>
      <c r="H196" s="154">
        <f t="shared" si="92"/>
        <v>1.2681094557864836</v>
      </c>
      <c r="I196" s="154">
        <f t="shared" si="92"/>
        <v>0.84557483185618199</v>
      </c>
      <c r="J196" s="154">
        <f t="shared" si="92"/>
        <v>1.0913022117184654</v>
      </c>
      <c r="K196" s="154">
        <f t="shared" si="92"/>
        <v>1.1708844102777201</v>
      </c>
      <c r="L196" s="154">
        <f t="shared" si="92"/>
        <v>1.0931291244662455</v>
      </c>
      <c r="M196" s="154">
        <f t="shared" si="92"/>
        <v>1.0063081201436461</v>
      </c>
      <c r="N196" s="102">
        <f>AVERAGEIF(B196:M196,"&lt;&gt;0",B196:M196)</f>
        <v>1.2041843355729218</v>
      </c>
      <c r="O196" s="384"/>
    </row>
    <row r="197" spans="1:15" ht="18.95" customHeight="1">
      <c r="A197" s="187" t="s">
        <v>102</v>
      </c>
      <c r="B197" s="140">
        <v>7825</v>
      </c>
      <c r="C197" s="128">
        <v>5456</v>
      </c>
      <c r="D197" s="103">
        <v>7006</v>
      </c>
      <c r="E197" s="99">
        <v>5075</v>
      </c>
      <c r="F197" s="99">
        <v>5146</v>
      </c>
      <c r="G197" s="103">
        <v>7080</v>
      </c>
      <c r="H197" s="103">
        <v>6111</v>
      </c>
      <c r="I197" s="103">
        <v>5580</v>
      </c>
      <c r="J197" s="103">
        <v>7929</v>
      </c>
      <c r="K197" s="103">
        <v>5498</v>
      </c>
      <c r="L197" s="103">
        <v>5298</v>
      </c>
      <c r="M197" s="103">
        <v>7887</v>
      </c>
      <c r="N197" s="99">
        <f>AVERAGE(B197:M197)</f>
        <v>6324.25</v>
      </c>
      <c r="O197" s="383">
        <f>SUM(B197:M197)</f>
        <v>75891</v>
      </c>
    </row>
    <row r="198" spans="1:15" ht="18.95" customHeight="1">
      <c r="A198" s="188" t="s">
        <v>25</v>
      </c>
      <c r="B198" s="102">
        <f t="shared" ref="B198:M198" si="93">B197/B157</f>
        <v>1.8126013435255965</v>
      </c>
      <c r="C198" s="102">
        <f t="shared" si="93"/>
        <v>1.0494325831890747</v>
      </c>
      <c r="D198" s="102">
        <f t="shared" si="93"/>
        <v>1.0511627906976744</v>
      </c>
      <c r="E198" s="102">
        <f t="shared" si="93"/>
        <v>0.89128907622058307</v>
      </c>
      <c r="F198" s="102">
        <f t="shared" si="93"/>
        <v>0.95544002970664688</v>
      </c>
      <c r="G198" s="102">
        <f t="shared" si="93"/>
        <v>1.5509309967141292</v>
      </c>
      <c r="H198" s="102">
        <f t="shared" si="93"/>
        <v>0.96145374449339205</v>
      </c>
      <c r="I198" s="102">
        <f t="shared" si="93"/>
        <v>0.86018190226607061</v>
      </c>
      <c r="J198" s="102">
        <f t="shared" si="93"/>
        <v>1.4041083761289179</v>
      </c>
      <c r="K198" s="102">
        <f t="shared" si="93"/>
        <v>0.82170079210880287</v>
      </c>
      <c r="L198" s="102">
        <f t="shared" si="93"/>
        <v>0.71401617250673854</v>
      </c>
      <c r="M198" s="102">
        <f t="shared" si="93"/>
        <v>1.4033807829181495</v>
      </c>
      <c r="N198" s="102">
        <f>AVERAGEIF(B198:M198,"&lt;&gt;0",B198:M198)</f>
        <v>1.1229748825396482</v>
      </c>
      <c r="O198" s="384"/>
    </row>
    <row r="199" spans="1:15" ht="18.95" customHeight="1">
      <c r="A199" s="179" t="s">
        <v>103</v>
      </c>
      <c r="B199" s="131">
        <v>168215</v>
      </c>
      <c r="C199" s="103">
        <v>113729</v>
      </c>
      <c r="D199" s="103">
        <v>103777</v>
      </c>
      <c r="E199" s="103">
        <v>126608</v>
      </c>
      <c r="F199" s="103">
        <v>159721</v>
      </c>
      <c r="G199" s="103">
        <v>135811</v>
      </c>
      <c r="H199" s="103">
        <v>201654</v>
      </c>
      <c r="I199" s="103">
        <v>148881</v>
      </c>
      <c r="J199" s="103">
        <v>107787</v>
      </c>
      <c r="K199" s="103">
        <v>90020</v>
      </c>
      <c r="L199" s="103">
        <v>146340</v>
      </c>
      <c r="M199" s="103">
        <v>153131</v>
      </c>
      <c r="N199" s="99">
        <f>AVERAGE(B199:M199)</f>
        <v>137972.83333333334</v>
      </c>
      <c r="O199" s="383">
        <f>SUM(B199:M199)</f>
        <v>1655674</v>
      </c>
    </row>
    <row r="200" spans="1:15" ht="18.95" customHeight="1">
      <c r="A200" s="180" t="s">
        <v>25</v>
      </c>
      <c r="B200" s="102">
        <f t="shared" ref="B200:M200" si="94">B199/B159</f>
        <v>2.1137317483853133</v>
      </c>
      <c r="C200" s="102">
        <f t="shared" si="94"/>
        <v>1.3628563553787343</v>
      </c>
      <c r="D200" s="102">
        <f t="shared" si="94"/>
        <v>0.75628188310741873</v>
      </c>
      <c r="E200" s="102">
        <f t="shared" si="94"/>
        <v>1.2936872866981384</v>
      </c>
      <c r="F200" s="102">
        <f t="shared" si="94"/>
        <v>1.1177429739110962</v>
      </c>
      <c r="G200" s="102">
        <f t="shared" si="94"/>
        <v>0.98159832896058752</v>
      </c>
      <c r="H200" s="102">
        <f t="shared" si="94"/>
        <v>1.0277981651376147</v>
      </c>
      <c r="I200" s="102">
        <f t="shared" si="94"/>
        <v>1.3060424232854362</v>
      </c>
      <c r="J200" s="102">
        <f t="shared" si="94"/>
        <v>0.89283820946953385</v>
      </c>
      <c r="K200" s="102">
        <f t="shared" si="94"/>
        <v>0.58390846349436976</v>
      </c>
      <c r="L200" s="102">
        <f t="shared" si="94"/>
        <v>0.81625140141563901</v>
      </c>
      <c r="M200" s="102">
        <f t="shared" si="94"/>
        <v>1.1495285709996097</v>
      </c>
      <c r="N200" s="102">
        <f>AVERAGEIF(B200:M200,"&lt;&gt;0",B200:M200)</f>
        <v>1.1168554841869578</v>
      </c>
      <c r="O200" s="384"/>
    </row>
    <row r="201" spans="1:15" ht="18.95" customHeight="1">
      <c r="A201" s="179" t="s">
        <v>104</v>
      </c>
      <c r="B201" s="103">
        <v>21698</v>
      </c>
      <c r="C201" s="103">
        <v>15311</v>
      </c>
      <c r="D201" s="103">
        <v>17559</v>
      </c>
      <c r="E201" s="103">
        <v>18099</v>
      </c>
      <c r="F201" s="103">
        <v>21129</v>
      </c>
      <c r="G201" s="103">
        <v>20893</v>
      </c>
      <c r="H201" s="103">
        <v>20385</v>
      </c>
      <c r="I201" s="103">
        <v>18152</v>
      </c>
      <c r="J201" s="103">
        <v>16156</v>
      </c>
      <c r="K201" s="103">
        <v>15671</v>
      </c>
      <c r="L201" s="103">
        <v>14842</v>
      </c>
      <c r="M201" s="103">
        <v>17818</v>
      </c>
      <c r="N201" s="99">
        <f>AVERAGE(B201:M201)</f>
        <v>18142.75</v>
      </c>
      <c r="O201" s="383">
        <f>SUM(B201:M201)</f>
        <v>217713</v>
      </c>
    </row>
    <row r="202" spans="1:15" ht="18.95" customHeight="1">
      <c r="A202" s="180" t="s">
        <v>25</v>
      </c>
      <c r="B202" s="102">
        <f t="shared" ref="B202:M202" si="95">B201/B161</f>
        <v>1.0652462074721389</v>
      </c>
      <c r="C202" s="102">
        <f t="shared" si="95"/>
        <v>0.77712922545934426</v>
      </c>
      <c r="D202" s="102">
        <f t="shared" si="95"/>
        <v>0.83909968460288631</v>
      </c>
      <c r="E202" s="102">
        <f t="shared" si="95"/>
        <v>1.0095944664472583</v>
      </c>
      <c r="F202" s="102">
        <f t="shared" si="95"/>
        <v>0.94880775966590325</v>
      </c>
      <c r="G202" s="102">
        <f t="shared" si="95"/>
        <v>1.101951476793249</v>
      </c>
      <c r="H202" s="102">
        <f t="shared" si="95"/>
        <v>1.0199129434132186</v>
      </c>
      <c r="I202" s="104">
        <f t="shared" si="95"/>
        <v>0.91797309598462629</v>
      </c>
      <c r="J202" s="104">
        <f t="shared" si="95"/>
        <v>0.95909765509053135</v>
      </c>
      <c r="K202" s="104">
        <f t="shared" si="95"/>
        <v>0.92727810650887577</v>
      </c>
      <c r="L202" s="104">
        <f t="shared" si="95"/>
        <v>0.84176497277676954</v>
      </c>
      <c r="M202" s="104">
        <f t="shared" si="95"/>
        <v>1.1824275001659035</v>
      </c>
      <c r="N202" s="102">
        <f>AVERAGEIF(B202:M202,"&lt;&gt;0",B202:M202)</f>
        <v>0.96585692453172545</v>
      </c>
      <c r="O202" s="384"/>
    </row>
    <row r="203" spans="1:15" ht="18.95" customHeight="1">
      <c r="A203" s="179" t="s">
        <v>105</v>
      </c>
      <c r="B203" s="103">
        <v>20762</v>
      </c>
      <c r="C203" s="103">
        <v>13747</v>
      </c>
      <c r="D203" s="103">
        <v>18190</v>
      </c>
      <c r="E203" s="103">
        <v>15464</v>
      </c>
      <c r="F203" s="103">
        <v>15822</v>
      </c>
      <c r="G203" s="103">
        <v>14863</v>
      </c>
      <c r="H203" s="103">
        <v>16276</v>
      </c>
      <c r="I203" s="103">
        <v>16997</v>
      </c>
      <c r="J203" s="103">
        <v>15624</v>
      </c>
      <c r="K203" s="103">
        <v>16532</v>
      </c>
      <c r="L203" s="103">
        <v>16877</v>
      </c>
      <c r="M203" s="103">
        <v>17616</v>
      </c>
      <c r="N203" s="99">
        <f>AVERAGE(B203:M203)</f>
        <v>16564.166666666668</v>
      </c>
      <c r="O203" s="383">
        <f>SUM(B203:M203)</f>
        <v>198770</v>
      </c>
    </row>
    <row r="204" spans="1:15" ht="18.95" customHeight="1">
      <c r="A204" s="180" t="s">
        <v>25</v>
      </c>
      <c r="B204" s="102">
        <f t="shared" ref="B204:M204" si="96">B203/B163</f>
        <v>1.6860484001949001</v>
      </c>
      <c r="C204" s="102">
        <f t="shared" si="96"/>
        <v>0.86166478626049892</v>
      </c>
      <c r="D204" s="102">
        <f t="shared" si="96"/>
        <v>0.90931813637272541</v>
      </c>
      <c r="E204" s="102">
        <f t="shared" si="96"/>
        <v>1.1553231228987673</v>
      </c>
      <c r="F204" s="102">
        <f t="shared" si="96"/>
        <v>0.92873914064334351</v>
      </c>
      <c r="G204" s="102">
        <f t="shared" si="96"/>
        <v>0.857348869404707</v>
      </c>
      <c r="H204" s="102">
        <f t="shared" si="96"/>
        <v>0.88078359218572433</v>
      </c>
      <c r="I204" s="104">
        <f t="shared" si="96"/>
        <v>0.90007413683541626</v>
      </c>
      <c r="J204" s="104">
        <f t="shared" si="96"/>
        <v>0.91636363636363638</v>
      </c>
      <c r="K204" s="104">
        <f t="shared" si="96"/>
        <v>1.0099578471501007</v>
      </c>
      <c r="L204" s="104">
        <f t="shared" si="96"/>
        <v>0.91972752043596728</v>
      </c>
      <c r="M204" s="104">
        <f t="shared" si="96"/>
        <v>1.131261238119702</v>
      </c>
      <c r="N204" s="102">
        <f>AVERAGEIF(B204:M204,"&lt;&gt;0",B204:M204)</f>
        <v>1.0130508689054576</v>
      </c>
      <c r="O204" s="384"/>
    </row>
    <row r="205" spans="1:15" ht="18.95" customHeight="1">
      <c r="A205" s="179" t="s">
        <v>106</v>
      </c>
      <c r="B205" s="103">
        <v>10442</v>
      </c>
      <c r="C205" s="103">
        <v>7693</v>
      </c>
      <c r="D205" s="103">
        <v>7629</v>
      </c>
      <c r="E205" s="103">
        <v>5920</v>
      </c>
      <c r="F205" s="103">
        <v>6140</v>
      </c>
      <c r="G205" s="103">
        <v>7277</v>
      </c>
      <c r="H205" s="103">
        <v>7561</v>
      </c>
      <c r="I205" s="103">
        <v>7237</v>
      </c>
      <c r="J205" s="103">
        <v>8633</v>
      </c>
      <c r="K205" s="103">
        <v>7728</v>
      </c>
      <c r="L205" s="103">
        <v>8540</v>
      </c>
      <c r="M205" s="103">
        <v>9823</v>
      </c>
      <c r="N205" s="99">
        <f>AVERAGE(B205:M205)</f>
        <v>7885.25</v>
      </c>
      <c r="O205" s="383">
        <f>SUM(B205:M205)</f>
        <v>94623</v>
      </c>
    </row>
    <row r="206" spans="1:15" ht="18.95" customHeight="1">
      <c r="A206" s="180" t="s">
        <v>25</v>
      </c>
      <c r="B206" s="102">
        <f t="shared" ref="B206:M206" si="97">B205/B165</f>
        <v>1.1332754504015627</v>
      </c>
      <c r="C206" s="102">
        <f t="shared" si="97"/>
        <v>1.1684386391251518</v>
      </c>
      <c r="D206" s="102">
        <f t="shared" si="97"/>
        <v>0.97970977269808657</v>
      </c>
      <c r="E206" s="102">
        <f t="shared" si="97"/>
        <v>0.89574822212134964</v>
      </c>
      <c r="F206" s="102">
        <f t="shared" si="97"/>
        <v>0.9900032247662045</v>
      </c>
      <c r="G206" s="102">
        <f t="shared" si="97"/>
        <v>1.1306712243629584</v>
      </c>
      <c r="H206" s="102">
        <f t="shared" si="97"/>
        <v>0.83316804407713496</v>
      </c>
      <c r="I206" s="104">
        <f t="shared" si="97"/>
        <v>0.88461068329055126</v>
      </c>
      <c r="J206" s="104">
        <f t="shared" si="97"/>
        <v>1.1774413529732679</v>
      </c>
      <c r="K206" s="104">
        <f t="shared" si="97"/>
        <v>1.0964812712826333</v>
      </c>
      <c r="L206" s="104">
        <f t="shared" si="97"/>
        <v>1.0032894736842106</v>
      </c>
      <c r="M206" s="104">
        <f t="shared" si="97"/>
        <v>0.92113653413353336</v>
      </c>
      <c r="N206" s="102">
        <f>AVERAGEIF(B206:M206,"&lt;&gt;0",B206:M206)</f>
        <v>1.0178311577430537</v>
      </c>
      <c r="O206" s="384"/>
    </row>
    <row r="207" spans="1:15" ht="18.95" customHeight="1">
      <c r="A207" s="179" t="s">
        <v>118</v>
      </c>
      <c r="B207" s="103">
        <v>1412</v>
      </c>
      <c r="C207" s="103">
        <v>1348</v>
      </c>
      <c r="D207" s="103">
        <v>867</v>
      </c>
      <c r="E207" s="103">
        <v>1051</v>
      </c>
      <c r="F207" s="103">
        <v>1005</v>
      </c>
      <c r="G207" s="103">
        <v>1027</v>
      </c>
      <c r="H207" s="103">
        <v>1161</v>
      </c>
      <c r="I207" s="103">
        <v>1339</v>
      </c>
      <c r="J207" s="103">
        <v>1299</v>
      </c>
      <c r="K207" s="103">
        <v>1267</v>
      </c>
      <c r="L207" s="103">
        <v>1813</v>
      </c>
      <c r="M207" s="103">
        <v>1839</v>
      </c>
      <c r="N207" s="99">
        <f>AVERAGE(B207:M207)</f>
        <v>1285.6666666666667</v>
      </c>
      <c r="O207" s="383">
        <f>SUM(B207:M207)</f>
        <v>15428</v>
      </c>
    </row>
    <row r="208" spans="1:15" ht="18.95" customHeight="1" thickBot="1">
      <c r="A208" s="189" t="s">
        <v>25</v>
      </c>
      <c r="B208" s="191">
        <f t="shared" ref="B208:M208" si="98">B207/B167</f>
        <v>0.92590163934426228</v>
      </c>
      <c r="C208" s="191">
        <f t="shared" si="98"/>
        <v>1.1908127208480566</v>
      </c>
      <c r="D208" s="191">
        <f t="shared" si="98"/>
        <v>0.94239130434782614</v>
      </c>
      <c r="E208" s="191">
        <f t="shared" si="98"/>
        <v>0.98500468603561386</v>
      </c>
      <c r="F208" s="191">
        <f t="shared" si="98"/>
        <v>0.86712683347713548</v>
      </c>
      <c r="G208" s="191">
        <f t="shared" si="98"/>
        <v>0.85512073272273104</v>
      </c>
      <c r="H208" s="191">
        <f t="shared" si="98"/>
        <v>0.93704600484261502</v>
      </c>
      <c r="I208" s="190">
        <f t="shared" si="98"/>
        <v>1.1860053144375553</v>
      </c>
      <c r="J208" s="190">
        <f t="shared" si="98"/>
        <v>0.81852551984877131</v>
      </c>
      <c r="K208" s="190">
        <f t="shared" si="98"/>
        <v>0.99139280125195617</v>
      </c>
      <c r="L208" s="190">
        <f t="shared" si="98"/>
        <v>1.1849673202614379</v>
      </c>
      <c r="M208" s="190">
        <f t="shared" si="98"/>
        <v>1.2450914014895058</v>
      </c>
      <c r="N208" s="191">
        <f>AVERAGEIF(B208:M208,"&lt;&gt;0",B208:M208)</f>
        <v>1.0107821899089553</v>
      </c>
      <c r="O208" s="385"/>
    </row>
    <row r="209" spans="1:20" ht="18.95" customHeight="1" thickTop="1">
      <c r="A209" s="211" t="s">
        <v>107</v>
      </c>
      <c r="B209" s="215">
        <f t="shared" ref="B209:M209" si="99">B193+B195+B197+B199+B201+B203+B205+B207</f>
        <v>3307317</v>
      </c>
      <c r="C209" s="215">
        <f t="shared" si="99"/>
        <v>2201905</v>
      </c>
      <c r="D209" s="215">
        <f t="shared" si="99"/>
        <v>2871240</v>
      </c>
      <c r="E209" s="215">
        <f t="shared" si="99"/>
        <v>2625178</v>
      </c>
      <c r="F209" s="215">
        <f t="shared" si="99"/>
        <v>2887390</v>
      </c>
      <c r="G209" s="215">
        <f t="shared" si="99"/>
        <v>2779017</v>
      </c>
      <c r="H209" s="215">
        <f t="shared" si="99"/>
        <v>3112992</v>
      </c>
      <c r="I209" s="215">
        <f t="shared" si="99"/>
        <v>2853526</v>
      </c>
      <c r="J209" s="215">
        <f t="shared" si="99"/>
        <v>2686106</v>
      </c>
      <c r="K209" s="215">
        <f t="shared" si="99"/>
        <v>2726316</v>
      </c>
      <c r="L209" s="215">
        <f t="shared" si="99"/>
        <v>2917060</v>
      </c>
      <c r="M209" s="215">
        <f t="shared" si="99"/>
        <v>3324914</v>
      </c>
      <c r="N209" s="215">
        <f>AVERAGEIF(B209:M209,"&lt;&gt;0",B209:M209)</f>
        <v>2857746.75</v>
      </c>
      <c r="O209" s="386">
        <f>SUM(B209:M209)</f>
        <v>34292961</v>
      </c>
    </row>
    <row r="210" spans="1:20" ht="18.95" customHeight="1" thickBot="1">
      <c r="A210" s="213" t="s">
        <v>111</v>
      </c>
      <c r="B210" s="223">
        <f t="shared" ref="B210:M210" si="100">B209/B169</f>
        <v>1.3809919891769333</v>
      </c>
      <c r="C210" s="223">
        <f t="shared" si="100"/>
        <v>0.92411054719189634</v>
      </c>
      <c r="D210" s="223">
        <f t="shared" si="100"/>
        <v>0.95700056895277696</v>
      </c>
      <c r="E210" s="223">
        <f t="shared" si="100"/>
        <v>1.0951223429440315</v>
      </c>
      <c r="F210" s="214">
        <f t="shared" si="100"/>
        <v>1.096765567352328</v>
      </c>
      <c r="G210" s="214">
        <f t="shared" si="100"/>
        <v>0.99762065877023098</v>
      </c>
      <c r="H210" s="214">
        <f t="shared" si="100"/>
        <v>1.0870273618724435</v>
      </c>
      <c r="I210" s="214">
        <f t="shared" si="100"/>
        <v>1.006976606313317</v>
      </c>
      <c r="J210" s="214">
        <f t="shared" si="100"/>
        <v>1.0172020020593173</v>
      </c>
      <c r="K210" s="214">
        <f t="shared" si="100"/>
        <v>0.97814041397165086</v>
      </c>
      <c r="L210" s="214">
        <f t="shared" si="100"/>
        <v>0.98267072078779127</v>
      </c>
      <c r="M210" s="214">
        <f t="shared" si="100"/>
        <v>1.0250658987979442</v>
      </c>
      <c r="N210" s="216">
        <f>AVERAGEIF(B210:M210,"&lt;&gt;0",B210:M210)</f>
        <v>1.0457245565158886</v>
      </c>
      <c r="O210" s="387"/>
    </row>
    <row r="212" spans="1:20" ht="16.5">
      <c r="A212" s="1" t="s">
        <v>122</v>
      </c>
      <c r="B212" s="95">
        <v>25</v>
      </c>
      <c r="C212" s="95">
        <v>18</v>
      </c>
      <c r="D212" s="95">
        <v>26</v>
      </c>
      <c r="E212" s="95">
        <v>24</v>
      </c>
      <c r="F212" s="95">
        <v>26</v>
      </c>
      <c r="G212" s="95">
        <v>23</v>
      </c>
      <c r="H212" s="95">
        <v>25</v>
      </c>
      <c r="I212" s="95">
        <v>27</v>
      </c>
      <c r="J212" s="95">
        <v>24</v>
      </c>
      <c r="K212" s="95">
        <v>23</v>
      </c>
      <c r="L212" s="95">
        <v>26</v>
      </c>
      <c r="M212" s="95">
        <v>25</v>
      </c>
      <c r="N212" s="94"/>
      <c r="O212" s="94"/>
    </row>
    <row r="213" spans="1:20" ht="18.95" customHeight="1" thickBot="1"/>
    <row r="214" spans="1:20" ht="18" customHeight="1">
      <c r="A214" s="177" t="s">
        <v>123</v>
      </c>
      <c r="B214" s="168" t="s">
        <v>4</v>
      </c>
      <c r="C214" s="168" t="s">
        <v>5</v>
      </c>
      <c r="D214" s="168" t="s">
        <v>6</v>
      </c>
      <c r="E214" s="168" t="s">
        <v>7</v>
      </c>
      <c r="F214" s="168" t="s">
        <v>8</v>
      </c>
      <c r="G214" s="168" t="s">
        <v>9</v>
      </c>
      <c r="H214" s="168" t="s">
        <v>10</v>
      </c>
      <c r="I214" s="168" t="s">
        <v>11</v>
      </c>
      <c r="J214" s="168" t="s">
        <v>12</v>
      </c>
      <c r="K214" s="168" t="s">
        <v>13</v>
      </c>
      <c r="L214" s="168" t="s">
        <v>14</v>
      </c>
      <c r="M214" s="168" t="s">
        <v>15</v>
      </c>
      <c r="N214" s="168" t="s">
        <v>110</v>
      </c>
      <c r="O214" s="178" t="s">
        <v>66</v>
      </c>
    </row>
    <row r="215" spans="1:20" ht="17.45" customHeight="1">
      <c r="A215" s="179" t="s">
        <v>92</v>
      </c>
      <c r="B215" s="99">
        <v>339138</v>
      </c>
      <c r="C215" s="99">
        <v>341523</v>
      </c>
      <c r="D215" s="99">
        <v>376721</v>
      </c>
      <c r="E215" s="99">
        <v>341179</v>
      </c>
      <c r="F215" s="100">
        <v>345170</v>
      </c>
      <c r="G215" s="100">
        <v>365956</v>
      </c>
      <c r="H215" s="100">
        <v>393712</v>
      </c>
      <c r="I215" s="100">
        <v>367245</v>
      </c>
      <c r="J215" s="100">
        <v>354252</v>
      </c>
      <c r="K215" s="100">
        <v>362960</v>
      </c>
      <c r="L215" s="100">
        <v>346741</v>
      </c>
      <c r="M215" s="100">
        <v>404546</v>
      </c>
      <c r="N215" s="99">
        <f>AVERAGE(B215:M215)</f>
        <v>361595.25</v>
      </c>
      <c r="O215" s="388">
        <f>SUM(B215:M215)</f>
        <v>4339143</v>
      </c>
      <c r="P215" t="s">
        <v>124</v>
      </c>
    </row>
    <row r="216" spans="1:20" ht="17.45" customHeight="1">
      <c r="A216" s="180" t="s">
        <v>111</v>
      </c>
      <c r="B216" s="102">
        <f t="shared" ref="B216:M216" si="101">B215/B174</f>
        <v>0.79919782819761143</v>
      </c>
      <c r="C216" s="102">
        <f t="shared" si="101"/>
        <v>1.1985996806289154</v>
      </c>
      <c r="D216" s="102">
        <f t="shared" si="101"/>
        <v>1.017964023314319</v>
      </c>
      <c r="E216" s="102">
        <f t="shared" si="101"/>
        <v>1.0032492928009786</v>
      </c>
      <c r="F216" s="102">
        <f t="shared" si="101"/>
        <v>0.95810826565110951</v>
      </c>
      <c r="G216" s="102">
        <f t="shared" si="101"/>
        <v>1.0851243002182369</v>
      </c>
      <c r="H216" s="102">
        <f t="shared" si="101"/>
        <v>1.0252382688401647</v>
      </c>
      <c r="I216" s="102">
        <f t="shared" si="101"/>
        <v>0.96499940877379686</v>
      </c>
      <c r="J216" s="102">
        <f t="shared" si="101"/>
        <v>1.0275321963104769</v>
      </c>
      <c r="K216" s="102">
        <f t="shared" si="101"/>
        <v>1.0137697958271654</v>
      </c>
      <c r="L216" s="102">
        <f t="shared" si="101"/>
        <v>0.90984733585586908</v>
      </c>
      <c r="M216" s="102">
        <f t="shared" si="101"/>
        <v>0.99791066939981699</v>
      </c>
      <c r="N216" s="102">
        <f>AVERAGEIF(B216:M216,"&lt;&gt;0",B216:M216)</f>
        <v>1.0001284221515383</v>
      </c>
      <c r="O216" s="384"/>
      <c r="P216" s="220"/>
      <c r="R216" s="220"/>
      <c r="T216" s="220"/>
    </row>
    <row r="217" spans="1:20" ht="17.45" customHeight="1">
      <c r="A217" s="179" t="s">
        <v>115</v>
      </c>
      <c r="B217" s="103">
        <v>15397</v>
      </c>
      <c r="C217" s="103">
        <f>3305+8014</f>
        <v>11319</v>
      </c>
      <c r="D217" s="103">
        <v>12564</v>
      </c>
      <c r="E217" s="103">
        <v>12206</v>
      </c>
      <c r="F217" s="103">
        <v>14626</v>
      </c>
      <c r="G217" s="103">
        <v>16085</v>
      </c>
      <c r="H217" s="103">
        <v>16558</v>
      </c>
      <c r="I217" s="103">
        <v>12767</v>
      </c>
      <c r="J217" s="103">
        <v>13662</v>
      </c>
      <c r="K217" s="103">
        <v>14606</v>
      </c>
      <c r="L217" s="103">
        <v>18065</v>
      </c>
      <c r="M217" s="103">
        <v>17314</v>
      </c>
      <c r="N217" s="99">
        <f>AVERAGE(B217:M217)</f>
        <v>14597.416666666666</v>
      </c>
      <c r="O217" s="388">
        <f>SUM(B217:M217)</f>
        <v>175169</v>
      </c>
      <c r="P217" s="220"/>
    </row>
    <row r="218" spans="1:20" ht="17.45" customHeight="1">
      <c r="A218" s="180" t="s">
        <v>111</v>
      </c>
      <c r="B218" s="102">
        <f t="shared" ref="B218:M218" si="102">B217/B176</f>
        <v>0.95137172516065249</v>
      </c>
      <c r="C218" s="102">
        <f t="shared" si="102"/>
        <v>1.2315308453922316</v>
      </c>
      <c r="D218" s="102">
        <f t="shared" si="102"/>
        <v>0.96884639111659465</v>
      </c>
      <c r="E218" s="102">
        <f t="shared" si="102"/>
        <v>1.0702323542306007</v>
      </c>
      <c r="F218" s="102">
        <f t="shared" si="102"/>
        <v>0.90395550061804697</v>
      </c>
      <c r="G218" s="102">
        <f t="shared" si="102"/>
        <v>1.2823885832735391</v>
      </c>
      <c r="H218" s="102">
        <f t="shared" si="102"/>
        <v>0.85518024997417619</v>
      </c>
      <c r="I218" s="102">
        <f t="shared" si="102"/>
        <v>0.97636892015907006</v>
      </c>
      <c r="J218" s="102">
        <f t="shared" si="102"/>
        <v>1.0274498007069264</v>
      </c>
      <c r="K218" s="102">
        <f t="shared" si="102"/>
        <v>0.94238337957287566</v>
      </c>
      <c r="L218" s="102">
        <f t="shared" si="102"/>
        <v>0.96599112346933325</v>
      </c>
      <c r="M218" s="102">
        <f t="shared" si="102"/>
        <v>0.91126315789473689</v>
      </c>
      <c r="N218" s="102">
        <f>AVERAGEIF(B218:M218,"&lt;&gt;0",B218:M218)</f>
        <v>1.0072468359640652</v>
      </c>
      <c r="O218" s="384"/>
      <c r="P218" s="220"/>
    </row>
    <row r="219" spans="1:20" ht="17.45" customHeight="1">
      <c r="A219" s="179" t="s">
        <v>94</v>
      </c>
      <c r="B219" s="103">
        <v>1195</v>
      </c>
      <c r="C219" s="103">
        <v>1487</v>
      </c>
      <c r="D219" s="103">
        <v>1550</v>
      </c>
      <c r="E219" s="99">
        <v>1756</v>
      </c>
      <c r="F219" s="100">
        <v>1557</v>
      </c>
      <c r="G219" s="100">
        <v>1454</v>
      </c>
      <c r="H219" s="100">
        <v>1732</v>
      </c>
      <c r="I219" s="100">
        <v>1602</v>
      </c>
      <c r="J219" s="100">
        <v>1661</v>
      </c>
      <c r="K219" s="100">
        <v>1444</v>
      </c>
      <c r="L219" s="100">
        <v>1469</v>
      </c>
      <c r="M219" s="100">
        <v>1737</v>
      </c>
      <c r="N219" s="99">
        <f>AVERAGE(B219:M219)</f>
        <v>1553.6666666666667</v>
      </c>
      <c r="O219" s="383">
        <f>SUM(B219:M219)</f>
        <v>18644</v>
      </c>
      <c r="P219" t="s">
        <v>125</v>
      </c>
    </row>
    <row r="220" spans="1:20" ht="17.45" customHeight="1">
      <c r="A220" s="180" t="s">
        <v>111</v>
      </c>
      <c r="B220" s="102">
        <f>B219/B178</f>
        <v>0.70211515863689777</v>
      </c>
      <c r="C220" s="102">
        <f>C219/C182</f>
        <v>0.95076726342710993</v>
      </c>
      <c r="D220" s="102">
        <f>D219/D182</f>
        <v>0.90431738623103852</v>
      </c>
      <c r="E220" s="102">
        <f>E219/E182</f>
        <v>1.062953995157385</v>
      </c>
      <c r="F220" s="102">
        <f>F219/F182</f>
        <v>0.84436008676789587</v>
      </c>
      <c r="G220" s="102">
        <f>G219/G182</f>
        <v>0.82943525385054195</v>
      </c>
      <c r="H220" s="102">
        <f t="shared" ref="H220:M220" si="103">H219/H178</f>
        <v>1.1538974017321786</v>
      </c>
      <c r="I220" s="102">
        <f t="shared" si="103"/>
        <v>1.072289156626506</v>
      </c>
      <c r="J220" s="102">
        <f t="shared" si="103"/>
        <v>0.97134502923976607</v>
      </c>
      <c r="K220" s="102">
        <f t="shared" si="103"/>
        <v>1.0478955007256894</v>
      </c>
      <c r="L220" s="102">
        <f t="shared" si="103"/>
        <v>0.97802929427430096</v>
      </c>
      <c r="M220" s="102">
        <f t="shared" si="103"/>
        <v>0.99370709382151035</v>
      </c>
      <c r="N220" s="102">
        <f>AVERAGEIF(B220:M220,"&lt;&gt;0",B220:M220)</f>
        <v>0.95925938504090169</v>
      </c>
      <c r="O220" s="384"/>
    </row>
    <row r="221" spans="1:20" ht="17.45" customHeight="1">
      <c r="A221" s="179" t="s">
        <v>95</v>
      </c>
      <c r="B221" s="103">
        <v>11996</v>
      </c>
      <c r="C221" s="103">
        <v>9525</v>
      </c>
      <c r="D221" s="103">
        <v>10699</v>
      </c>
      <c r="E221" s="103">
        <v>10051</v>
      </c>
      <c r="F221" s="103">
        <v>9654</v>
      </c>
      <c r="G221" s="103">
        <v>10362</v>
      </c>
      <c r="H221" s="103">
        <v>11099</v>
      </c>
      <c r="I221" s="103">
        <v>11693</v>
      </c>
      <c r="J221" s="103">
        <v>9802</v>
      </c>
      <c r="K221" s="103">
        <v>10858</v>
      </c>
      <c r="L221" s="103">
        <v>10395</v>
      </c>
      <c r="M221" s="103">
        <v>12081</v>
      </c>
      <c r="N221" s="99">
        <f>AVERAGE(B221:M221)</f>
        <v>10684.583333333334</v>
      </c>
      <c r="O221" s="383">
        <f>SUM(B221:M221)</f>
        <v>128215</v>
      </c>
    </row>
    <row r="222" spans="1:20" ht="17.45" customHeight="1">
      <c r="A222" s="180" t="s">
        <v>111</v>
      </c>
      <c r="B222" s="102">
        <f t="shared" ref="B222:M222" si="104">B221/B180</f>
        <v>0.97814742335290283</v>
      </c>
      <c r="C222" s="102">
        <f t="shared" si="104"/>
        <v>1.3616869192280201</v>
      </c>
      <c r="D222" s="102">
        <f t="shared" si="104"/>
        <v>1.4351441985244802</v>
      </c>
      <c r="E222" s="102">
        <f t="shared" si="104"/>
        <v>0.98317519319182234</v>
      </c>
      <c r="F222" s="102">
        <f t="shared" si="104"/>
        <v>0.86988646602991526</v>
      </c>
      <c r="G222" s="102">
        <f t="shared" si="104"/>
        <v>1.0300198807157057</v>
      </c>
      <c r="H222" s="102">
        <f t="shared" si="104"/>
        <v>0.83545351900639819</v>
      </c>
      <c r="I222" s="102">
        <f t="shared" si="104"/>
        <v>1.0954656173880457</v>
      </c>
      <c r="J222" s="102">
        <f t="shared" si="104"/>
        <v>0.9466872706200502</v>
      </c>
      <c r="K222" s="102">
        <f t="shared" si="104"/>
        <v>1.0208725084618278</v>
      </c>
      <c r="L222" s="102">
        <f t="shared" si="104"/>
        <v>0.86653884628209399</v>
      </c>
      <c r="M222" s="102">
        <f t="shared" si="104"/>
        <v>1.0058279910082424</v>
      </c>
      <c r="N222" s="102">
        <f>AVERAGEIF(B222:M222,"&lt;&gt;0",B222:M222)</f>
        <v>1.0357421528174588</v>
      </c>
      <c r="O222" s="384"/>
    </row>
    <row r="223" spans="1:20" ht="17.45" customHeight="1">
      <c r="A223" s="179" t="s">
        <v>96</v>
      </c>
      <c r="B223" s="103">
        <v>1984</v>
      </c>
      <c r="C223" s="103">
        <v>1872</v>
      </c>
      <c r="D223" s="103">
        <v>1591</v>
      </c>
      <c r="E223" s="103">
        <v>1876</v>
      </c>
      <c r="F223" s="100">
        <v>1707</v>
      </c>
      <c r="G223" s="100">
        <v>1848</v>
      </c>
      <c r="H223" s="100">
        <v>2056</v>
      </c>
      <c r="I223" s="100">
        <v>2086</v>
      </c>
      <c r="J223" s="100">
        <v>2052</v>
      </c>
      <c r="K223" s="100">
        <v>1982</v>
      </c>
      <c r="L223" s="103">
        <v>1817</v>
      </c>
      <c r="M223" s="103">
        <v>2160</v>
      </c>
      <c r="N223" s="99">
        <f>AVERAGE(B223:M223)</f>
        <v>1919.25</v>
      </c>
      <c r="O223" s="383">
        <f>SUM(B223:M223)</f>
        <v>23031</v>
      </c>
    </row>
    <row r="224" spans="1:20" ht="17.45" customHeight="1">
      <c r="A224" s="180" t="s">
        <v>111</v>
      </c>
      <c r="B224" s="102">
        <f t="shared" ref="B224:M224" si="105">B223/B182</f>
        <v>1.0436612309310889</v>
      </c>
      <c r="C224" s="102">
        <f t="shared" si="105"/>
        <v>1.19693094629156</v>
      </c>
      <c r="D224" s="102">
        <f t="shared" si="105"/>
        <v>0.92823803967327889</v>
      </c>
      <c r="E224" s="102">
        <f t="shared" si="105"/>
        <v>1.1355932203389831</v>
      </c>
      <c r="F224" s="102">
        <f t="shared" si="105"/>
        <v>0.925704989154013</v>
      </c>
      <c r="G224" s="102">
        <f t="shared" si="105"/>
        <v>1.0541928123217341</v>
      </c>
      <c r="H224" s="102">
        <f t="shared" si="105"/>
        <v>1.0781331934976404</v>
      </c>
      <c r="I224" s="102">
        <f t="shared" si="105"/>
        <v>1.1367847411444141</v>
      </c>
      <c r="J224" s="102">
        <f t="shared" si="105"/>
        <v>1.2163604030823947</v>
      </c>
      <c r="K224" s="102">
        <f t="shared" si="105"/>
        <v>1.1229461756373937</v>
      </c>
      <c r="L224" s="102">
        <f t="shared" si="105"/>
        <v>1.0430539609644087</v>
      </c>
      <c r="M224" s="102">
        <f t="shared" si="105"/>
        <v>1.2040133779264215</v>
      </c>
      <c r="N224" s="102">
        <f>AVERAGEIF(B224:M224,"&lt;&gt;0",B224:M224)</f>
        <v>1.0904677575802777</v>
      </c>
      <c r="O224" s="384"/>
    </row>
    <row r="225" spans="1:16" ht="17.45" customHeight="1">
      <c r="A225" s="179" t="s">
        <v>97</v>
      </c>
      <c r="B225" s="103">
        <v>8617</v>
      </c>
      <c r="C225" s="103">
        <v>11168</v>
      </c>
      <c r="D225" s="103">
        <v>11737</v>
      </c>
      <c r="E225" s="103">
        <v>11042</v>
      </c>
      <c r="F225" s="103">
        <v>9867</v>
      </c>
      <c r="G225" s="103">
        <v>10671</v>
      </c>
      <c r="H225" s="103">
        <v>11678</v>
      </c>
      <c r="I225" s="103">
        <v>10862</v>
      </c>
      <c r="J225" s="103">
        <v>10416</v>
      </c>
      <c r="K225" s="103">
        <v>10242</v>
      </c>
      <c r="L225" s="103">
        <v>9580</v>
      </c>
      <c r="M225" s="103">
        <v>11189</v>
      </c>
      <c r="N225" s="99">
        <f>AVERAGE(B225:M225)</f>
        <v>10589.083333333334</v>
      </c>
      <c r="O225" s="383">
        <f>SUM(B225:M225)</f>
        <v>127069</v>
      </c>
    </row>
    <row r="226" spans="1:16" ht="17.45" customHeight="1">
      <c r="A226" s="180" t="s">
        <v>25</v>
      </c>
      <c r="B226" s="102">
        <f t="shared" ref="B226:M226" si="106">B225/B184</f>
        <v>0.72278141251467876</v>
      </c>
      <c r="C226" s="102">
        <f t="shared" si="106"/>
        <v>1.3850923973707057</v>
      </c>
      <c r="D226" s="102">
        <f t="shared" si="106"/>
        <v>1.1011351909184726</v>
      </c>
      <c r="E226" s="102">
        <f t="shared" si="106"/>
        <v>1.2937316930287053</v>
      </c>
      <c r="F226" s="102">
        <f t="shared" si="106"/>
        <v>1.0269567027477102</v>
      </c>
      <c r="G226" s="102">
        <f t="shared" si="106"/>
        <v>1.2006075607560756</v>
      </c>
      <c r="H226" s="102">
        <f t="shared" si="106"/>
        <v>1.1701402805611223</v>
      </c>
      <c r="I226" s="102">
        <f t="shared" si="106"/>
        <v>1.0350676577091671</v>
      </c>
      <c r="J226" s="102">
        <f t="shared" si="106"/>
        <v>1.0831946755407653</v>
      </c>
      <c r="K226" s="102">
        <f t="shared" si="106"/>
        <v>1.0344409655590345</v>
      </c>
      <c r="L226" s="102">
        <f t="shared" si="106"/>
        <v>0.92435353145503663</v>
      </c>
      <c r="M226" s="102">
        <f t="shared" si="106"/>
        <v>1.0102934537246049</v>
      </c>
      <c r="N226" s="102">
        <f>AVERAGEIF(B226:M226,"&lt;&gt;0",B226:M226)</f>
        <v>1.0823162934905066</v>
      </c>
      <c r="O226" s="384"/>
    </row>
    <row r="227" spans="1:16" ht="17.45" customHeight="1">
      <c r="A227" s="179" t="s">
        <v>98</v>
      </c>
      <c r="B227" s="103">
        <v>1440</v>
      </c>
      <c r="C227" s="103">
        <v>1498</v>
      </c>
      <c r="D227" s="103">
        <v>1219</v>
      </c>
      <c r="E227" s="103">
        <v>1355</v>
      </c>
      <c r="F227" s="100">
        <v>1346</v>
      </c>
      <c r="G227" s="100">
        <v>1494</v>
      </c>
      <c r="H227" s="100">
        <v>1651</v>
      </c>
      <c r="I227" s="100">
        <v>1680</v>
      </c>
      <c r="J227" s="100">
        <v>1814</v>
      </c>
      <c r="K227" s="100">
        <v>1659</v>
      </c>
      <c r="L227" s="100">
        <v>2036</v>
      </c>
      <c r="M227" s="100">
        <v>2499</v>
      </c>
      <c r="N227" s="99">
        <f>AVERAGE(B227:M227)</f>
        <v>1640.9166666666667</v>
      </c>
      <c r="O227" s="383">
        <f>SUM(B227:M227)</f>
        <v>19691</v>
      </c>
    </row>
    <row r="228" spans="1:16" ht="17.45" customHeight="1">
      <c r="A228" s="180" t="s">
        <v>111</v>
      </c>
      <c r="B228" s="102">
        <f t="shared" ref="B228:M228" si="107">B227/B186</f>
        <v>0.75235109717868343</v>
      </c>
      <c r="C228" s="102">
        <f t="shared" si="107"/>
        <v>1.1112759643916914</v>
      </c>
      <c r="D228" s="102">
        <f t="shared" si="107"/>
        <v>0.86087570621468923</v>
      </c>
      <c r="E228" s="102">
        <f t="shared" si="107"/>
        <v>1.0711462450592886</v>
      </c>
      <c r="F228" s="102">
        <f t="shared" si="107"/>
        <v>1.0353846153846153</v>
      </c>
      <c r="G228" s="102">
        <f t="shared" si="107"/>
        <v>0.95892169448010267</v>
      </c>
      <c r="H228" s="102">
        <f t="shared" si="107"/>
        <v>1.0556265984654731</v>
      </c>
      <c r="I228" s="102">
        <f t="shared" si="107"/>
        <v>1.0532915360501567</v>
      </c>
      <c r="J228" s="102">
        <f t="shared" si="107"/>
        <v>1.0016565433462175</v>
      </c>
      <c r="K228" s="102">
        <f t="shared" si="107"/>
        <v>1.0546726001271456</v>
      </c>
      <c r="L228" s="102">
        <f t="shared" si="107"/>
        <v>1.1796060254924681</v>
      </c>
      <c r="M228" s="102">
        <f t="shared" si="107"/>
        <v>1.3342231713828083</v>
      </c>
      <c r="N228" s="102">
        <f>AVERAGEIF(B228:M228,"&lt;&gt;0",B228:M228)</f>
        <v>1.0390859831311117</v>
      </c>
      <c r="O228" s="384"/>
    </row>
    <row r="229" spans="1:16" ht="17.45" customHeight="1">
      <c r="A229" s="179" t="s">
        <v>120</v>
      </c>
      <c r="B229" s="103">
        <v>309</v>
      </c>
      <c r="C229" s="103">
        <v>218</v>
      </c>
      <c r="D229" s="103">
        <v>211</v>
      </c>
      <c r="E229" s="103">
        <v>161</v>
      </c>
      <c r="F229" s="103">
        <v>149</v>
      </c>
      <c r="G229" s="103">
        <v>244</v>
      </c>
      <c r="H229" s="103">
        <v>207</v>
      </c>
      <c r="I229" s="100">
        <v>267</v>
      </c>
      <c r="J229" s="100">
        <v>266</v>
      </c>
      <c r="K229" s="100">
        <v>250</v>
      </c>
      <c r="L229" s="100">
        <v>274</v>
      </c>
      <c r="M229" s="100">
        <v>282</v>
      </c>
      <c r="N229" s="99">
        <f>AVERAGE(B229:M229)</f>
        <v>236.5</v>
      </c>
      <c r="O229" s="383">
        <f>SUM(B229:M229)</f>
        <v>2838</v>
      </c>
    </row>
    <row r="230" spans="1:16" ht="17.45" customHeight="1" thickBot="1">
      <c r="A230" s="189" t="s">
        <v>25</v>
      </c>
      <c r="B230" s="191">
        <f t="shared" ref="B230:M230" si="108">B229/B188</f>
        <v>1.2875000000000001</v>
      </c>
      <c r="C230" s="191">
        <f t="shared" si="108"/>
        <v>1.0430622009569377</v>
      </c>
      <c r="D230" s="191">
        <f t="shared" si="108"/>
        <v>1.4964539007092199</v>
      </c>
      <c r="E230" s="191">
        <f t="shared" si="108"/>
        <v>0.96987951807228912</v>
      </c>
      <c r="F230" s="191">
        <f t="shared" si="108"/>
        <v>0.83240223463687146</v>
      </c>
      <c r="G230" s="191">
        <f t="shared" si="108"/>
        <v>1.3406593406593406</v>
      </c>
      <c r="H230" s="191">
        <f t="shared" si="108"/>
        <v>1.072538860103627</v>
      </c>
      <c r="I230" s="190">
        <f t="shared" si="108"/>
        <v>1.1866666666666668</v>
      </c>
      <c r="J230" s="190">
        <f t="shared" si="108"/>
        <v>1.103734439834025</v>
      </c>
      <c r="K230" s="190">
        <f t="shared" si="108"/>
        <v>1.2135922330097086</v>
      </c>
      <c r="L230" s="190">
        <f t="shared" si="108"/>
        <v>0.93835616438356162</v>
      </c>
      <c r="M230" s="190">
        <f t="shared" si="108"/>
        <v>1.0444444444444445</v>
      </c>
      <c r="N230" s="191">
        <f>AVERAGEIF(B230:M230,"&lt;&gt;0",B230:M230)</f>
        <v>1.1274408336230575</v>
      </c>
      <c r="O230" s="385"/>
      <c r="P230" t="s">
        <v>126</v>
      </c>
    </row>
    <row r="231" spans="1:16" ht="17.45" customHeight="1" thickTop="1">
      <c r="A231" s="211" t="s">
        <v>99</v>
      </c>
      <c r="B231" s="212">
        <f>B215+B217+B219+B221+B223+B225+B227+B229</f>
        <v>380076</v>
      </c>
      <c r="C231" s="212">
        <f t="shared" ref="C231:M231" si="109">C215+C217+C219+C221+C223+C225+C227+C229</f>
        <v>378610</v>
      </c>
      <c r="D231" s="212">
        <f t="shared" si="109"/>
        <v>416292</v>
      </c>
      <c r="E231" s="212">
        <f t="shared" si="109"/>
        <v>379626</v>
      </c>
      <c r="F231" s="212">
        <f t="shared" si="109"/>
        <v>384076</v>
      </c>
      <c r="G231" s="212">
        <f t="shared" si="109"/>
        <v>408114</v>
      </c>
      <c r="H231" s="212">
        <f t="shared" si="109"/>
        <v>438693</v>
      </c>
      <c r="I231" s="212">
        <f t="shared" si="109"/>
        <v>408202</v>
      </c>
      <c r="J231" s="212">
        <f t="shared" si="109"/>
        <v>393925</v>
      </c>
      <c r="K231" s="212">
        <f t="shared" si="109"/>
        <v>404001</v>
      </c>
      <c r="L231" s="212">
        <f t="shared" si="109"/>
        <v>390377</v>
      </c>
      <c r="M231" s="212">
        <f t="shared" si="109"/>
        <v>451808</v>
      </c>
      <c r="N231" s="212">
        <f>N215+N217+N219+N221+N223+N225+N227+N229</f>
        <v>402816.66666666669</v>
      </c>
      <c r="O231" s="386">
        <f>SUM(B231:M231)</f>
        <v>4833800</v>
      </c>
    </row>
    <row r="232" spans="1:16" ht="17.45" customHeight="1" thickBot="1">
      <c r="A232" s="213" t="s">
        <v>111</v>
      </c>
      <c r="B232" s="223">
        <f t="shared" ref="B232:M232" si="110">B231/B190</f>
        <v>0.80785589032360916</v>
      </c>
      <c r="C232" s="223">
        <f t="shared" si="110"/>
        <v>1.2075487344355991</v>
      </c>
      <c r="D232" s="223">
        <f t="shared" si="110"/>
        <v>1.0254760438477646</v>
      </c>
      <c r="E232" s="223">
        <f t="shared" si="110"/>
        <v>1.0121443673331183</v>
      </c>
      <c r="F232" s="223">
        <f t="shared" si="110"/>
        <v>0.95591229249110232</v>
      </c>
      <c r="G232" s="223">
        <f t="shared" si="110"/>
        <v>1.092215588092823</v>
      </c>
      <c r="H232" s="223">
        <f t="shared" si="110"/>
        <v>1.0159351754930386</v>
      </c>
      <c r="I232" s="223">
        <f t="shared" si="110"/>
        <v>0.97200672448197201</v>
      </c>
      <c r="J232" s="223">
        <f t="shared" si="110"/>
        <v>1.027248119830185</v>
      </c>
      <c r="K232" s="223">
        <f t="shared" si="110"/>
        <v>1.0125642876477488</v>
      </c>
      <c r="L232" s="223">
        <f t="shared" si="110"/>
        <v>0.91333135246045472</v>
      </c>
      <c r="M232" s="223">
        <f t="shared" si="110"/>
        <v>0.99700770581952669</v>
      </c>
      <c r="N232" s="223">
        <f>AVERAGEIF(B232:M232,"&lt;&gt;0",B232:M232)</f>
        <v>1.0032705235214119</v>
      </c>
      <c r="O232" s="387"/>
    </row>
    <row r="233" spans="1:16" ht="17.45" customHeight="1" thickBot="1">
      <c r="A233" s="192" t="s">
        <v>112</v>
      </c>
      <c r="B233" s="181"/>
      <c r="C233" s="182"/>
      <c r="D233" s="182"/>
      <c r="E233" s="182"/>
      <c r="F233" s="183"/>
      <c r="G233" s="183"/>
      <c r="H233" s="182"/>
      <c r="I233" s="182"/>
      <c r="J233" s="182"/>
      <c r="K233" s="182"/>
      <c r="L233" s="182"/>
      <c r="M233" s="182"/>
      <c r="N233" s="94"/>
      <c r="O233" s="94"/>
    </row>
    <row r="234" spans="1:16" ht="17.45" customHeight="1">
      <c r="A234" s="184" t="s">
        <v>100</v>
      </c>
      <c r="B234" s="185">
        <v>2533491</v>
      </c>
      <c r="C234" s="185">
        <v>2080755</v>
      </c>
      <c r="D234" s="185">
        <v>2480308</v>
      </c>
      <c r="E234" s="185">
        <v>2305800</v>
      </c>
      <c r="F234" s="185">
        <v>2427856</v>
      </c>
      <c r="G234" s="185">
        <v>2457339</v>
      </c>
      <c r="H234" s="185">
        <v>2652432</v>
      </c>
      <c r="I234" s="185">
        <v>2365728</v>
      </c>
      <c r="J234" s="185">
        <v>2396457</v>
      </c>
      <c r="K234" s="185">
        <v>2496738</v>
      </c>
      <c r="L234" s="185">
        <v>2382162</v>
      </c>
      <c r="M234" s="185">
        <v>2769707</v>
      </c>
      <c r="N234" s="186">
        <f t="shared" ref="N234" si="111">AVERAGE(B234:M234)</f>
        <v>2445731.0833333335</v>
      </c>
      <c r="O234" s="389">
        <f>SUM(B234:M234)</f>
        <v>29348773</v>
      </c>
      <c r="P234" t="s">
        <v>124</v>
      </c>
    </row>
    <row r="235" spans="1:16" ht="17.45" customHeight="1">
      <c r="A235" s="180" t="s">
        <v>25</v>
      </c>
      <c r="B235" s="102">
        <f t="shared" ref="B235:M235" si="112">B234/B193</f>
        <v>0.92004061484424626</v>
      </c>
      <c r="C235" s="102">
        <f t="shared" si="112"/>
        <v>1.1098141309148164</v>
      </c>
      <c r="D235" s="102">
        <f t="shared" si="112"/>
        <v>1.0096930710682732</v>
      </c>
      <c r="E235" s="102">
        <f t="shared" si="112"/>
        <v>1.0277572000502779</v>
      </c>
      <c r="F235" s="102">
        <f t="shared" si="112"/>
        <v>1.0022088705699266</v>
      </c>
      <c r="G235" s="102">
        <f t="shared" si="112"/>
        <v>1.0465231859999029</v>
      </c>
      <c r="H235" s="102">
        <f t="shared" si="112"/>
        <v>1.0403399459205469</v>
      </c>
      <c r="I235" s="102">
        <f t="shared" si="112"/>
        <v>0.96951933196289997</v>
      </c>
      <c r="J235" s="102">
        <f t="shared" si="112"/>
        <v>1.0552360948738779</v>
      </c>
      <c r="K235" s="102">
        <f t="shared" si="112"/>
        <v>1.0688072451930732</v>
      </c>
      <c r="L235" s="102">
        <f t="shared" si="112"/>
        <v>0.96227896759578302</v>
      </c>
      <c r="M235" s="102">
        <f t="shared" si="112"/>
        <v>0.99400126757540674</v>
      </c>
      <c r="N235" s="102">
        <f>AVERAGEIF(B235:M235,"&lt;&gt;0",B235:M235)</f>
        <v>1.0171849938807525</v>
      </c>
      <c r="O235" s="384"/>
    </row>
    <row r="236" spans="1:16" ht="17.45" customHeight="1">
      <c r="A236" s="179" t="s">
        <v>117</v>
      </c>
      <c r="B236" s="103">
        <v>280073</v>
      </c>
      <c r="C236" s="103">
        <f>104871+150876</f>
        <v>255747</v>
      </c>
      <c r="D236" s="103">
        <v>262012</v>
      </c>
      <c r="E236" s="103">
        <v>259675</v>
      </c>
      <c r="F236" s="103">
        <v>281018</v>
      </c>
      <c r="G236" s="103">
        <v>238873</v>
      </c>
      <c r="H236" s="103">
        <v>248413</v>
      </c>
      <c r="I236" s="103">
        <v>216831</v>
      </c>
      <c r="J236" s="103">
        <v>277934</v>
      </c>
      <c r="K236" s="103">
        <v>254254</v>
      </c>
      <c r="L236" s="103">
        <v>251192</v>
      </c>
      <c r="M236" s="103">
        <v>285658</v>
      </c>
      <c r="N236" s="99">
        <f>AVERAGE(B236:M236)</f>
        <v>259306.66666666666</v>
      </c>
      <c r="O236" s="388">
        <f>SUM(B236:M236)</f>
        <v>3111680</v>
      </c>
    </row>
    <row r="237" spans="1:16" ht="17.45" customHeight="1">
      <c r="A237" s="180" t="s">
        <v>25</v>
      </c>
      <c r="B237" s="154">
        <f t="shared" ref="B237:M237" si="113">B236/B195</f>
        <v>0.86632125955024897</v>
      </c>
      <c r="C237" s="154">
        <f t="shared" si="113"/>
        <v>1.5065830942604843</v>
      </c>
      <c r="D237" s="154">
        <f t="shared" si="113"/>
        <v>1.0088443101091582</v>
      </c>
      <c r="E237" s="154">
        <f t="shared" si="113"/>
        <v>1.2398834960727672</v>
      </c>
      <c r="F237" s="154">
        <f t="shared" si="113"/>
        <v>1.0980611279999375</v>
      </c>
      <c r="G237" s="154">
        <f t="shared" si="113"/>
        <v>0.97911611358866735</v>
      </c>
      <c r="H237" s="154">
        <f t="shared" si="113"/>
        <v>0.80065557496567419</v>
      </c>
      <c r="I237" s="154">
        <f t="shared" si="113"/>
        <v>1.0074104703674107</v>
      </c>
      <c r="J237" s="154">
        <f t="shared" si="113"/>
        <v>1.0786725296220256</v>
      </c>
      <c r="K237" s="154">
        <f t="shared" si="113"/>
        <v>1.0025946781494977</v>
      </c>
      <c r="L237" s="154">
        <f t="shared" si="113"/>
        <v>1.0136557334710743</v>
      </c>
      <c r="M237" s="154">
        <f t="shared" si="113"/>
        <v>0.86463989732972535</v>
      </c>
      <c r="N237" s="102">
        <f>AVERAGEIF(B237:M237,"&lt;&gt;0",B237:M237)</f>
        <v>1.0388698571238892</v>
      </c>
      <c r="O237" s="384"/>
    </row>
    <row r="238" spans="1:16" ht="17.45" customHeight="1">
      <c r="A238" s="187" t="s">
        <v>102</v>
      </c>
      <c r="B238" s="140">
        <v>4961</v>
      </c>
      <c r="C238" s="128">
        <v>5500</v>
      </c>
      <c r="D238" s="103">
        <v>6201</v>
      </c>
      <c r="E238" s="99">
        <v>7320</v>
      </c>
      <c r="F238" s="99">
        <v>5232</v>
      </c>
      <c r="G238" s="103">
        <v>6726</v>
      </c>
      <c r="H238" s="103">
        <v>6438</v>
      </c>
      <c r="I238" s="103">
        <v>6050</v>
      </c>
      <c r="J238" s="103">
        <v>7408</v>
      </c>
      <c r="K238" s="103">
        <v>5034</v>
      </c>
      <c r="L238" s="103">
        <v>5743</v>
      </c>
      <c r="M238" s="103">
        <v>7193</v>
      </c>
      <c r="N238" s="99">
        <f t="shared" ref="N238" si="114">AVERAGE(B238:M238)</f>
        <v>6150.5</v>
      </c>
      <c r="O238" s="383">
        <f>SUM(B238:M238)</f>
        <v>73806</v>
      </c>
      <c r="P238" t="s">
        <v>125</v>
      </c>
    </row>
    <row r="239" spans="1:16" ht="17.45" customHeight="1">
      <c r="A239" s="188" t="s">
        <v>25</v>
      </c>
      <c r="B239" s="102">
        <f t="shared" ref="B239:M239" si="115">B238/B197</f>
        <v>0.6339936102236422</v>
      </c>
      <c r="C239" s="102">
        <f t="shared" si="115"/>
        <v>1.0080645161290323</v>
      </c>
      <c r="D239" s="102">
        <f t="shared" si="115"/>
        <v>0.88509848701113336</v>
      </c>
      <c r="E239" s="102">
        <f t="shared" si="115"/>
        <v>1.4423645320197045</v>
      </c>
      <c r="F239" s="102">
        <f t="shared" si="115"/>
        <v>1.0167120093276332</v>
      </c>
      <c r="G239" s="102">
        <f t="shared" si="115"/>
        <v>0.95</v>
      </c>
      <c r="H239" s="102">
        <f t="shared" si="115"/>
        <v>1.0535100638193422</v>
      </c>
      <c r="I239" s="102">
        <f t="shared" si="115"/>
        <v>1.0842293906810037</v>
      </c>
      <c r="J239" s="102">
        <f t="shared" si="115"/>
        <v>0.93429184008071631</v>
      </c>
      <c r="K239" s="102">
        <f t="shared" si="115"/>
        <v>0.91560567479083299</v>
      </c>
      <c r="L239" s="102">
        <f t="shared" si="115"/>
        <v>1.0839939599849</v>
      </c>
      <c r="M239" s="102">
        <f t="shared" si="115"/>
        <v>0.91200710029161913</v>
      </c>
      <c r="N239" s="102">
        <f>AVERAGEIF(B239:M239,"&lt;&gt;0",B239:M239)</f>
        <v>0.99332259869662998</v>
      </c>
      <c r="O239" s="384"/>
    </row>
    <row r="240" spans="1:16" ht="17.45" customHeight="1">
      <c r="A240" s="179" t="s">
        <v>103</v>
      </c>
      <c r="B240" s="131">
        <v>168358</v>
      </c>
      <c r="C240" s="103">
        <v>123484</v>
      </c>
      <c r="D240" s="103">
        <v>147470</v>
      </c>
      <c r="E240" s="103">
        <v>96324</v>
      </c>
      <c r="F240" s="103">
        <v>93667</v>
      </c>
      <c r="G240" s="103">
        <v>115587</v>
      </c>
      <c r="H240" s="103">
        <v>114222</v>
      </c>
      <c r="I240" s="103">
        <v>100885</v>
      </c>
      <c r="J240" s="103">
        <v>10354</v>
      </c>
      <c r="K240" s="103">
        <v>117922</v>
      </c>
      <c r="L240" s="103">
        <v>122837</v>
      </c>
      <c r="M240" s="103">
        <v>124659</v>
      </c>
      <c r="N240" s="99">
        <f t="shared" ref="N240" si="116">AVERAGE(B240:M240)</f>
        <v>111314.08333333333</v>
      </c>
      <c r="O240" s="383">
        <f>SUM(B240:M240)</f>
        <v>1335769</v>
      </c>
    </row>
    <row r="241" spans="1:16" ht="17.45" customHeight="1">
      <c r="A241" s="180" t="s">
        <v>25</v>
      </c>
      <c r="B241" s="102">
        <f t="shared" ref="B241:M241" si="117">B240/B199</f>
        <v>1.0008501025473353</v>
      </c>
      <c r="C241" s="102">
        <f t="shared" si="117"/>
        <v>1.085774076972452</v>
      </c>
      <c r="D241" s="102">
        <f t="shared" si="117"/>
        <v>1.4210277807221254</v>
      </c>
      <c r="E241" s="102">
        <f t="shared" si="117"/>
        <v>0.76080500442310117</v>
      </c>
      <c r="F241" s="102">
        <f t="shared" si="117"/>
        <v>0.58644135711647183</v>
      </c>
      <c r="G241" s="102">
        <f t="shared" si="117"/>
        <v>0.85108717261488387</v>
      </c>
      <c r="H241" s="102">
        <f t="shared" si="117"/>
        <v>0.56642565979350767</v>
      </c>
      <c r="I241" s="102">
        <f t="shared" si="117"/>
        <v>0.67762172473317617</v>
      </c>
      <c r="J241" s="102">
        <f t="shared" si="117"/>
        <v>9.6059821685360938E-2</v>
      </c>
      <c r="K241" s="102">
        <f t="shared" si="117"/>
        <v>1.3099533437013997</v>
      </c>
      <c r="L241" s="102">
        <f t="shared" si="117"/>
        <v>0.8393945606122728</v>
      </c>
      <c r="M241" s="102">
        <f t="shared" si="117"/>
        <v>0.81406769367404375</v>
      </c>
      <c r="N241" s="102">
        <f>AVERAGEIF(B241:M241,"&lt;&gt;0",B241:M241)</f>
        <v>0.83412569154967764</v>
      </c>
      <c r="O241" s="384"/>
    </row>
    <row r="242" spans="1:16" ht="17.45" customHeight="1">
      <c r="A242" s="179" t="s">
        <v>104</v>
      </c>
      <c r="B242" s="103">
        <v>16705</v>
      </c>
      <c r="C242" s="103">
        <v>16482</v>
      </c>
      <c r="D242" s="103">
        <v>15528</v>
      </c>
      <c r="E242" s="103">
        <v>15607</v>
      </c>
      <c r="F242" s="103">
        <v>14032</v>
      </c>
      <c r="G242" s="103">
        <v>15103</v>
      </c>
      <c r="H242" s="103">
        <v>17685</v>
      </c>
      <c r="I242" s="103">
        <v>16976</v>
      </c>
      <c r="J242" s="103">
        <v>14306</v>
      </c>
      <c r="K242" s="103">
        <v>16167</v>
      </c>
      <c r="L242" s="103">
        <v>16558</v>
      </c>
      <c r="M242" s="103">
        <v>17017</v>
      </c>
      <c r="N242" s="99">
        <f t="shared" ref="N242" si="118">AVERAGE(B242:M242)</f>
        <v>16013.833333333334</v>
      </c>
      <c r="O242" s="383">
        <f>SUM(B242:M242)</f>
        <v>192166</v>
      </c>
    </row>
    <row r="243" spans="1:16" ht="17.45" customHeight="1">
      <c r="A243" s="180" t="s">
        <v>25</v>
      </c>
      <c r="B243" s="102">
        <f t="shared" ref="B243:M243" si="119">B242/B201</f>
        <v>0.7698866254954374</v>
      </c>
      <c r="C243" s="102">
        <f t="shared" si="119"/>
        <v>1.0764809614003004</v>
      </c>
      <c r="D243" s="102">
        <f t="shared" si="119"/>
        <v>0.88433282077567055</v>
      </c>
      <c r="E243" s="102">
        <f t="shared" si="119"/>
        <v>0.86231283496325761</v>
      </c>
      <c r="F243" s="102">
        <f t="shared" si="119"/>
        <v>0.66411093757395046</v>
      </c>
      <c r="G243" s="102">
        <f t="shared" si="119"/>
        <v>0.72287368975254873</v>
      </c>
      <c r="H243" s="102">
        <f t="shared" si="119"/>
        <v>0.86754966887417218</v>
      </c>
      <c r="I243" s="104">
        <f t="shared" si="119"/>
        <v>0.9352137505509035</v>
      </c>
      <c r="J243" s="104">
        <f t="shared" si="119"/>
        <v>0.88549145828175291</v>
      </c>
      <c r="K243" s="104">
        <f t="shared" si="119"/>
        <v>1.0316508199859613</v>
      </c>
      <c r="L243" s="104">
        <f t="shared" si="119"/>
        <v>1.1156178412612856</v>
      </c>
      <c r="M243" s="104">
        <f t="shared" si="119"/>
        <v>0.95504545964754739</v>
      </c>
      <c r="N243" s="102">
        <f>AVERAGEIF(B243:M243,"&lt;&gt;0",B243:M243)</f>
        <v>0.89754723904689893</v>
      </c>
      <c r="O243" s="384"/>
    </row>
    <row r="244" spans="1:16" ht="17.45" customHeight="1">
      <c r="A244" s="179" t="s">
        <v>105</v>
      </c>
      <c r="B244" s="103">
        <v>14854</v>
      </c>
      <c r="C244" s="103">
        <v>18915</v>
      </c>
      <c r="D244" s="103">
        <v>19245</v>
      </c>
      <c r="E244" s="103">
        <v>17602</v>
      </c>
      <c r="F244" s="103">
        <v>15892</v>
      </c>
      <c r="G244" s="103">
        <v>17543</v>
      </c>
      <c r="H244" s="103">
        <v>19298</v>
      </c>
      <c r="I244" s="103">
        <v>18090</v>
      </c>
      <c r="J244" s="103">
        <v>16421</v>
      </c>
      <c r="K244" s="103">
        <v>16970</v>
      </c>
      <c r="L244" s="103">
        <v>15482</v>
      </c>
      <c r="M244" s="103">
        <v>18665</v>
      </c>
      <c r="N244" s="99">
        <f t="shared" ref="N244" si="120">AVERAGE(B244:M244)</f>
        <v>17414.75</v>
      </c>
      <c r="O244" s="383">
        <f>SUM(B244:M244)</f>
        <v>208977</v>
      </c>
    </row>
    <row r="245" spans="1:16" ht="17.45" customHeight="1">
      <c r="A245" s="180" t="s">
        <v>25</v>
      </c>
      <c r="B245" s="102">
        <f t="shared" ref="B245:M245" si="121">B244/B203</f>
        <v>0.71544167228590694</v>
      </c>
      <c r="C245" s="102">
        <f t="shared" si="121"/>
        <v>1.3759365679784681</v>
      </c>
      <c r="D245" s="102">
        <f t="shared" si="121"/>
        <v>1.0579989004947774</v>
      </c>
      <c r="E245" s="102">
        <f t="shared" si="121"/>
        <v>1.1382565959648214</v>
      </c>
      <c r="F245" s="102">
        <f t="shared" si="121"/>
        <v>1.0044242194412842</v>
      </c>
      <c r="G245" s="102">
        <f t="shared" si="121"/>
        <v>1.1803135302428851</v>
      </c>
      <c r="H245" s="102">
        <f t="shared" si="121"/>
        <v>1.1856721553207177</v>
      </c>
      <c r="I245" s="104">
        <f t="shared" si="121"/>
        <v>1.0643054656704125</v>
      </c>
      <c r="J245" s="104">
        <f t="shared" si="121"/>
        <v>1.0510112647209422</v>
      </c>
      <c r="K245" s="104">
        <f t="shared" si="121"/>
        <v>1.026494072102589</v>
      </c>
      <c r="L245" s="104">
        <f t="shared" si="121"/>
        <v>0.91734312970314624</v>
      </c>
      <c r="M245" s="104">
        <f t="shared" si="121"/>
        <v>1.0595481380563125</v>
      </c>
      <c r="N245" s="102">
        <f>AVERAGEIF(B245:M245,"&lt;&gt;0",B245:M245)</f>
        <v>1.0647288093318552</v>
      </c>
      <c r="O245" s="384"/>
    </row>
    <row r="246" spans="1:16" ht="17.45" customHeight="1">
      <c r="A246" s="179" t="s">
        <v>106</v>
      </c>
      <c r="B246" s="103">
        <v>6021</v>
      </c>
      <c r="C246" s="103">
        <v>8103</v>
      </c>
      <c r="D246" s="103">
        <v>5489</v>
      </c>
      <c r="E246" s="103">
        <v>6010</v>
      </c>
      <c r="F246" s="103">
        <v>5739</v>
      </c>
      <c r="G246" s="103">
        <v>6817</v>
      </c>
      <c r="H246" s="103">
        <v>7448</v>
      </c>
      <c r="I246" s="103">
        <v>7336</v>
      </c>
      <c r="J246" s="103">
        <v>7948</v>
      </c>
      <c r="K246" s="103">
        <v>6877</v>
      </c>
      <c r="L246" s="103">
        <v>8313</v>
      </c>
      <c r="M246" s="103">
        <v>10549</v>
      </c>
      <c r="N246" s="99">
        <f t="shared" ref="N246" si="122">AVERAGE(B246:M246)</f>
        <v>7220.833333333333</v>
      </c>
      <c r="O246" s="383">
        <f>SUM(B246:M246)</f>
        <v>86650</v>
      </c>
    </row>
    <row r="247" spans="1:16" ht="17.45" customHeight="1">
      <c r="A247" s="180" t="s">
        <v>25</v>
      </c>
      <c r="B247" s="102">
        <f t="shared" ref="B247:M247" si="123">B246/B205</f>
        <v>0.57661367554108411</v>
      </c>
      <c r="C247" s="102">
        <f t="shared" si="123"/>
        <v>1.0532952034316911</v>
      </c>
      <c r="D247" s="102">
        <f t="shared" si="123"/>
        <v>0.7194914143400184</v>
      </c>
      <c r="E247" s="102">
        <f t="shared" si="123"/>
        <v>1.0152027027027026</v>
      </c>
      <c r="F247" s="102">
        <f t="shared" si="123"/>
        <v>0.93469055374592835</v>
      </c>
      <c r="G247" s="102">
        <f t="shared" si="123"/>
        <v>0.93678713755668541</v>
      </c>
      <c r="H247" s="102">
        <f t="shared" si="123"/>
        <v>0.98505488691971965</v>
      </c>
      <c r="I247" s="104">
        <f t="shared" si="123"/>
        <v>1.0136797015337846</v>
      </c>
      <c r="J247" s="104">
        <f t="shared" si="123"/>
        <v>0.92065330707749338</v>
      </c>
      <c r="K247" s="104">
        <f t="shared" si="123"/>
        <v>0.88988095238095233</v>
      </c>
      <c r="L247" s="104">
        <f t="shared" si="123"/>
        <v>0.97341920374707258</v>
      </c>
      <c r="M247" s="104">
        <f t="shared" si="123"/>
        <v>1.0739081746920494</v>
      </c>
      <c r="N247" s="102">
        <f>AVERAGEIF(B247:M247,"&lt;&gt;0",B247:M247)</f>
        <v>0.92438974280576502</v>
      </c>
      <c r="O247" s="384"/>
    </row>
    <row r="248" spans="1:16" ht="17.45" customHeight="1">
      <c r="A248" s="179" t="s">
        <v>118</v>
      </c>
      <c r="B248" s="103">
        <v>2164</v>
      </c>
      <c r="C248" s="103">
        <v>1553</v>
      </c>
      <c r="D248" s="103">
        <v>1422</v>
      </c>
      <c r="E248" s="103">
        <v>1235</v>
      </c>
      <c r="F248" s="103">
        <v>1080</v>
      </c>
      <c r="G248" s="103">
        <v>1634</v>
      </c>
      <c r="H248" s="103">
        <v>1464</v>
      </c>
      <c r="I248" s="103">
        <v>1807</v>
      </c>
      <c r="J248" s="103">
        <v>1795</v>
      </c>
      <c r="K248" s="103">
        <v>1777</v>
      </c>
      <c r="L248" s="103">
        <v>1853</v>
      </c>
      <c r="M248" s="103">
        <v>2169</v>
      </c>
      <c r="N248" s="99">
        <f>AVERAGE(B248:M248)</f>
        <v>1662.75</v>
      </c>
      <c r="O248" s="383">
        <f>SUM(B248:M248)</f>
        <v>19953</v>
      </c>
      <c r="P248" t="s">
        <v>126</v>
      </c>
    </row>
    <row r="249" spans="1:16" ht="17.45" customHeight="1" thickBot="1">
      <c r="A249" s="189" t="s">
        <v>25</v>
      </c>
      <c r="B249" s="191">
        <f t="shared" ref="B249:M249" si="124">B248/B207</f>
        <v>1.5325779036827196</v>
      </c>
      <c r="C249" s="191">
        <f t="shared" si="124"/>
        <v>1.1520771513353116</v>
      </c>
      <c r="D249" s="191">
        <f t="shared" si="124"/>
        <v>1.6401384083044983</v>
      </c>
      <c r="E249" s="191">
        <f t="shared" si="124"/>
        <v>1.1750713606089438</v>
      </c>
      <c r="F249" s="191">
        <f t="shared" si="124"/>
        <v>1.0746268656716418</v>
      </c>
      <c r="G249" s="191">
        <f t="shared" si="124"/>
        <v>1.5910418695228823</v>
      </c>
      <c r="H249" s="191">
        <f t="shared" si="124"/>
        <v>1.2609819121447028</v>
      </c>
      <c r="I249" s="190">
        <f t="shared" si="124"/>
        <v>1.3495145631067962</v>
      </c>
      <c r="J249" s="190">
        <f t="shared" si="124"/>
        <v>1.3818321785989223</v>
      </c>
      <c r="K249" s="190">
        <f t="shared" si="124"/>
        <v>1.4025256511444357</v>
      </c>
      <c r="L249" s="190">
        <f t="shared" si="124"/>
        <v>1.0220628792057362</v>
      </c>
      <c r="M249" s="190">
        <f t="shared" si="124"/>
        <v>1.1794453507340945</v>
      </c>
      <c r="N249" s="191">
        <f>AVERAGEIF(B249:M249,"&lt;&gt;0",B249:M249)</f>
        <v>1.3134913411717235</v>
      </c>
      <c r="O249" s="385"/>
    </row>
    <row r="250" spans="1:16" ht="17.45" customHeight="1" thickTop="1">
      <c r="A250" s="211" t="s">
        <v>107</v>
      </c>
      <c r="B250" s="215">
        <f>B234+B236+B238+B240+B242+B244+B246+B248</f>
        <v>3026627</v>
      </c>
      <c r="C250" s="215">
        <f t="shared" ref="C250:M250" si="125">C234+C236+C238+C240+C242+C244+C246+C248</f>
        <v>2510539</v>
      </c>
      <c r="D250" s="215">
        <f t="shared" si="125"/>
        <v>2937675</v>
      </c>
      <c r="E250" s="215">
        <f t="shared" si="125"/>
        <v>2709573</v>
      </c>
      <c r="F250" s="215">
        <f t="shared" si="125"/>
        <v>2844516</v>
      </c>
      <c r="G250" s="215">
        <f t="shared" si="125"/>
        <v>2859622</v>
      </c>
      <c r="H250" s="215">
        <f t="shared" si="125"/>
        <v>3067400</v>
      </c>
      <c r="I250" s="215">
        <f t="shared" si="125"/>
        <v>2733703</v>
      </c>
      <c r="J250" s="215">
        <f t="shared" si="125"/>
        <v>2732623</v>
      </c>
      <c r="K250" s="215">
        <f t="shared" si="125"/>
        <v>2915739</v>
      </c>
      <c r="L250" s="215">
        <f t="shared" si="125"/>
        <v>2804140</v>
      </c>
      <c r="M250" s="215">
        <f t="shared" si="125"/>
        <v>3235617</v>
      </c>
      <c r="N250" s="215">
        <f>AVERAGEIF(B250:M250,"&lt;&gt;0",B250:M250)</f>
        <v>2864814.5</v>
      </c>
      <c r="O250" s="386">
        <f>SUM(B250:M250)</f>
        <v>34377774</v>
      </c>
    </row>
    <row r="251" spans="1:16" ht="17.45" customHeight="1" thickBot="1">
      <c r="A251" s="213" t="s">
        <v>111</v>
      </c>
      <c r="B251" s="223">
        <f t="shared" ref="B251:M251" si="126">B250/B209</f>
        <v>0.91513060284212244</v>
      </c>
      <c r="C251" s="223">
        <f t="shared" si="126"/>
        <v>1.1401668101030697</v>
      </c>
      <c r="D251" s="223">
        <f t="shared" si="126"/>
        <v>1.0231380866803192</v>
      </c>
      <c r="E251" s="223">
        <f t="shared" si="126"/>
        <v>1.0321482962298176</v>
      </c>
      <c r="F251" s="223">
        <f t="shared" si="126"/>
        <v>0.98515129580693983</v>
      </c>
      <c r="G251" s="214">
        <f t="shared" si="126"/>
        <v>1.0290048603516999</v>
      </c>
      <c r="H251" s="214">
        <f t="shared" si="126"/>
        <v>0.9853542829535058</v>
      </c>
      <c r="I251" s="214">
        <f t="shared" si="126"/>
        <v>0.95800879333147837</v>
      </c>
      <c r="J251" s="214">
        <f t="shared" si="126"/>
        <v>1.0173176337791583</v>
      </c>
      <c r="K251" s="214">
        <f t="shared" si="126"/>
        <v>1.0694794733992685</v>
      </c>
      <c r="L251" s="214">
        <f t="shared" si="126"/>
        <v>0.96128979177665186</v>
      </c>
      <c r="M251" s="214">
        <f t="shared" si="126"/>
        <v>0.97314306475295298</v>
      </c>
      <c r="N251" s="216">
        <f>AVERAGEIF(B251:M251,"&lt;&gt;0",B251:M251)</f>
        <v>1.0074444160005822</v>
      </c>
      <c r="O251" s="387"/>
    </row>
    <row r="252" spans="1:16" ht="17.45" customHeight="1" thickBot="1">
      <c r="A252" s="213" t="s">
        <v>127</v>
      </c>
      <c r="B252" s="223" t="s">
        <v>128</v>
      </c>
      <c r="C252" s="223" t="s">
        <v>129</v>
      </c>
      <c r="D252" s="223" t="s">
        <v>130</v>
      </c>
      <c r="E252" s="223" t="s">
        <v>131</v>
      </c>
      <c r="F252" s="214" t="s">
        <v>132</v>
      </c>
      <c r="G252" s="214" t="s">
        <v>133</v>
      </c>
      <c r="H252" s="214" t="s">
        <v>340</v>
      </c>
      <c r="I252" s="214" t="s">
        <v>341</v>
      </c>
      <c r="J252" s="214" t="s">
        <v>344</v>
      </c>
      <c r="K252" s="214" t="s">
        <v>346</v>
      </c>
      <c r="L252" s="214" t="s">
        <v>348</v>
      </c>
      <c r="M252" s="214" t="s">
        <v>350</v>
      </c>
      <c r="N252" s="216"/>
      <c r="O252" s="239" t="s">
        <v>134</v>
      </c>
    </row>
  </sheetData>
  <mergeCells count="104">
    <mergeCell ref="O184:O185"/>
    <mergeCell ref="O186:O187"/>
    <mergeCell ref="O188:O189"/>
    <mergeCell ref="O190:O191"/>
    <mergeCell ref="O193:O194"/>
    <mergeCell ref="O205:O206"/>
    <mergeCell ref="O207:O208"/>
    <mergeCell ref="O209:O210"/>
    <mergeCell ref="O195:O196"/>
    <mergeCell ref="O197:O198"/>
    <mergeCell ref="O199:O200"/>
    <mergeCell ref="O201:O202"/>
    <mergeCell ref="O203:O204"/>
    <mergeCell ref="O157:O158"/>
    <mergeCell ref="O159:O160"/>
    <mergeCell ref="O161:O162"/>
    <mergeCell ref="O163:O164"/>
    <mergeCell ref="O174:O175"/>
    <mergeCell ref="O176:O177"/>
    <mergeCell ref="O178:O179"/>
    <mergeCell ref="O180:O181"/>
    <mergeCell ref="O182:O183"/>
    <mergeCell ref="O33:O34"/>
    <mergeCell ref="O21:O22"/>
    <mergeCell ref="O23:O24"/>
    <mergeCell ref="O25:O26"/>
    <mergeCell ref="O27:O28"/>
    <mergeCell ref="O29:O30"/>
    <mergeCell ref="O31:O32"/>
    <mergeCell ref="O134:O135"/>
    <mergeCell ref="O136:O137"/>
    <mergeCell ref="O58:O59"/>
    <mergeCell ref="O60:O61"/>
    <mergeCell ref="O62:O63"/>
    <mergeCell ref="O64:O65"/>
    <mergeCell ref="O66:O67"/>
    <mergeCell ref="O50:O51"/>
    <mergeCell ref="O52:O53"/>
    <mergeCell ref="O35:O36"/>
    <mergeCell ref="O38:O39"/>
    <mergeCell ref="O40:O41"/>
    <mergeCell ref="O42:O43"/>
    <mergeCell ref="O44:O45"/>
    <mergeCell ref="O46:O47"/>
    <mergeCell ref="O48:O49"/>
    <mergeCell ref="O89:O90"/>
    <mergeCell ref="O79:O80"/>
    <mergeCell ref="O81:O82"/>
    <mergeCell ref="O83:O84"/>
    <mergeCell ref="O85:O86"/>
    <mergeCell ref="O87:O88"/>
    <mergeCell ref="O68:O69"/>
    <mergeCell ref="O70:O71"/>
    <mergeCell ref="O72:O73"/>
    <mergeCell ref="O75:O76"/>
    <mergeCell ref="O77:O78"/>
    <mergeCell ref="O104:O105"/>
    <mergeCell ref="O106:O107"/>
    <mergeCell ref="O110:O111"/>
    <mergeCell ref="O113:O114"/>
    <mergeCell ref="O115:O116"/>
    <mergeCell ref="O108:O109"/>
    <mergeCell ref="O94:O95"/>
    <mergeCell ref="O96:O97"/>
    <mergeCell ref="O98:O99"/>
    <mergeCell ref="O100:O101"/>
    <mergeCell ref="O102:O103"/>
    <mergeCell ref="O215:O216"/>
    <mergeCell ref="O217:O218"/>
    <mergeCell ref="O219:O220"/>
    <mergeCell ref="O221:O222"/>
    <mergeCell ref="O223:O224"/>
    <mergeCell ref="O129:O130"/>
    <mergeCell ref="O117:O118"/>
    <mergeCell ref="O119:O120"/>
    <mergeCell ref="O121:O122"/>
    <mergeCell ref="O123:O124"/>
    <mergeCell ref="O125:O126"/>
    <mergeCell ref="O127:O128"/>
    <mergeCell ref="O138:O139"/>
    <mergeCell ref="O140:O141"/>
    <mergeCell ref="O142:O143"/>
    <mergeCell ref="O144:O145"/>
    <mergeCell ref="O146:O147"/>
    <mergeCell ref="O148:O149"/>
    <mergeCell ref="O150:O151"/>
    <mergeCell ref="O153:O154"/>
    <mergeCell ref="O165:O166"/>
    <mergeCell ref="O167:O168"/>
    <mergeCell ref="O169:O170"/>
    <mergeCell ref="O155:O156"/>
    <mergeCell ref="O246:O247"/>
    <mergeCell ref="O248:O249"/>
    <mergeCell ref="O250:O251"/>
    <mergeCell ref="O236:O237"/>
    <mergeCell ref="O238:O239"/>
    <mergeCell ref="O240:O241"/>
    <mergeCell ref="O242:O243"/>
    <mergeCell ref="O244:O245"/>
    <mergeCell ref="O225:O226"/>
    <mergeCell ref="O227:O228"/>
    <mergeCell ref="O229:O230"/>
    <mergeCell ref="O231:O232"/>
    <mergeCell ref="O234:O235"/>
  </mergeCells>
  <phoneticPr fontId="1" type="noConversion"/>
  <printOptions horizontalCentered="1" verticalCentered="1"/>
  <pageMargins left="0" right="0" top="0" bottom="0" header="0" footer="0"/>
  <pageSetup paperSize="9" scale="8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6"/>
  <sheetViews>
    <sheetView topLeftCell="A45" zoomScale="81" zoomScaleNormal="81" workbookViewId="0">
      <selection activeCell="L60" sqref="L60"/>
    </sheetView>
  </sheetViews>
  <sheetFormatPr defaultColWidth="8.875" defaultRowHeight="15.75"/>
  <cols>
    <col min="1" max="1" width="14.875" style="6" bestFit="1" customWidth="1"/>
    <col min="2" max="2" width="16.875" style="6" bestFit="1" customWidth="1"/>
    <col min="3" max="4" width="12.875" style="6" bestFit="1" customWidth="1"/>
    <col min="5" max="5" width="14.125" style="6" bestFit="1" customWidth="1"/>
    <col min="6" max="11" width="12.875" style="6" bestFit="1" customWidth="1"/>
    <col min="12" max="13" width="12.125" style="6" bestFit="1" customWidth="1"/>
    <col min="14" max="16384" width="8.875" style="1"/>
  </cols>
  <sheetData>
    <row r="1" spans="1:13">
      <c r="A1" s="135" t="s">
        <v>135</v>
      </c>
      <c r="B1" s="135">
        <v>1</v>
      </c>
      <c r="C1" s="135">
        <v>2</v>
      </c>
      <c r="D1" s="135">
        <v>3</v>
      </c>
      <c r="E1" s="135">
        <v>4</v>
      </c>
      <c r="F1" s="135">
        <v>5</v>
      </c>
      <c r="G1" s="135">
        <v>6</v>
      </c>
      <c r="H1" s="135">
        <v>7</v>
      </c>
      <c r="I1" s="135">
        <v>8</v>
      </c>
      <c r="J1" s="135">
        <v>9</v>
      </c>
      <c r="K1" s="135">
        <v>10</v>
      </c>
      <c r="L1" s="135">
        <v>11</v>
      </c>
      <c r="M1" s="135">
        <v>12</v>
      </c>
    </row>
    <row r="2" spans="1:13">
      <c r="A2" s="135" t="s">
        <v>136</v>
      </c>
      <c r="B2" s="135">
        <f>37193+18064</f>
        <v>55257</v>
      </c>
      <c r="C2" s="135">
        <f>39053+16010</f>
        <v>55063</v>
      </c>
      <c r="D2" s="135">
        <f>41877+17252</f>
        <v>59129</v>
      </c>
      <c r="E2" s="135">
        <f>49005+18465</f>
        <v>67470</v>
      </c>
      <c r="F2" s="135">
        <f>35381+19931</f>
        <v>55312</v>
      </c>
      <c r="G2" s="135">
        <f>43034+19334</f>
        <v>62368</v>
      </c>
      <c r="H2" s="135">
        <f>43142+21923</f>
        <v>65065</v>
      </c>
      <c r="I2" s="135">
        <f>40516+15967</f>
        <v>56483</v>
      </c>
      <c r="J2" s="135">
        <f>44979+17834</f>
        <v>62813</v>
      </c>
      <c r="K2" s="135">
        <f>47684+20511</f>
        <v>68195</v>
      </c>
      <c r="L2" s="135">
        <f>39861+20761</f>
        <v>60622</v>
      </c>
      <c r="M2" s="135">
        <f>31739+21067</f>
        <v>52806</v>
      </c>
    </row>
    <row r="3" spans="1:13">
      <c r="A3" s="135" t="s">
        <v>137</v>
      </c>
      <c r="B3" s="135">
        <f>496198+198457</f>
        <v>694655</v>
      </c>
      <c r="C3" s="135">
        <f>464784+148811</f>
        <v>613595</v>
      </c>
      <c r="D3" s="135">
        <f>492728+140695</f>
        <v>633423</v>
      </c>
      <c r="E3" s="135">
        <f>600634+157025</f>
        <v>757659</v>
      </c>
      <c r="F3" s="135">
        <f>457343+162854</f>
        <v>620197</v>
      </c>
      <c r="G3" s="135">
        <f>476239+169969</f>
        <v>646208</v>
      </c>
      <c r="H3" s="135">
        <f>517338+207767</f>
        <v>725105</v>
      </c>
      <c r="I3" s="135">
        <f>508280+142743</f>
        <v>651023</v>
      </c>
      <c r="J3" s="135">
        <f>439066+152125</f>
        <v>591191</v>
      </c>
      <c r="K3" s="135">
        <f>544603+182309</f>
        <v>726912</v>
      </c>
      <c r="L3" s="135">
        <f>443648+182039</f>
        <v>625687</v>
      </c>
      <c r="M3" s="135">
        <f>400285+17790</f>
        <v>418075</v>
      </c>
    </row>
    <row r="4" spans="1:13">
      <c r="A4" s="135" t="s">
        <v>138</v>
      </c>
      <c r="B4" s="135">
        <v>1</v>
      </c>
      <c r="C4" s="135">
        <v>2</v>
      </c>
      <c r="D4" s="135">
        <v>3</v>
      </c>
      <c r="E4" s="135">
        <v>4</v>
      </c>
      <c r="F4" s="135">
        <v>5</v>
      </c>
      <c r="G4" s="135">
        <v>6</v>
      </c>
      <c r="H4" s="135">
        <v>7</v>
      </c>
      <c r="I4" s="135">
        <v>8</v>
      </c>
      <c r="J4" s="135">
        <v>9</v>
      </c>
      <c r="K4" s="135">
        <v>10</v>
      </c>
      <c r="L4" s="135">
        <v>11</v>
      </c>
      <c r="M4" s="135">
        <v>12</v>
      </c>
    </row>
    <row r="5" spans="1:13">
      <c r="A5" s="135" t="s">
        <v>136</v>
      </c>
      <c r="B5" s="135">
        <f>52126+22640</f>
        <v>74766</v>
      </c>
      <c r="C5" s="135">
        <f>39381+14207</f>
        <v>53588</v>
      </c>
      <c r="D5" s="135">
        <f>50344+22291</f>
        <v>72635</v>
      </c>
      <c r="E5" s="135">
        <f>45585+16098</f>
        <v>61683</v>
      </c>
      <c r="F5" s="135">
        <v>63019</v>
      </c>
      <c r="G5" s="135">
        <v>65339</v>
      </c>
      <c r="H5" s="135">
        <v>66729</v>
      </c>
      <c r="I5" s="135">
        <v>63204</v>
      </c>
      <c r="J5" s="135">
        <v>71271</v>
      </c>
      <c r="K5" s="135">
        <v>73736</v>
      </c>
      <c r="L5" s="135">
        <v>77700</v>
      </c>
      <c r="M5" s="135">
        <v>85071</v>
      </c>
    </row>
    <row r="6" spans="1:13">
      <c r="A6" s="135" t="s">
        <v>137</v>
      </c>
      <c r="B6" s="135">
        <f>713524+302113</f>
        <v>1015637</v>
      </c>
      <c r="C6" s="135">
        <f>488291+138526</f>
        <v>626817</v>
      </c>
      <c r="D6" s="135">
        <f>521735+201209</f>
        <v>722944</v>
      </c>
      <c r="E6" s="135">
        <f>525340+144803</f>
        <v>670143</v>
      </c>
      <c r="F6" s="135">
        <v>700918</v>
      </c>
      <c r="G6" s="135">
        <v>707373</v>
      </c>
      <c r="H6" s="135">
        <v>737207</v>
      </c>
      <c r="I6" s="135">
        <v>814051</v>
      </c>
      <c r="J6" s="135">
        <v>918387</v>
      </c>
      <c r="K6" s="135">
        <v>775117</v>
      </c>
      <c r="L6" s="135">
        <v>1011035</v>
      </c>
      <c r="M6" s="135">
        <v>1201112</v>
      </c>
    </row>
    <row r="7" spans="1:13">
      <c r="A7" s="135" t="s">
        <v>139</v>
      </c>
      <c r="B7" s="135">
        <v>1</v>
      </c>
      <c r="C7" s="135">
        <v>2</v>
      </c>
      <c r="D7" s="135">
        <v>3</v>
      </c>
      <c r="E7" s="135">
        <v>4</v>
      </c>
      <c r="F7" s="135">
        <v>5</v>
      </c>
      <c r="G7" s="135">
        <v>6</v>
      </c>
      <c r="H7" s="135">
        <v>7</v>
      </c>
      <c r="I7" s="135">
        <v>8</v>
      </c>
      <c r="J7" s="135">
        <v>9</v>
      </c>
      <c r="K7" s="135">
        <v>10</v>
      </c>
      <c r="L7" s="135">
        <v>11</v>
      </c>
      <c r="M7" s="135">
        <v>12</v>
      </c>
    </row>
    <row r="8" spans="1:13">
      <c r="A8" s="135" t="s">
        <v>136</v>
      </c>
      <c r="B8" s="135">
        <v>76036</v>
      </c>
      <c r="C8" s="135">
        <v>68333</v>
      </c>
      <c r="D8" s="135">
        <v>77543</v>
      </c>
      <c r="E8" s="135">
        <v>76742</v>
      </c>
      <c r="F8" s="135">
        <v>73888</v>
      </c>
      <c r="G8" s="135">
        <v>86617</v>
      </c>
      <c r="H8" s="135">
        <v>78313</v>
      </c>
      <c r="I8" s="135">
        <v>71403</v>
      </c>
      <c r="J8" s="135">
        <v>74708</v>
      </c>
      <c r="K8" s="135">
        <v>75109</v>
      </c>
      <c r="L8" s="135">
        <v>85130</v>
      </c>
      <c r="M8" s="135">
        <v>71365</v>
      </c>
    </row>
    <row r="9" spans="1:13">
      <c r="A9" s="135" t="s">
        <v>137</v>
      </c>
      <c r="B9" s="135">
        <v>1328744</v>
      </c>
      <c r="C9" s="135">
        <v>939329</v>
      </c>
      <c r="D9" s="135">
        <v>981633</v>
      </c>
      <c r="E9" s="135">
        <v>1697335</v>
      </c>
      <c r="F9" s="135">
        <v>1022205</v>
      </c>
      <c r="G9" s="135">
        <v>1222222</v>
      </c>
      <c r="H9" s="135">
        <v>1051536</v>
      </c>
      <c r="I9" s="135">
        <v>889176</v>
      </c>
      <c r="J9" s="135">
        <v>929383</v>
      </c>
      <c r="K9" s="135">
        <v>1010261</v>
      </c>
      <c r="L9" s="135">
        <v>1208417</v>
      </c>
      <c r="M9" s="135">
        <v>1085894</v>
      </c>
    </row>
    <row r="10" spans="1:13">
      <c r="A10" s="135" t="s">
        <v>140</v>
      </c>
      <c r="B10" s="135">
        <f t="shared" ref="B10:D11" si="0">B8/B5</f>
        <v>1.0169863306850708</v>
      </c>
      <c r="C10" s="50">
        <f t="shared" si="0"/>
        <v>1.2751548854221095</v>
      </c>
      <c r="D10" s="50">
        <f t="shared" si="0"/>
        <v>1.0675707303641495</v>
      </c>
      <c r="E10" s="50">
        <f t="shared" ref="E10:M10" si="1">E8/E5</f>
        <v>1.244135337126923</v>
      </c>
      <c r="F10" s="50">
        <f t="shared" si="1"/>
        <v>1.1724717942207905</v>
      </c>
      <c r="G10" s="50">
        <f t="shared" si="1"/>
        <v>1.3256554278455439</v>
      </c>
      <c r="H10" s="50">
        <f t="shared" si="1"/>
        <v>1.1735976861634372</v>
      </c>
      <c r="I10" s="50">
        <f t="shared" si="1"/>
        <v>1.1297228023542814</v>
      </c>
      <c r="J10" s="50">
        <f t="shared" si="1"/>
        <v>1.0482243829888735</v>
      </c>
      <c r="K10" s="50">
        <f t="shared" si="1"/>
        <v>1.0186204838884669</v>
      </c>
      <c r="L10" s="50">
        <f t="shared" si="1"/>
        <v>1.0956241956241957</v>
      </c>
      <c r="M10" s="50">
        <f t="shared" si="1"/>
        <v>0.83888751748539458</v>
      </c>
    </row>
    <row r="11" spans="1:13">
      <c r="A11" s="135" t="s">
        <v>141</v>
      </c>
      <c r="B11" s="135">
        <f t="shared" si="0"/>
        <v>1.3082863267092475</v>
      </c>
      <c r="C11" s="50">
        <f t="shared" si="0"/>
        <v>1.4985697579995436</v>
      </c>
      <c r="D11" s="50">
        <f t="shared" si="0"/>
        <v>1.3578271622698301</v>
      </c>
      <c r="E11" s="50">
        <f t="shared" ref="E11:M11" si="2">E9/E6</f>
        <v>2.5327952392250608</v>
      </c>
      <c r="F11" s="50">
        <f t="shared" si="2"/>
        <v>1.4583802955552576</v>
      </c>
      <c r="G11" s="50">
        <f t="shared" si="2"/>
        <v>1.727832416560994</v>
      </c>
      <c r="H11" s="50">
        <f t="shared" si="2"/>
        <v>1.4263782085628596</v>
      </c>
      <c r="I11" s="50">
        <f t="shared" si="2"/>
        <v>1.0922853727837691</v>
      </c>
      <c r="J11" s="50">
        <f t="shared" si="2"/>
        <v>1.0119731659964699</v>
      </c>
      <c r="K11" s="50">
        <f t="shared" si="2"/>
        <v>1.3033658144512377</v>
      </c>
      <c r="L11" s="50">
        <f t="shared" si="2"/>
        <v>1.195227662741646</v>
      </c>
      <c r="M11" s="50">
        <f t="shared" si="2"/>
        <v>0.90407389152718476</v>
      </c>
    </row>
    <row r="12" spans="1:13">
      <c r="A12" s="135" t="s">
        <v>142</v>
      </c>
      <c r="B12" s="135">
        <v>1</v>
      </c>
      <c r="C12" s="135">
        <v>2</v>
      </c>
      <c r="D12" s="135">
        <v>3</v>
      </c>
      <c r="E12" s="135">
        <v>4</v>
      </c>
      <c r="F12" s="135">
        <v>5</v>
      </c>
      <c r="G12" s="135">
        <v>6</v>
      </c>
      <c r="H12" s="135">
        <v>7</v>
      </c>
      <c r="I12" s="135">
        <v>8</v>
      </c>
      <c r="J12" s="135">
        <v>9</v>
      </c>
      <c r="K12" s="135">
        <v>10</v>
      </c>
      <c r="L12" s="135">
        <v>11</v>
      </c>
      <c r="M12" s="135">
        <v>12</v>
      </c>
    </row>
    <row r="13" spans="1:13">
      <c r="A13" s="135" t="s">
        <v>136</v>
      </c>
      <c r="B13" s="135">
        <v>89260</v>
      </c>
      <c r="C13" s="135">
        <v>61216</v>
      </c>
      <c r="D13" s="135">
        <v>92239</v>
      </c>
      <c r="E13" s="135">
        <v>70746</v>
      </c>
      <c r="F13" s="135">
        <v>72166</v>
      </c>
      <c r="G13" s="135">
        <v>79384</v>
      </c>
      <c r="H13" s="135">
        <v>88473</v>
      </c>
      <c r="I13" s="135">
        <v>93010</v>
      </c>
      <c r="J13" s="135">
        <v>87130</v>
      </c>
      <c r="K13" s="135">
        <v>77013</v>
      </c>
      <c r="L13" s="135">
        <v>88355</v>
      </c>
      <c r="M13" s="135">
        <v>76531</v>
      </c>
    </row>
    <row r="14" spans="1:13">
      <c r="A14" s="135" t="s">
        <v>137</v>
      </c>
      <c r="B14" s="135">
        <v>1700935</v>
      </c>
      <c r="C14" s="135">
        <v>721085</v>
      </c>
      <c r="D14" s="135">
        <v>1202153</v>
      </c>
      <c r="E14" s="135">
        <v>1060419</v>
      </c>
      <c r="F14" s="135">
        <v>1063603</v>
      </c>
      <c r="G14" s="135">
        <v>1049824</v>
      </c>
      <c r="H14" s="135">
        <v>1103519</v>
      </c>
      <c r="I14" s="135">
        <v>1293402</v>
      </c>
      <c r="J14" s="135">
        <v>1172627</v>
      </c>
      <c r="K14" s="135">
        <v>1258484</v>
      </c>
      <c r="L14" s="135">
        <v>1216748</v>
      </c>
      <c r="M14" s="135">
        <v>1305038</v>
      </c>
    </row>
    <row r="15" spans="1:13">
      <c r="A15" s="52" t="s">
        <v>140</v>
      </c>
      <c r="B15" s="51">
        <f t="shared" ref="B15:D16" si="3">B13/B8</f>
        <v>1.1739176179704351</v>
      </c>
      <c r="C15" s="51">
        <f t="shared" si="3"/>
        <v>0.89584827243059717</v>
      </c>
      <c r="D15" s="51">
        <f t="shared" si="3"/>
        <v>1.1895206530570135</v>
      </c>
      <c r="E15" s="51">
        <f t="shared" ref="E15:M15" si="4">E13/E8</f>
        <v>0.92186807745432753</v>
      </c>
      <c r="F15" s="51">
        <f t="shared" si="4"/>
        <v>0.97669445647466435</v>
      </c>
      <c r="G15" s="51">
        <f t="shared" si="4"/>
        <v>0.91649445259013818</v>
      </c>
      <c r="H15" s="51">
        <f t="shared" si="4"/>
        <v>1.1297358037618275</v>
      </c>
      <c r="I15" s="51">
        <f t="shared" si="4"/>
        <v>1.3026063330672382</v>
      </c>
      <c r="J15" s="51">
        <f t="shared" si="4"/>
        <v>1.1662740268779783</v>
      </c>
      <c r="K15" s="51">
        <f t="shared" si="4"/>
        <v>1.0253498249211146</v>
      </c>
      <c r="L15" s="50">
        <f t="shared" si="4"/>
        <v>1.0378832374016211</v>
      </c>
      <c r="M15" s="50">
        <f t="shared" si="4"/>
        <v>1.072388425698872</v>
      </c>
    </row>
    <row r="16" spans="1:13">
      <c r="A16" s="52" t="s">
        <v>141</v>
      </c>
      <c r="B16" s="51">
        <f t="shared" si="3"/>
        <v>1.2801073796005853</v>
      </c>
      <c r="C16" s="51">
        <f t="shared" si="3"/>
        <v>0.76765968047404054</v>
      </c>
      <c r="D16" s="51">
        <f t="shared" si="3"/>
        <v>1.2246460744494123</v>
      </c>
      <c r="E16" s="51">
        <f t="shared" ref="E16:M16" si="5">E14/E9</f>
        <v>0.62475527812718168</v>
      </c>
      <c r="F16" s="51">
        <f t="shared" si="5"/>
        <v>1.0404987257937497</v>
      </c>
      <c r="G16" s="51">
        <f t="shared" si="5"/>
        <v>0.85894706526310283</v>
      </c>
      <c r="H16" s="51">
        <f t="shared" si="5"/>
        <v>1.0494353022625948</v>
      </c>
      <c r="I16" s="51">
        <f t="shared" si="5"/>
        <v>1.4546074118059866</v>
      </c>
      <c r="J16" s="51">
        <f t="shared" si="5"/>
        <v>1.2617263281123068</v>
      </c>
      <c r="K16" s="51">
        <f t="shared" si="5"/>
        <v>1.2457018532834585</v>
      </c>
      <c r="L16" s="50">
        <f t="shared" si="5"/>
        <v>1.0068941433296619</v>
      </c>
      <c r="M16" s="50">
        <f t="shared" si="5"/>
        <v>1.2018097530698209</v>
      </c>
    </row>
    <row r="17" spans="1:13">
      <c r="A17" s="135" t="s">
        <v>143</v>
      </c>
      <c r="B17" s="135">
        <v>1</v>
      </c>
      <c r="C17" s="135">
        <v>2</v>
      </c>
      <c r="D17" s="135">
        <v>3</v>
      </c>
      <c r="E17" s="135">
        <v>4</v>
      </c>
      <c r="F17" s="135">
        <v>5</v>
      </c>
      <c r="G17" s="135">
        <v>6</v>
      </c>
      <c r="H17" s="135">
        <v>7</v>
      </c>
      <c r="I17" s="135">
        <v>8</v>
      </c>
      <c r="J17" s="135">
        <v>9</v>
      </c>
      <c r="K17" s="135">
        <v>10</v>
      </c>
      <c r="L17" s="135">
        <v>11</v>
      </c>
      <c r="M17" s="135">
        <v>12</v>
      </c>
    </row>
    <row r="18" spans="1:13">
      <c r="A18" s="135" t="s">
        <v>136</v>
      </c>
      <c r="B18" s="135">
        <v>94094</v>
      </c>
      <c r="C18" s="135">
        <v>71263</v>
      </c>
      <c r="D18" s="135">
        <v>91234</v>
      </c>
      <c r="E18" s="135">
        <v>74564</v>
      </c>
      <c r="F18" s="18">
        <v>88863</v>
      </c>
      <c r="G18" s="135">
        <v>71852</v>
      </c>
      <c r="H18" s="135">
        <v>85218</v>
      </c>
      <c r="I18" s="135">
        <v>75614</v>
      </c>
      <c r="J18" s="135">
        <v>87968</v>
      </c>
      <c r="K18" s="135">
        <v>83882</v>
      </c>
      <c r="L18" s="135">
        <v>92459</v>
      </c>
      <c r="M18" s="135">
        <v>76749</v>
      </c>
    </row>
    <row r="19" spans="1:13">
      <c r="A19" s="135" t="s">
        <v>137</v>
      </c>
      <c r="B19" s="135">
        <v>1624123</v>
      </c>
      <c r="C19" s="135">
        <v>1136798</v>
      </c>
      <c r="D19" s="135">
        <v>1242691</v>
      </c>
      <c r="E19" s="135">
        <v>1182218</v>
      </c>
      <c r="F19" s="135">
        <v>1238105</v>
      </c>
      <c r="G19" s="135">
        <v>1211910</v>
      </c>
      <c r="H19" s="135">
        <v>1334803</v>
      </c>
      <c r="I19" s="135">
        <v>1171190</v>
      </c>
      <c r="J19" s="135">
        <v>1227569</v>
      </c>
      <c r="K19" s="135">
        <v>1249781</v>
      </c>
      <c r="L19" s="135">
        <v>1423839</v>
      </c>
      <c r="M19" s="135">
        <v>1267604</v>
      </c>
    </row>
    <row r="20" spans="1:13">
      <c r="A20" s="52" t="s">
        <v>140</v>
      </c>
      <c r="B20" s="51">
        <f>B18/B13</f>
        <v>1.0541563970423482</v>
      </c>
      <c r="C20" s="51">
        <f t="shared" ref="C20:I20" si="6">C18/C13</f>
        <v>1.1641237584945112</v>
      </c>
      <c r="D20" s="51">
        <f t="shared" si="6"/>
        <v>0.98910439185160293</v>
      </c>
      <c r="E20" s="51">
        <f t="shared" si="6"/>
        <v>1.0539677154892149</v>
      </c>
      <c r="F20" s="51">
        <f t="shared" si="6"/>
        <v>1.2313693429038606</v>
      </c>
      <c r="G20" s="51">
        <f t="shared" si="6"/>
        <v>0.905119419530384</v>
      </c>
      <c r="H20" s="51">
        <f t="shared" si="6"/>
        <v>0.96320911464514603</v>
      </c>
      <c r="I20" s="51">
        <f t="shared" si="6"/>
        <v>0.8129663477045479</v>
      </c>
      <c r="J20" s="51">
        <f t="shared" ref="J20:M21" si="7">J18/J13</f>
        <v>1.009617812464134</v>
      </c>
      <c r="K20" s="51">
        <f t="shared" si="7"/>
        <v>1.0891927336943112</v>
      </c>
      <c r="L20" s="51">
        <f t="shared" si="7"/>
        <v>1.0464489842114197</v>
      </c>
      <c r="M20" s="51">
        <f t="shared" si="7"/>
        <v>1.0028485189008376</v>
      </c>
    </row>
    <row r="21" spans="1:13">
      <c r="A21" s="52" t="s">
        <v>141</v>
      </c>
      <c r="B21" s="51">
        <f t="shared" ref="B21:I21" si="8">B19/B14</f>
        <v>0.95484130786890742</v>
      </c>
      <c r="C21" s="51">
        <f t="shared" si="8"/>
        <v>1.5765103975259505</v>
      </c>
      <c r="D21" s="51">
        <f t="shared" si="8"/>
        <v>1.0337211652759675</v>
      </c>
      <c r="E21" s="51">
        <f t="shared" si="8"/>
        <v>1.1148593150443362</v>
      </c>
      <c r="F21" s="51">
        <f t="shared" si="8"/>
        <v>1.1640668557723135</v>
      </c>
      <c r="G21" s="51">
        <f t="shared" si="8"/>
        <v>1.1543934983387691</v>
      </c>
      <c r="H21" s="51">
        <f t="shared" si="8"/>
        <v>1.2095876917388826</v>
      </c>
      <c r="I21" s="51">
        <f t="shared" si="8"/>
        <v>0.90551120224029347</v>
      </c>
      <c r="J21" s="51">
        <f t="shared" si="7"/>
        <v>1.0468537736211088</v>
      </c>
      <c r="K21" s="51">
        <f t="shared" si="7"/>
        <v>0.9930845366329647</v>
      </c>
      <c r="L21" s="51">
        <f t="shared" si="7"/>
        <v>1.17020040304155</v>
      </c>
      <c r="M21" s="51">
        <f t="shared" si="7"/>
        <v>0.97131577777811828</v>
      </c>
    </row>
    <row r="22" spans="1:13">
      <c r="A22" s="135" t="s">
        <v>144</v>
      </c>
      <c r="B22" s="135">
        <v>1</v>
      </c>
      <c r="C22" s="135">
        <v>2</v>
      </c>
      <c r="D22" s="135">
        <v>3</v>
      </c>
      <c r="E22" s="135">
        <v>4</v>
      </c>
      <c r="F22" s="135">
        <v>5</v>
      </c>
      <c r="G22" s="135">
        <v>6</v>
      </c>
      <c r="H22" s="135">
        <v>7</v>
      </c>
      <c r="I22" s="135">
        <v>8</v>
      </c>
      <c r="J22" s="135">
        <v>9</v>
      </c>
      <c r="K22" s="135">
        <v>10</v>
      </c>
      <c r="L22" s="135">
        <v>11</v>
      </c>
      <c r="M22" s="135">
        <v>12</v>
      </c>
    </row>
    <row r="23" spans="1:13">
      <c r="A23" s="135" t="s">
        <v>136</v>
      </c>
      <c r="B23" s="135">
        <v>94541</v>
      </c>
      <c r="C23" s="135">
        <v>64264</v>
      </c>
      <c r="D23" s="135">
        <v>72895</v>
      </c>
      <c r="E23" s="135">
        <v>76434</v>
      </c>
      <c r="F23" s="18">
        <v>78417</v>
      </c>
      <c r="G23" s="18">
        <v>76076</v>
      </c>
      <c r="H23" s="135">
        <v>91269</v>
      </c>
      <c r="I23" s="135">
        <v>83130</v>
      </c>
      <c r="J23" s="135">
        <v>68376</v>
      </c>
      <c r="K23" s="135">
        <v>100460</v>
      </c>
      <c r="L23" s="135">
        <v>91667</v>
      </c>
      <c r="M23" s="135">
        <v>101821</v>
      </c>
    </row>
    <row r="24" spans="1:13">
      <c r="A24" s="135" t="s">
        <v>137</v>
      </c>
      <c r="B24" s="135">
        <v>1514697</v>
      </c>
      <c r="C24" s="135">
        <v>987327</v>
      </c>
      <c r="D24" s="135">
        <v>1129534</v>
      </c>
      <c r="E24" s="135">
        <v>1241515</v>
      </c>
      <c r="F24" s="135">
        <v>1218380</v>
      </c>
      <c r="G24" s="135">
        <v>1234140</v>
      </c>
      <c r="H24" s="135">
        <v>1438773</v>
      </c>
      <c r="I24" s="135">
        <v>1197334</v>
      </c>
      <c r="J24" s="135">
        <v>1000002</v>
      </c>
      <c r="K24" s="135">
        <v>1434620</v>
      </c>
      <c r="L24" s="135">
        <v>1314964</v>
      </c>
      <c r="M24" s="135">
        <v>1534817</v>
      </c>
    </row>
    <row r="25" spans="1:13">
      <c r="A25" s="52" t="s">
        <v>140</v>
      </c>
      <c r="B25" s="51">
        <f t="shared" ref="B25:D26" si="9">B18/B23</f>
        <v>0.99527189261801763</v>
      </c>
      <c r="C25" s="51">
        <f t="shared" si="9"/>
        <v>1.1089101207518983</v>
      </c>
      <c r="D25" s="51">
        <f t="shared" si="9"/>
        <v>1.2515810412236779</v>
      </c>
      <c r="E25" s="51">
        <f t="shared" ref="E25:I26" si="10">E18/E23</f>
        <v>0.97553444802051448</v>
      </c>
      <c r="F25" s="51">
        <f t="shared" si="10"/>
        <v>1.1332109108994224</v>
      </c>
      <c r="G25" s="51">
        <f t="shared" si="10"/>
        <v>0.94447657605552338</v>
      </c>
      <c r="H25" s="51">
        <f t="shared" si="10"/>
        <v>0.93370147585708185</v>
      </c>
      <c r="I25" s="51">
        <f t="shared" si="10"/>
        <v>0.90958739323950444</v>
      </c>
      <c r="J25" s="51">
        <f t="shared" ref="J25:L26" si="11">J23/J18</f>
        <v>0.77728264823572213</v>
      </c>
      <c r="K25" s="51">
        <f t="shared" si="11"/>
        <v>1.1976347726568275</v>
      </c>
      <c r="L25" s="51">
        <f t="shared" si="11"/>
        <v>0.99143404103440447</v>
      </c>
      <c r="M25" s="51">
        <f>M23/M18</f>
        <v>1.3266752661272461</v>
      </c>
    </row>
    <row r="26" spans="1:13">
      <c r="A26" s="52" t="s">
        <v>141</v>
      </c>
      <c r="B26" s="51">
        <f t="shared" si="9"/>
        <v>1.0722428314045647</v>
      </c>
      <c r="C26" s="51">
        <f t="shared" si="9"/>
        <v>1.1513895598925179</v>
      </c>
      <c r="D26" s="51">
        <f t="shared" si="9"/>
        <v>1.1001802513248826</v>
      </c>
      <c r="E26" s="51">
        <f t="shared" si="10"/>
        <v>0.95223819285308675</v>
      </c>
      <c r="F26" s="51">
        <f t="shared" si="10"/>
        <v>1.0161895303599862</v>
      </c>
      <c r="G26" s="51">
        <f t="shared" si="10"/>
        <v>0.98198745685254507</v>
      </c>
      <c r="H26" s="51">
        <f t="shared" si="10"/>
        <v>0.92773703704475963</v>
      </c>
      <c r="I26" s="51">
        <f t="shared" si="10"/>
        <v>0.97816482284809414</v>
      </c>
      <c r="J26" s="51">
        <f t="shared" si="11"/>
        <v>0.81461978919311262</v>
      </c>
      <c r="K26" s="51">
        <f t="shared" si="11"/>
        <v>1.1478971115739478</v>
      </c>
      <c r="L26" s="51">
        <f t="shared" si="11"/>
        <v>0.92353419171690054</v>
      </c>
      <c r="M26" s="51">
        <f>M24/M19</f>
        <v>1.2108016383665561</v>
      </c>
    </row>
    <row r="27" spans="1:13">
      <c r="A27" s="135" t="s">
        <v>145</v>
      </c>
      <c r="B27" s="135">
        <v>1</v>
      </c>
      <c r="C27" s="135">
        <v>2</v>
      </c>
      <c r="D27" s="135">
        <v>3</v>
      </c>
      <c r="E27" s="135">
        <v>4</v>
      </c>
      <c r="F27" s="135">
        <v>5</v>
      </c>
      <c r="G27" s="135">
        <v>6</v>
      </c>
      <c r="H27" s="135">
        <v>7</v>
      </c>
      <c r="I27" s="135">
        <v>8</v>
      </c>
      <c r="J27" s="135">
        <v>9</v>
      </c>
      <c r="K27" s="135">
        <v>10</v>
      </c>
      <c r="L27" s="135">
        <v>11</v>
      </c>
      <c r="M27" s="135">
        <v>12</v>
      </c>
    </row>
    <row r="28" spans="1:13">
      <c r="A28" s="135" t="s">
        <v>136</v>
      </c>
      <c r="B28" s="135">
        <v>80912</v>
      </c>
      <c r="C28" s="135">
        <v>78908</v>
      </c>
      <c r="D28" s="135">
        <v>84677</v>
      </c>
      <c r="E28" s="135">
        <v>72364</v>
      </c>
      <c r="F28" s="18">
        <v>88404</v>
      </c>
      <c r="G28" s="18">
        <v>79028</v>
      </c>
      <c r="H28" s="18">
        <v>100239</v>
      </c>
      <c r="I28" s="18">
        <v>99641</v>
      </c>
      <c r="J28" s="18">
        <v>86113</v>
      </c>
      <c r="K28" s="135">
        <v>91062</v>
      </c>
      <c r="L28" s="135">
        <v>91609</v>
      </c>
      <c r="M28" s="135">
        <v>122534</v>
      </c>
    </row>
    <row r="29" spans="1:13">
      <c r="A29" s="135" t="s">
        <v>137</v>
      </c>
      <c r="B29" s="125">
        <v>1284289</v>
      </c>
      <c r="C29" s="125">
        <v>1215417</v>
      </c>
      <c r="D29" s="125">
        <v>1473277</v>
      </c>
      <c r="E29" s="125">
        <v>1281620</v>
      </c>
      <c r="F29" s="125">
        <v>1564926</v>
      </c>
      <c r="G29" s="125">
        <v>1256306</v>
      </c>
      <c r="H29" s="125">
        <v>1295767</v>
      </c>
      <c r="I29" s="125">
        <v>1277472</v>
      </c>
      <c r="J29" s="125">
        <v>1300368</v>
      </c>
      <c r="K29" s="125">
        <v>1221525</v>
      </c>
      <c r="L29" s="135">
        <v>1488301</v>
      </c>
      <c r="M29" s="135">
        <v>1590219</v>
      </c>
    </row>
    <row r="30" spans="1:13">
      <c r="A30" s="52" t="s">
        <v>140</v>
      </c>
      <c r="B30" s="51">
        <f>B23/B28</f>
        <v>1.1684422582558829</v>
      </c>
      <c r="C30" s="51">
        <f t="shared" ref="C30:I31" si="12">C23/C28</f>
        <v>0.81441678917220051</v>
      </c>
      <c r="D30" s="51">
        <f t="shared" si="12"/>
        <v>0.86085950139943546</v>
      </c>
      <c r="E30" s="51">
        <f t="shared" si="12"/>
        <v>1.0562434359626334</v>
      </c>
      <c r="F30" s="51">
        <f t="shared" si="12"/>
        <v>0.88702999864259535</v>
      </c>
      <c r="G30" s="51">
        <f t="shared" si="12"/>
        <v>0.96264615073138637</v>
      </c>
      <c r="H30" s="51">
        <f t="shared" si="12"/>
        <v>0.9105138718462874</v>
      </c>
      <c r="I30" s="51">
        <f t="shared" si="12"/>
        <v>0.83429511947892931</v>
      </c>
      <c r="J30" s="51">
        <f t="shared" ref="J30:M31" si="13">J28/J23</f>
        <v>1.2594038844038844</v>
      </c>
      <c r="K30" s="51">
        <f t="shared" si="13"/>
        <v>0.9064503284889508</v>
      </c>
      <c r="L30" s="51">
        <f t="shared" si="13"/>
        <v>0.99936727502809086</v>
      </c>
      <c r="M30" s="51">
        <f t="shared" si="13"/>
        <v>1.203425619469461</v>
      </c>
    </row>
    <row r="31" spans="1:13">
      <c r="A31" s="52" t="s">
        <v>141</v>
      </c>
      <c r="B31" s="51">
        <f t="shared" ref="B31:H31" si="14">B24/B29</f>
        <v>1.1794051027455659</v>
      </c>
      <c r="C31" s="51">
        <f t="shared" si="14"/>
        <v>0.81233601307205672</v>
      </c>
      <c r="D31" s="51">
        <f t="shared" si="14"/>
        <v>0.76668135048602537</v>
      </c>
      <c r="E31" s="51">
        <f t="shared" si="14"/>
        <v>0.96870757322763379</v>
      </c>
      <c r="F31" s="51">
        <f t="shared" si="14"/>
        <v>0.77855438531917798</v>
      </c>
      <c r="G31" s="51">
        <f t="shared" si="14"/>
        <v>0.98235620939484491</v>
      </c>
      <c r="H31" s="51">
        <f t="shared" si="14"/>
        <v>1.1103639774743452</v>
      </c>
      <c r="I31" s="51">
        <f t="shared" si="12"/>
        <v>0.93726829237744547</v>
      </c>
      <c r="J31" s="51">
        <f>J29/J24</f>
        <v>1.3003653992692015</v>
      </c>
      <c r="K31" s="51">
        <f>K29/K24</f>
        <v>0.85146240816383434</v>
      </c>
      <c r="L31" s="51">
        <f>L29/L24</f>
        <v>1.1318188178535686</v>
      </c>
      <c r="M31" s="51">
        <f t="shared" si="13"/>
        <v>1.0360968115417017</v>
      </c>
    </row>
    <row r="32" spans="1:13">
      <c r="A32" s="135" t="s">
        <v>146</v>
      </c>
      <c r="B32" s="135">
        <v>1</v>
      </c>
      <c r="C32" s="135">
        <v>2</v>
      </c>
      <c r="D32" s="135">
        <v>3</v>
      </c>
      <c r="E32" s="135">
        <v>4</v>
      </c>
      <c r="F32" s="135">
        <v>5</v>
      </c>
      <c r="G32" s="135">
        <v>6</v>
      </c>
      <c r="H32" s="135">
        <v>7</v>
      </c>
      <c r="I32" s="135">
        <v>8</v>
      </c>
      <c r="J32" s="135">
        <v>9</v>
      </c>
      <c r="K32" s="135">
        <v>10</v>
      </c>
      <c r="L32" s="135">
        <v>11</v>
      </c>
      <c r="M32" s="135">
        <v>12</v>
      </c>
    </row>
    <row r="33" spans="1:13">
      <c r="A33" s="135" t="s">
        <v>136</v>
      </c>
      <c r="B33" s="125">
        <v>109087</v>
      </c>
      <c r="C33" s="125">
        <v>63617</v>
      </c>
      <c r="D33" s="125">
        <v>90797</v>
      </c>
      <c r="E33" s="135">
        <v>71472</v>
      </c>
      <c r="F33" s="18">
        <v>84403</v>
      </c>
      <c r="G33" s="18">
        <v>82486</v>
      </c>
      <c r="H33" s="18">
        <v>77347</v>
      </c>
      <c r="I33" s="18">
        <v>65823</v>
      </c>
      <c r="J33" s="18">
        <v>76526</v>
      </c>
      <c r="K33" s="18">
        <v>83320</v>
      </c>
      <c r="L33" s="135">
        <v>91781</v>
      </c>
      <c r="M33" s="135">
        <v>101214</v>
      </c>
    </row>
    <row r="34" spans="1:13">
      <c r="A34" s="135" t="s">
        <v>137</v>
      </c>
      <c r="B34" s="125">
        <v>1590835</v>
      </c>
      <c r="C34" s="125">
        <v>1178970</v>
      </c>
      <c r="D34" s="125">
        <v>1516056</v>
      </c>
      <c r="E34" s="125">
        <v>1147688</v>
      </c>
      <c r="F34" s="125">
        <v>1412349</v>
      </c>
      <c r="G34" s="125">
        <v>1461802</v>
      </c>
      <c r="H34" s="125">
        <v>1284185</v>
      </c>
      <c r="I34" s="125">
        <v>1218066</v>
      </c>
      <c r="J34" s="125">
        <v>1352983</v>
      </c>
      <c r="K34" s="125">
        <v>1236302</v>
      </c>
      <c r="L34" s="135">
        <v>1447962</v>
      </c>
      <c r="M34" s="135">
        <v>1553156</v>
      </c>
    </row>
    <row r="35" spans="1:13">
      <c r="A35" s="52" t="s">
        <v>140</v>
      </c>
      <c r="B35" s="51">
        <f>B33/B28</f>
        <v>1.3482178168874828</v>
      </c>
      <c r="C35" s="51">
        <f t="shared" ref="C35:I35" si="15">C28/C33</f>
        <v>1.2403602810569503</v>
      </c>
      <c r="D35" s="51">
        <f t="shared" si="15"/>
        <v>0.93259689196779627</v>
      </c>
      <c r="E35" s="51">
        <f t="shared" si="15"/>
        <v>1.012480411909559</v>
      </c>
      <c r="F35" s="51">
        <f t="shared" si="15"/>
        <v>1.0474035283106051</v>
      </c>
      <c r="G35" s="51">
        <f t="shared" si="15"/>
        <v>0.95807773440341393</v>
      </c>
      <c r="H35" s="51">
        <f t="shared" si="15"/>
        <v>1.2959649372309203</v>
      </c>
      <c r="I35" s="51">
        <f t="shared" si="15"/>
        <v>1.5137717818999439</v>
      </c>
      <c r="J35" s="51">
        <f t="shared" ref="J35:M36" si="16">J33/J28</f>
        <v>0.88866953886172817</v>
      </c>
      <c r="K35" s="51">
        <f t="shared" si="16"/>
        <v>0.91498100195471221</v>
      </c>
      <c r="L35" s="51">
        <f t="shared" si="16"/>
        <v>1.001877544782718</v>
      </c>
      <c r="M35" s="51">
        <f t="shared" si="16"/>
        <v>0.82600747547619435</v>
      </c>
    </row>
    <row r="36" spans="1:13">
      <c r="A36" s="52" t="s">
        <v>141</v>
      </c>
      <c r="B36" s="51">
        <f>B34/B29</f>
        <v>1.2386892669796283</v>
      </c>
      <c r="C36" s="51">
        <f t="shared" ref="C36:I36" si="17">C29/C34</f>
        <v>1.0309142726278022</v>
      </c>
      <c r="D36" s="51">
        <f t="shared" si="17"/>
        <v>0.97178270459666394</v>
      </c>
      <c r="E36" s="51">
        <f t="shared" si="17"/>
        <v>1.1166972208474777</v>
      </c>
      <c r="F36" s="51">
        <f t="shared" si="17"/>
        <v>1.108030663809016</v>
      </c>
      <c r="G36" s="51">
        <f t="shared" si="17"/>
        <v>0.85942282196904918</v>
      </c>
      <c r="H36" s="51">
        <f t="shared" si="17"/>
        <v>1.0090189497619113</v>
      </c>
      <c r="I36" s="51">
        <f t="shared" si="17"/>
        <v>1.0487707562644388</v>
      </c>
      <c r="J36" s="51">
        <f t="shared" si="16"/>
        <v>1.0404616231712869</v>
      </c>
      <c r="K36" s="51">
        <f t="shared" si="16"/>
        <v>1.0120971736149484</v>
      </c>
      <c r="L36" s="51">
        <f t="shared" si="16"/>
        <v>0.97289593973262134</v>
      </c>
      <c r="M36" s="51">
        <f t="shared" si="16"/>
        <v>0.97669314729606427</v>
      </c>
    </row>
    <row r="37" spans="1:13">
      <c r="A37" s="135" t="s">
        <v>147</v>
      </c>
      <c r="B37" s="135">
        <v>1</v>
      </c>
      <c r="C37" s="135">
        <v>2</v>
      </c>
      <c r="D37" s="135">
        <v>3</v>
      </c>
      <c r="E37" s="135">
        <v>4</v>
      </c>
      <c r="F37" s="135">
        <v>5</v>
      </c>
      <c r="G37" s="135">
        <v>6</v>
      </c>
      <c r="H37" s="135">
        <v>7</v>
      </c>
      <c r="I37" s="135">
        <v>8</v>
      </c>
      <c r="J37" s="135">
        <v>9</v>
      </c>
      <c r="K37" s="135">
        <v>10</v>
      </c>
      <c r="L37" s="135">
        <v>11</v>
      </c>
      <c r="M37" s="135">
        <v>12</v>
      </c>
    </row>
    <row r="38" spans="1:13">
      <c r="A38" s="135" t="s">
        <v>136</v>
      </c>
      <c r="B38" s="125">
        <v>103232</v>
      </c>
      <c r="C38" s="125">
        <v>63927</v>
      </c>
      <c r="D38" s="125">
        <v>112851</v>
      </c>
      <c r="E38" s="135">
        <v>83070</v>
      </c>
      <c r="F38" s="18">
        <v>88988</v>
      </c>
      <c r="G38" s="18">
        <v>91796</v>
      </c>
      <c r="H38" s="18">
        <v>88671</v>
      </c>
      <c r="I38" s="18">
        <v>95742</v>
      </c>
      <c r="J38" s="18">
        <v>97444</v>
      </c>
      <c r="K38" s="18">
        <v>96411</v>
      </c>
      <c r="L38" s="152">
        <v>101583</v>
      </c>
      <c r="M38" s="152">
        <v>110262</v>
      </c>
    </row>
    <row r="39" spans="1:13">
      <c r="A39" s="135" t="s">
        <v>137</v>
      </c>
      <c r="B39" s="125">
        <v>1491074</v>
      </c>
      <c r="C39" s="125">
        <v>922904</v>
      </c>
      <c r="D39" s="125">
        <v>1789012</v>
      </c>
      <c r="E39" s="125">
        <v>1277563</v>
      </c>
      <c r="F39" s="125">
        <v>1340509</v>
      </c>
      <c r="G39" s="125">
        <v>1294899</v>
      </c>
      <c r="H39" s="125">
        <v>1332450</v>
      </c>
      <c r="I39" s="125">
        <v>1486450</v>
      </c>
      <c r="J39" s="125">
        <v>1444923</v>
      </c>
      <c r="K39" s="125">
        <v>1390571</v>
      </c>
      <c r="L39" s="152">
        <v>1445203</v>
      </c>
      <c r="M39" s="152">
        <v>2001133</v>
      </c>
    </row>
    <row r="40" spans="1:13">
      <c r="A40" s="52" t="s">
        <v>140</v>
      </c>
      <c r="B40" s="51">
        <f>B38/B33</f>
        <v>0.94632724339288821</v>
      </c>
      <c r="C40" s="51">
        <f t="shared" ref="C40:H40" si="18">C33/C38</f>
        <v>0.99515071878861827</v>
      </c>
      <c r="D40" s="51">
        <f t="shared" si="18"/>
        <v>0.80457417302460765</v>
      </c>
      <c r="E40" s="51">
        <f t="shared" si="18"/>
        <v>0.86038280967858438</v>
      </c>
      <c r="F40" s="51">
        <f t="shared" si="18"/>
        <v>0.94847619903807256</v>
      </c>
      <c r="G40" s="51">
        <f t="shared" si="18"/>
        <v>0.89857945879994772</v>
      </c>
      <c r="H40" s="51">
        <f t="shared" si="18"/>
        <v>0.87229195565630246</v>
      </c>
      <c r="I40" s="51">
        <f>I33/I38</f>
        <v>0.68750391677633638</v>
      </c>
      <c r="J40" s="51">
        <f t="shared" ref="J40:M41" si="19">J38/J33</f>
        <v>1.2733450069257508</v>
      </c>
      <c r="K40" s="51">
        <f t="shared" si="19"/>
        <v>1.1571171387421988</v>
      </c>
      <c r="L40" s="51">
        <f t="shared" si="19"/>
        <v>1.1067977032283369</v>
      </c>
      <c r="M40" s="51">
        <f t="shared" si="19"/>
        <v>1.0893947477621673</v>
      </c>
    </row>
    <row r="41" spans="1:13" ht="16.5" thickBot="1">
      <c r="A41" s="165" t="s">
        <v>141</v>
      </c>
      <c r="B41" s="166">
        <f>B39/B34</f>
        <v>0.93729016522769493</v>
      </c>
      <c r="C41" s="166">
        <f t="shared" ref="C41:I41" si="20">C34/C39</f>
        <v>1.2774568102424522</v>
      </c>
      <c r="D41" s="166">
        <f t="shared" si="20"/>
        <v>0.84742640071726738</v>
      </c>
      <c r="E41" s="166">
        <f t="shared" si="20"/>
        <v>0.89834160820249176</v>
      </c>
      <c r="F41" s="166">
        <f t="shared" si="20"/>
        <v>1.053591583495523</v>
      </c>
      <c r="G41" s="166">
        <f t="shared" si="20"/>
        <v>1.1288926781162083</v>
      </c>
      <c r="H41" s="166">
        <f t="shared" si="20"/>
        <v>0.96377725242973467</v>
      </c>
      <c r="I41" s="166">
        <f t="shared" si="20"/>
        <v>0.81944633186450944</v>
      </c>
      <c r="J41" s="166">
        <f t="shared" si="19"/>
        <v>1.0679535515228202</v>
      </c>
      <c r="K41" s="166">
        <f t="shared" si="19"/>
        <v>1.1247826178393305</v>
      </c>
      <c r="L41" s="166">
        <f t="shared" si="19"/>
        <v>0.99809456325511303</v>
      </c>
      <c r="M41" s="166">
        <f t="shared" si="19"/>
        <v>1.2884301383763126</v>
      </c>
    </row>
    <row r="42" spans="1:13">
      <c r="A42" s="167" t="s">
        <v>148</v>
      </c>
      <c r="B42" s="168" t="s">
        <v>4</v>
      </c>
      <c r="C42" s="168" t="s">
        <v>5</v>
      </c>
      <c r="D42" s="168" t="s">
        <v>6</v>
      </c>
      <c r="E42" s="168" t="s">
        <v>7</v>
      </c>
      <c r="F42" s="168" t="s">
        <v>8</v>
      </c>
      <c r="G42" s="168" t="s">
        <v>9</v>
      </c>
      <c r="H42" s="168" t="s">
        <v>10</v>
      </c>
      <c r="I42" s="168" t="s">
        <v>11</v>
      </c>
      <c r="J42" s="168" t="s">
        <v>12</v>
      </c>
      <c r="K42" s="168" t="s">
        <v>13</v>
      </c>
      <c r="L42" s="168" t="s">
        <v>14</v>
      </c>
      <c r="M42" s="169" t="s">
        <v>15</v>
      </c>
    </row>
    <row r="43" spans="1:13">
      <c r="A43" s="170" t="s">
        <v>136</v>
      </c>
      <c r="B43" s="162">
        <v>97801</v>
      </c>
      <c r="C43" s="162">
        <v>82118</v>
      </c>
      <c r="D43" s="162">
        <v>91810</v>
      </c>
      <c r="E43" s="163">
        <v>79141</v>
      </c>
      <c r="F43" s="160">
        <v>94039</v>
      </c>
      <c r="G43" s="160">
        <v>87429</v>
      </c>
      <c r="H43" s="160">
        <v>104766</v>
      </c>
      <c r="I43" s="160">
        <v>92629</v>
      </c>
      <c r="J43" s="160">
        <v>93624</v>
      </c>
      <c r="K43" s="160">
        <v>159425</v>
      </c>
      <c r="L43" s="161">
        <v>112185</v>
      </c>
      <c r="M43" s="171">
        <v>114246</v>
      </c>
    </row>
    <row r="44" spans="1:13">
      <c r="A44" s="170" t="s">
        <v>137</v>
      </c>
      <c r="B44" s="162">
        <v>1377016</v>
      </c>
      <c r="C44" s="162">
        <v>1335533</v>
      </c>
      <c r="D44" s="162">
        <v>1576602</v>
      </c>
      <c r="E44" s="162">
        <v>1341499</v>
      </c>
      <c r="F44" s="162">
        <v>1465817</v>
      </c>
      <c r="G44" s="162">
        <v>1472506</v>
      </c>
      <c r="H44" s="162">
        <v>1607581</v>
      </c>
      <c r="I44" s="162">
        <v>1390958</v>
      </c>
      <c r="J44" s="162">
        <v>1458345</v>
      </c>
      <c r="K44" s="162">
        <v>1661539</v>
      </c>
      <c r="L44" s="161">
        <v>1733671</v>
      </c>
      <c r="M44" s="171">
        <v>1702049</v>
      </c>
    </row>
    <row r="45" spans="1:13">
      <c r="A45" s="172" t="s">
        <v>140</v>
      </c>
      <c r="B45" s="51">
        <f>B43/B38</f>
        <v>0.94739034407935518</v>
      </c>
      <c r="C45" s="51">
        <f t="shared" ref="C45:M45" si="21">C43/C38</f>
        <v>1.2845589500524035</v>
      </c>
      <c r="D45" s="51">
        <f t="shared" si="21"/>
        <v>0.81355061098262316</v>
      </c>
      <c r="E45" s="51">
        <f t="shared" si="21"/>
        <v>0.95270254002648369</v>
      </c>
      <c r="F45" s="51">
        <f t="shared" si="21"/>
        <v>1.0567604620847755</v>
      </c>
      <c r="G45" s="51">
        <f t="shared" si="21"/>
        <v>0.9524271210074513</v>
      </c>
      <c r="H45" s="51">
        <f>H43/H38</f>
        <v>1.1815136854213892</v>
      </c>
      <c r="I45" s="51">
        <f>I43/I38</f>
        <v>0.96748553403939752</v>
      </c>
      <c r="J45" s="51">
        <f t="shared" si="21"/>
        <v>0.96079799679816102</v>
      </c>
      <c r="K45" s="51">
        <f t="shared" si="21"/>
        <v>1.653597618529006</v>
      </c>
      <c r="L45" s="51">
        <f t="shared" si="21"/>
        <v>1.1043678568264375</v>
      </c>
      <c r="M45" s="173">
        <f t="shared" si="21"/>
        <v>1.0361321216738315</v>
      </c>
    </row>
    <row r="46" spans="1:13" ht="16.5" thickBot="1">
      <c r="A46" s="174" t="s">
        <v>141</v>
      </c>
      <c r="B46" s="175">
        <f>B44/B39</f>
        <v>0.9235061438935962</v>
      </c>
      <c r="C46" s="175">
        <f t="shared" ref="C46:M46" si="22">C44/C39</f>
        <v>1.4470985064535422</v>
      </c>
      <c r="D46" s="175">
        <f t="shared" si="22"/>
        <v>0.88126966169036314</v>
      </c>
      <c r="E46" s="175">
        <f t="shared" si="22"/>
        <v>1.0500452815242771</v>
      </c>
      <c r="F46" s="175">
        <f t="shared" si="22"/>
        <v>1.093477925176183</v>
      </c>
      <c r="G46" s="175">
        <f t="shared" si="22"/>
        <v>1.1371589598879912</v>
      </c>
      <c r="H46" s="175">
        <f>H44/H39</f>
        <v>1.2064850463432024</v>
      </c>
      <c r="I46" s="175">
        <f t="shared" si="22"/>
        <v>0.93575835043223787</v>
      </c>
      <c r="J46" s="175">
        <f t="shared" si="22"/>
        <v>1.0092890763037199</v>
      </c>
      <c r="K46" s="175">
        <f t="shared" si="22"/>
        <v>1.194860959994132</v>
      </c>
      <c r="L46" s="175">
        <f t="shared" si="22"/>
        <v>1.1996037926851799</v>
      </c>
      <c r="M46" s="176">
        <f t="shared" si="22"/>
        <v>0.85054266757881658</v>
      </c>
    </row>
    <row r="47" spans="1:13">
      <c r="A47" s="167" t="s">
        <v>149</v>
      </c>
      <c r="B47" s="168" t="s">
        <v>4</v>
      </c>
      <c r="C47" s="168" t="s">
        <v>5</v>
      </c>
      <c r="D47" s="168" t="s">
        <v>6</v>
      </c>
      <c r="E47" s="168" t="s">
        <v>7</v>
      </c>
      <c r="F47" s="168" t="s">
        <v>8</v>
      </c>
      <c r="G47" s="168" t="s">
        <v>9</v>
      </c>
      <c r="H47" s="168" t="s">
        <v>10</v>
      </c>
      <c r="I47" s="168" t="s">
        <v>11</v>
      </c>
      <c r="J47" s="168" t="s">
        <v>12</v>
      </c>
      <c r="K47" s="168" t="s">
        <v>13</v>
      </c>
      <c r="L47" s="168" t="s">
        <v>14</v>
      </c>
      <c r="M47" s="169" t="s">
        <v>15</v>
      </c>
    </row>
    <row r="48" spans="1:13">
      <c r="A48" s="170" t="s">
        <v>136</v>
      </c>
      <c r="B48" s="162">
        <v>110865</v>
      </c>
      <c r="C48" s="162">
        <v>76930</v>
      </c>
      <c r="D48" s="162">
        <v>90192</v>
      </c>
      <c r="E48" s="224">
        <v>96709</v>
      </c>
      <c r="F48" s="160">
        <v>93818</v>
      </c>
      <c r="G48" s="160">
        <v>94112</v>
      </c>
      <c r="H48" s="160">
        <v>100859</v>
      </c>
      <c r="I48" s="160">
        <v>92716</v>
      </c>
      <c r="J48" s="160">
        <v>96408</v>
      </c>
      <c r="K48" s="160">
        <v>101513</v>
      </c>
      <c r="L48" s="161">
        <v>99761</v>
      </c>
      <c r="M48" s="171">
        <v>114250</v>
      </c>
    </row>
    <row r="49" spans="1:13">
      <c r="A49" s="170" t="s">
        <v>137</v>
      </c>
      <c r="B49" s="162">
        <v>1677551</v>
      </c>
      <c r="C49" s="162">
        <v>1280787</v>
      </c>
      <c r="D49" s="162">
        <v>1446226</v>
      </c>
      <c r="E49" s="162">
        <v>1473548</v>
      </c>
      <c r="F49" s="162">
        <v>1475667</v>
      </c>
      <c r="G49" s="162">
        <v>1444512</v>
      </c>
      <c r="H49" s="162">
        <v>1684907</v>
      </c>
      <c r="I49" s="162">
        <v>1484707</v>
      </c>
      <c r="J49" s="162">
        <v>1393606</v>
      </c>
      <c r="K49" s="162">
        <v>1628253</v>
      </c>
      <c r="L49" s="161">
        <v>1624740</v>
      </c>
      <c r="M49" s="171">
        <v>1780193</v>
      </c>
    </row>
    <row r="50" spans="1:13">
      <c r="A50" s="172" t="s">
        <v>140</v>
      </c>
      <c r="B50" s="51">
        <f>B48/B43</f>
        <v>1.1335773662845983</v>
      </c>
      <c r="C50" s="51">
        <f>C48/C43</f>
        <v>0.93682262110621306</v>
      </c>
      <c r="D50" s="51">
        <f t="shared" ref="D50:K50" si="23">D48/D43</f>
        <v>0.98237664742402786</v>
      </c>
      <c r="E50" s="51">
        <f t="shared" si="23"/>
        <v>1.2219835483504125</v>
      </c>
      <c r="F50" s="51">
        <f t="shared" si="23"/>
        <v>0.99764991120705238</v>
      </c>
      <c r="G50" s="51">
        <f t="shared" si="23"/>
        <v>1.0764391677818572</v>
      </c>
      <c r="H50" s="51">
        <f t="shared" si="23"/>
        <v>0.96270736689383962</v>
      </c>
      <c r="I50" s="51">
        <f t="shared" si="23"/>
        <v>1.0009392306944909</v>
      </c>
      <c r="J50" s="51">
        <f t="shared" si="23"/>
        <v>1.0297359651371443</v>
      </c>
      <c r="K50" s="51">
        <f t="shared" si="23"/>
        <v>0.63674455072918301</v>
      </c>
      <c r="L50" s="51">
        <f>L48/L43</f>
        <v>0.88925435664304497</v>
      </c>
      <c r="M50" s="173">
        <f>M48/M43</f>
        <v>1.0000350121667279</v>
      </c>
    </row>
    <row r="51" spans="1:13" ht="16.5" thickBot="1">
      <c r="A51" s="174" t="s">
        <v>141</v>
      </c>
      <c r="B51" s="175">
        <f>B49/B44</f>
        <v>1.2182509135696318</v>
      </c>
      <c r="C51" s="175">
        <f>C49/C44</f>
        <v>0.95900812634356469</v>
      </c>
      <c r="D51" s="175">
        <f t="shared" ref="D51:L51" si="24">D49/D44</f>
        <v>0.91730569921895322</v>
      </c>
      <c r="E51" s="175">
        <f t="shared" si="24"/>
        <v>1.0984339160893895</v>
      </c>
      <c r="F51" s="175">
        <f t="shared" si="24"/>
        <v>1.0067198019943826</v>
      </c>
      <c r="G51" s="175">
        <f t="shared" si="24"/>
        <v>0.98098887203176077</v>
      </c>
      <c r="H51" s="175">
        <f t="shared" si="24"/>
        <v>1.048100842197065</v>
      </c>
      <c r="I51" s="175">
        <f t="shared" si="24"/>
        <v>1.0673988718566627</v>
      </c>
      <c r="J51" s="175">
        <f t="shared" si="24"/>
        <v>0.95560789799395895</v>
      </c>
      <c r="K51" s="175">
        <f t="shared" si="24"/>
        <v>0.97996676575151109</v>
      </c>
      <c r="L51" s="175">
        <f t="shared" si="24"/>
        <v>0.93716743257515411</v>
      </c>
      <c r="M51" s="176">
        <f t="shared" ref="M51" si="25">M49/M44</f>
        <v>1.0459117216954388</v>
      </c>
    </row>
    <row r="52" spans="1:13">
      <c r="A52" s="167" t="s">
        <v>150</v>
      </c>
      <c r="B52" s="168" t="s">
        <v>4</v>
      </c>
      <c r="C52" s="168" t="s">
        <v>5</v>
      </c>
      <c r="D52" s="168" t="s">
        <v>6</v>
      </c>
      <c r="E52" s="168" t="s">
        <v>7</v>
      </c>
      <c r="F52" s="168" t="s">
        <v>8</v>
      </c>
      <c r="G52" s="168" t="s">
        <v>9</v>
      </c>
      <c r="H52" s="168" t="s">
        <v>10</v>
      </c>
      <c r="I52" s="168" t="s">
        <v>11</v>
      </c>
      <c r="J52" s="168" t="s">
        <v>12</v>
      </c>
      <c r="K52" s="168" t="s">
        <v>13</v>
      </c>
      <c r="L52" s="168" t="s">
        <v>14</v>
      </c>
      <c r="M52" s="169" t="s">
        <v>15</v>
      </c>
    </row>
    <row r="53" spans="1:13">
      <c r="A53" s="170" t="s">
        <v>136</v>
      </c>
      <c r="B53" s="162">
        <v>129842</v>
      </c>
      <c r="C53" s="162">
        <v>102438</v>
      </c>
      <c r="D53" s="162">
        <v>99561</v>
      </c>
      <c r="E53" s="224">
        <v>103426</v>
      </c>
      <c r="F53" s="160">
        <v>75605</v>
      </c>
      <c r="G53" s="160">
        <v>102232</v>
      </c>
      <c r="H53" s="160">
        <v>98650</v>
      </c>
      <c r="I53" s="160">
        <v>95964</v>
      </c>
      <c r="J53" s="160">
        <v>94384</v>
      </c>
      <c r="K53" s="160">
        <v>99547</v>
      </c>
      <c r="L53" s="161">
        <v>101320</v>
      </c>
      <c r="M53" s="171">
        <v>100688</v>
      </c>
    </row>
    <row r="54" spans="1:13">
      <c r="A54" s="170" t="s">
        <v>137</v>
      </c>
      <c r="B54" s="162">
        <v>1492848</v>
      </c>
      <c r="C54" s="162">
        <v>1547363</v>
      </c>
      <c r="D54" s="162">
        <v>1584863</v>
      </c>
      <c r="E54" s="162">
        <v>1569348</v>
      </c>
      <c r="F54" s="162">
        <v>1438634</v>
      </c>
      <c r="G54" s="162">
        <v>1640073</v>
      </c>
      <c r="H54" s="162">
        <v>1737019</v>
      </c>
      <c r="I54" s="162">
        <v>1664088</v>
      </c>
      <c r="J54" s="162">
        <v>1747272</v>
      </c>
      <c r="K54" s="162">
        <v>1597388</v>
      </c>
      <c r="L54" s="161">
        <v>2143813</v>
      </c>
      <c r="M54" s="171">
        <v>1922967</v>
      </c>
    </row>
    <row r="55" spans="1:13">
      <c r="A55" s="172" t="s">
        <v>140</v>
      </c>
      <c r="B55" s="51">
        <f>B53/B48</f>
        <v>1.1711721463040634</v>
      </c>
      <c r="C55" s="51">
        <f>C53/C48</f>
        <v>1.3315741583257508</v>
      </c>
      <c r="D55" s="51">
        <f t="shared" ref="D55:K55" si="26">D53/D48</f>
        <v>1.1038783927621074</v>
      </c>
      <c r="E55" s="51">
        <f t="shared" si="26"/>
        <v>1.0694557900505641</v>
      </c>
      <c r="F55" s="51">
        <f t="shared" si="26"/>
        <v>0.8058688098232748</v>
      </c>
      <c r="G55" s="51">
        <f t="shared" si="26"/>
        <v>1.0862801768106087</v>
      </c>
      <c r="H55" s="51">
        <f t="shared" si="26"/>
        <v>0.97809813700314296</v>
      </c>
      <c r="I55" s="51">
        <f t="shared" si="26"/>
        <v>1.0350317097372621</v>
      </c>
      <c r="J55" s="51">
        <f t="shared" si="26"/>
        <v>0.97900589162725082</v>
      </c>
      <c r="K55" s="51">
        <f t="shared" si="26"/>
        <v>0.98063302237151895</v>
      </c>
      <c r="L55" s="51">
        <f>L53/L48</f>
        <v>1.0156273493649823</v>
      </c>
      <c r="M55" s="173">
        <f>M53/M48</f>
        <v>0.88129540481400437</v>
      </c>
    </row>
    <row r="56" spans="1:13" ht="16.5" thickBot="1">
      <c r="A56" s="174" t="s">
        <v>141</v>
      </c>
      <c r="B56" s="175">
        <f>B54/B49</f>
        <v>0.88989723710337276</v>
      </c>
      <c r="C56" s="175">
        <f>C54/C49</f>
        <v>1.2081345297852024</v>
      </c>
      <c r="D56" s="175">
        <f t="shared" ref="D56:M56" si="27">D54/D49</f>
        <v>1.095861227774912</v>
      </c>
      <c r="E56" s="175">
        <f t="shared" si="27"/>
        <v>1.0650131519298998</v>
      </c>
      <c r="F56" s="175">
        <f t="shared" si="27"/>
        <v>0.97490422974831048</v>
      </c>
      <c r="G56" s="175">
        <f t="shared" si="27"/>
        <v>1.1353820529009104</v>
      </c>
      <c r="H56" s="175">
        <f t="shared" si="27"/>
        <v>1.0309287100118878</v>
      </c>
      <c r="I56" s="175">
        <f t="shared" si="27"/>
        <v>1.1208191245814831</v>
      </c>
      <c r="J56" s="175">
        <f t="shared" si="27"/>
        <v>1.2537776100275113</v>
      </c>
      <c r="K56" s="175">
        <f t="shared" si="27"/>
        <v>0.98104410064037961</v>
      </c>
      <c r="L56" s="175">
        <f t="shared" si="27"/>
        <v>1.3194806553663971</v>
      </c>
      <c r="M56" s="176">
        <f t="shared" si="27"/>
        <v>1.080201416363282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AS296"/>
  <sheetViews>
    <sheetView topLeftCell="A5" zoomScale="55" zoomScaleNormal="55" workbookViewId="0">
      <pane ySplit="3" topLeftCell="A286" activePane="bottomLeft" state="frozen"/>
      <selection activeCell="A5" sqref="A5"/>
      <selection pane="bottomLeft" activeCell="J283" sqref="J283"/>
    </sheetView>
  </sheetViews>
  <sheetFormatPr defaultColWidth="8.875" defaultRowHeight="15"/>
  <cols>
    <col min="1" max="1" width="10.875" style="59" customWidth="1"/>
    <col min="2" max="2" width="16.125" style="64" bestFit="1" customWidth="1"/>
    <col min="3" max="3" width="12.125" style="59" customWidth="1"/>
    <col min="4" max="4" width="14.875" style="59" bestFit="1" customWidth="1"/>
    <col min="5" max="5" width="12.125" style="59" customWidth="1"/>
    <col min="6" max="6" width="14.875" style="59" bestFit="1" customWidth="1"/>
    <col min="7" max="13" width="12.125" style="59" customWidth="1"/>
    <col min="14" max="14" width="12.125" style="64" bestFit="1" customWidth="1"/>
    <col min="15" max="15" width="12.125" style="64" customWidth="1"/>
    <col min="16" max="22" width="12.125" style="59" customWidth="1"/>
    <col min="23" max="23" width="24.375" style="59" bestFit="1" customWidth="1"/>
    <col min="24" max="24" width="12.125" style="59" customWidth="1"/>
    <col min="25" max="25" width="12.125" style="64" bestFit="1" customWidth="1"/>
    <col min="26" max="26" width="12" style="64" customWidth="1"/>
    <col min="27" max="27" width="8.875" style="64" customWidth="1"/>
    <col min="28" max="28" width="12.125" style="64" bestFit="1" customWidth="1"/>
    <col min="29" max="29" width="14.125" style="64" bestFit="1" customWidth="1"/>
    <col min="30" max="30" width="10.875" style="64" bestFit="1" customWidth="1"/>
    <col min="31" max="33" width="10.875" style="59" bestFit="1" customWidth="1"/>
    <col min="34" max="34" width="12" style="59" bestFit="1" customWidth="1"/>
    <col min="35" max="35" width="10.375" style="59" bestFit="1" customWidth="1"/>
    <col min="36" max="259" width="8.875" style="59"/>
    <col min="260" max="260" width="10.875" style="59" customWidth="1"/>
    <col min="261" max="261" width="16.125" style="59" bestFit="1" customWidth="1"/>
    <col min="262" max="262" width="12.125" style="59" customWidth="1"/>
    <col min="263" max="263" width="14.875" style="59" bestFit="1" customWidth="1"/>
    <col min="264" max="264" width="12.125" style="59" customWidth="1"/>
    <col min="265" max="265" width="14.875" style="59" bestFit="1" customWidth="1"/>
    <col min="266" max="270" width="12.125" style="59" customWidth="1"/>
    <col min="271" max="271" width="12.125" style="59" bestFit="1" customWidth="1"/>
    <col min="272" max="280" width="12.125" style="59" customWidth="1"/>
    <col min="281" max="281" width="12.125" style="59" bestFit="1" customWidth="1"/>
    <col min="282" max="282" width="12" style="59" customWidth="1"/>
    <col min="283" max="285" width="8.875" style="59" customWidth="1"/>
    <col min="286" max="286" width="11.875" style="59" bestFit="1" customWidth="1"/>
    <col min="287" max="289" width="10.5" style="59" customWidth="1"/>
    <col min="290" max="290" width="12" style="59" bestFit="1" customWidth="1"/>
    <col min="291" max="515" width="8.875" style="59"/>
    <col min="516" max="516" width="10.875" style="59" customWidth="1"/>
    <col min="517" max="517" width="16.125" style="59" bestFit="1" customWidth="1"/>
    <col min="518" max="518" width="12.125" style="59" customWidth="1"/>
    <col min="519" max="519" width="14.875" style="59" bestFit="1" customWidth="1"/>
    <col min="520" max="520" width="12.125" style="59" customWidth="1"/>
    <col min="521" max="521" width="14.875" style="59" bestFit="1" customWidth="1"/>
    <col min="522" max="526" width="12.125" style="59" customWidth="1"/>
    <col min="527" max="527" width="12.125" style="59" bestFit="1" customWidth="1"/>
    <col min="528" max="536" width="12.125" style="59" customWidth="1"/>
    <col min="537" max="537" width="12.125" style="59" bestFit="1" customWidth="1"/>
    <col min="538" max="538" width="12" style="59" customWidth="1"/>
    <col min="539" max="541" width="8.875" style="59" customWidth="1"/>
    <col min="542" max="542" width="11.875" style="59" bestFit="1" customWidth="1"/>
    <col min="543" max="545" width="10.5" style="59" customWidth="1"/>
    <col min="546" max="546" width="12" style="59" bestFit="1" customWidth="1"/>
    <col min="547" max="771" width="8.875" style="59"/>
    <col min="772" max="772" width="10.875" style="59" customWidth="1"/>
    <col min="773" max="773" width="16.125" style="59" bestFit="1" customWidth="1"/>
    <col min="774" max="774" width="12.125" style="59" customWidth="1"/>
    <col min="775" max="775" width="14.875" style="59" bestFit="1" customWidth="1"/>
    <col min="776" max="776" width="12.125" style="59" customWidth="1"/>
    <col min="777" max="777" width="14.875" style="59" bestFit="1" customWidth="1"/>
    <col min="778" max="782" width="12.125" style="59" customWidth="1"/>
    <col min="783" max="783" width="12.125" style="59" bestFit="1" customWidth="1"/>
    <col min="784" max="792" width="12.125" style="59" customWidth="1"/>
    <col min="793" max="793" width="12.125" style="59" bestFit="1" customWidth="1"/>
    <col min="794" max="794" width="12" style="59" customWidth="1"/>
    <col min="795" max="797" width="8.875" style="59" customWidth="1"/>
    <col min="798" max="798" width="11.875" style="59" bestFit="1" customWidth="1"/>
    <col min="799" max="801" width="10.5" style="59" customWidth="1"/>
    <col min="802" max="802" width="12" style="59" bestFit="1" customWidth="1"/>
    <col min="803" max="1027" width="8.875" style="59"/>
    <col min="1028" max="1028" width="10.875" style="59" customWidth="1"/>
    <col min="1029" max="1029" width="16.125" style="59" bestFit="1" customWidth="1"/>
    <col min="1030" max="1030" width="12.125" style="59" customWidth="1"/>
    <col min="1031" max="1031" width="14.875" style="59" bestFit="1" customWidth="1"/>
    <col min="1032" max="1032" width="12.125" style="59" customWidth="1"/>
    <col min="1033" max="1033" width="14.875" style="59" bestFit="1" customWidth="1"/>
    <col min="1034" max="1038" width="12.125" style="59" customWidth="1"/>
    <col min="1039" max="1039" width="12.125" style="59" bestFit="1" customWidth="1"/>
    <col min="1040" max="1048" width="12.125" style="59" customWidth="1"/>
    <col min="1049" max="1049" width="12.125" style="59" bestFit="1" customWidth="1"/>
    <col min="1050" max="1050" width="12" style="59" customWidth="1"/>
    <col min="1051" max="1053" width="8.875" style="59" customWidth="1"/>
    <col min="1054" max="1054" width="11.875" style="59" bestFit="1" customWidth="1"/>
    <col min="1055" max="1057" width="10.5" style="59" customWidth="1"/>
    <col min="1058" max="1058" width="12" style="59" bestFit="1" customWidth="1"/>
    <col min="1059" max="1283" width="8.875" style="59"/>
    <col min="1284" max="1284" width="10.875" style="59" customWidth="1"/>
    <col min="1285" max="1285" width="16.125" style="59" bestFit="1" customWidth="1"/>
    <col min="1286" max="1286" width="12.125" style="59" customWidth="1"/>
    <col min="1287" max="1287" width="14.875" style="59" bestFit="1" customWidth="1"/>
    <col min="1288" max="1288" width="12.125" style="59" customWidth="1"/>
    <col min="1289" max="1289" width="14.875" style="59" bestFit="1" customWidth="1"/>
    <col min="1290" max="1294" width="12.125" style="59" customWidth="1"/>
    <col min="1295" max="1295" width="12.125" style="59" bestFit="1" customWidth="1"/>
    <col min="1296" max="1304" width="12.125" style="59" customWidth="1"/>
    <col min="1305" max="1305" width="12.125" style="59" bestFit="1" customWidth="1"/>
    <col min="1306" max="1306" width="12" style="59" customWidth="1"/>
    <col min="1307" max="1309" width="8.875" style="59" customWidth="1"/>
    <col min="1310" max="1310" width="11.875" style="59" bestFit="1" customWidth="1"/>
    <col min="1311" max="1313" width="10.5" style="59" customWidth="1"/>
    <col min="1314" max="1314" width="12" style="59" bestFit="1" customWidth="1"/>
    <col min="1315" max="1539" width="8.875" style="59"/>
    <col min="1540" max="1540" width="10.875" style="59" customWidth="1"/>
    <col min="1541" max="1541" width="16.125" style="59" bestFit="1" customWidth="1"/>
    <col min="1542" max="1542" width="12.125" style="59" customWidth="1"/>
    <col min="1543" max="1543" width="14.875" style="59" bestFit="1" customWidth="1"/>
    <col min="1544" max="1544" width="12.125" style="59" customWidth="1"/>
    <col min="1545" max="1545" width="14.875" style="59" bestFit="1" customWidth="1"/>
    <col min="1546" max="1550" width="12.125" style="59" customWidth="1"/>
    <col min="1551" max="1551" width="12.125" style="59" bestFit="1" customWidth="1"/>
    <col min="1552" max="1560" width="12.125" style="59" customWidth="1"/>
    <col min="1561" max="1561" width="12.125" style="59" bestFit="1" customWidth="1"/>
    <col min="1562" max="1562" width="12" style="59" customWidth="1"/>
    <col min="1563" max="1565" width="8.875" style="59" customWidth="1"/>
    <col min="1566" max="1566" width="11.875" style="59" bestFit="1" customWidth="1"/>
    <col min="1567" max="1569" width="10.5" style="59" customWidth="1"/>
    <col min="1570" max="1570" width="12" style="59" bestFit="1" customWidth="1"/>
    <col min="1571" max="1795" width="8.875" style="59"/>
    <col min="1796" max="1796" width="10.875" style="59" customWidth="1"/>
    <col min="1797" max="1797" width="16.125" style="59" bestFit="1" customWidth="1"/>
    <col min="1798" max="1798" width="12.125" style="59" customWidth="1"/>
    <col min="1799" max="1799" width="14.875" style="59" bestFit="1" customWidth="1"/>
    <col min="1800" max="1800" width="12.125" style="59" customWidth="1"/>
    <col min="1801" max="1801" width="14.875" style="59" bestFit="1" customWidth="1"/>
    <col min="1802" max="1806" width="12.125" style="59" customWidth="1"/>
    <col min="1807" max="1807" width="12.125" style="59" bestFit="1" customWidth="1"/>
    <col min="1808" max="1816" width="12.125" style="59" customWidth="1"/>
    <col min="1817" max="1817" width="12.125" style="59" bestFit="1" customWidth="1"/>
    <col min="1818" max="1818" width="12" style="59" customWidth="1"/>
    <col min="1819" max="1821" width="8.875" style="59" customWidth="1"/>
    <col min="1822" max="1822" width="11.875" style="59" bestFit="1" customWidth="1"/>
    <col min="1823" max="1825" width="10.5" style="59" customWidth="1"/>
    <col min="1826" max="1826" width="12" style="59" bestFit="1" customWidth="1"/>
    <col min="1827" max="2051" width="8.875" style="59"/>
    <col min="2052" max="2052" width="10.875" style="59" customWidth="1"/>
    <col min="2053" max="2053" width="16.125" style="59" bestFit="1" customWidth="1"/>
    <col min="2054" max="2054" width="12.125" style="59" customWidth="1"/>
    <col min="2055" max="2055" width="14.875" style="59" bestFit="1" customWidth="1"/>
    <col min="2056" max="2056" width="12.125" style="59" customWidth="1"/>
    <col min="2057" max="2057" width="14.875" style="59" bestFit="1" customWidth="1"/>
    <col min="2058" max="2062" width="12.125" style="59" customWidth="1"/>
    <col min="2063" max="2063" width="12.125" style="59" bestFit="1" customWidth="1"/>
    <col min="2064" max="2072" width="12.125" style="59" customWidth="1"/>
    <col min="2073" max="2073" width="12.125" style="59" bestFit="1" customWidth="1"/>
    <col min="2074" max="2074" width="12" style="59" customWidth="1"/>
    <col min="2075" max="2077" width="8.875" style="59" customWidth="1"/>
    <col min="2078" max="2078" width="11.875" style="59" bestFit="1" customWidth="1"/>
    <col min="2079" max="2081" width="10.5" style="59" customWidth="1"/>
    <col min="2082" max="2082" width="12" style="59" bestFit="1" customWidth="1"/>
    <col min="2083" max="2307" width="8.875" style="59"/>
    <col min="2308" max="2308" width="10.875" style="59" customWidth="1"/>
    <col min="2309" max="2309" width="16.125" style="59" bestFit="1" customWidth="1"/>
    <col min="2310" max="2310" width="12.125" style="59" customWidth="1"/>
    <col min="2311" max="2311" width="14.875" style="59" bestFit="1" customWidth="1"/>
    <col min="2312" max="2312" width="12.125" style="59" customWidth="1"/>
    <col min="2313" max="2313" width="14.875" style="59" bestFit="1" customWidth="1"/>
    <col min="2314" max="2318" width="12.125" style="59" customWidth="1"/>
    <col min="2319" max="2319" width="12.125" style="59" bestFit="1" customWidth="1"/>
    <col min="2320" max="2328" width="12.125" style="59" customWidth="1"/>
    <col min="2329" max="2329" width="12.125" style="59" bestFit="1" customWidth="1"/>
    <col min="2330" max="2330" width="12" style="59" customWidth="1"/>
    <col min="2331" max="2333" width="8.875" style="59" customWidth="1"/>
    <col min="2334" max="2334" width="11.875" style="59" bestFit="1" customWidth="1"/>
    <col min="2335" max="2337" width="10.5" style="59" customWidth="1"/>
    <col min="2338" max="2338" width="12" style="59" bestFit="1" customWidth="1"/>
    <col min="2339" max="2563" width="8.875" style="59"/>
    <col min="2564" max="2564" width="10.875" style="59" customWidth="1"/>
    <col min="2565" max="2565" width="16.125" style="59" bestFit="1" customWidth="1"/>
    <col min="2566" max="2566" width="12.125" style="59" customWidth="1"/>
    <col min="2567" max="2567" width="14.875" style="59" bestFit="1" customWidth="1"/>
    <col min="2568" max="2568" width="12.125" style="59" customWidth="1"/>
    <col min="2569" max="2569" width="14.875" style="59" bestFit="1" customWidth="1"/>
    <col min="2570" max="2574" width="12.125" style="59" customWidth="1"/>
    <col min="2575" max="2575" width="12.125" style="59" bestFit="1" customWidth="1"/>
    <col min="2576" max="2584" width="12.125" style="59" customWidth="1"/>
    <col min="2585" max="2585" width="12.125" style="59" bestFit="1" customWidth="1"/>
    <col min="2586" max="2586" width="12" style="59" customWidth="1"/>
    <col min="2587" max="2589" width="8.875" style="59" customWidth="1"/>
    <col min="2590" max="2590" width="11.875" style="59" bestFit="1" customWidth="1"/>
    <col min="2591" max="2593" width="10.5" style="59" customWidth="1"/>
    <col min="2594" max="2594" width="12" style="59" bestFit="1" customWidth="1"/>
    <col min="2595" max="2819" width="8.875" style="59"/>
    <col min="2820" max="2820" width="10.875" style="59" customWidth="1"/>
    <col min="2821" max="2821" width="16.125" style="59" bestFit="1" customWidth="1"/>
    <col min="2822" max="2822" width="12.125" style="59" customWidth="1"/>
    <col min="2823" max="2823" width="14.875" style="59" bestFit="1" customWidth="1"/>
    <col min="2824" max="2824" width="12.125" style="59" customWidth="1"/>
    <col min="2825" max="2825" width="14.875" style="59" bestFit="1" customWidth="1"/>
    <col min="2826" max="2830" width="12.125" style="59" customWidth="1"/>
    <col min="2831" max="2831" width="12.125" style="59" bestFit="1" customWidth="1"/>
    <col min="2832" max="2840" width="12.125" style="59" customWidth="1"/>
    <col min="2841" max="2841" width="12.125" style="59" bestFit="1" customWidth="1"/>
    <col min="2842" max="2842" width="12" style="59" customWidth="1"/>
    <col min="2843" max="2845" width="8.875" style="59" customWidth="1"/>
    <col min="2846" max="2846" width="11.875" style="59" bestFit="1" customWidth="1"/>
    <col min="2847" max="2849" width="10.5" style="59" customWidth="1"/>
    <col min="2850" max="2850" width="12" style="59" bestFit="1" customWidth="1"/>
    <col min="2851" max="3075" width="8.875" style="59"/>
    <col min="3076" max="3076" width="10.875" style="59" customWidth="1"/>
    <col min="3077" max="3077" width="16.125" style="59" bestFit="1" customWidth="1"/>
    <col min="3078" max="3078" width="12.125" style="59" customWidth="1"/>
    <col min="3079" max="3079" width="14.875" style="59" bestFit="1" customWidth="1"/>
    <col min="3080" max="3080" width="12.125" style="59" customWidth="1"/>
    <col min="3081" max="3081" width="14.875" style="59" bestFit="1" customWidth="1"/>
    <col min="3082" max="3086" width="12.125" style="59" customWidth="1"/>
    <col min="3087" max="3087" width="12.125" style="59" bestFit="1" customWidth="1"/>
    <col min="3088" max="3096" width="12.125" style="59" customWidth="1"/>
    <col min="3097" max="3097" width="12.125" style="59" bestFit="1" customWidth="1"/>
    <col min="3098" max="3098" width="12" style="59" customWidth="1"/>
    <col min="3099" max="3101" width="8.875" style="59" customWidth="1"/>
    <col min="3102" max="3102" width="11.875" style="59" bestFit="1" customWidth="1"/>
    <col min="3103" max="3105" width="10.5" style="59" customWidth="1"/>
    <col min="3106" max="3106" width="12" style="59" bestFit="1" customWidth="1"/>
    <col min="3107" max="3331" width="8.875" style="59"/>
    <col min="3332" max="3332" width="10.875" style="59" customWidth="1"/>
    <col min="3333" max="3333" width="16.125" style="59" bestFit="1" customWidth="1"/>
    <col min="3334" max="3334" width="12.125" style="59" customWidth="1"/>
    <col min="3335" max="3335" width="14.875" style="59" bestFit="1" customWidth="1"/>
    <col min="3336" max="3336" width="12.125" style="59" customWidth="1"/>
    <col min="3337" max="3337" width="14.875" style="59" bestFit="1" customWidth="1"/>
    <col min="3338" max="3342" width="12.125" style="59" customWidth="1"/>
    <col min="3343" max="3343" width="12.125" style="59" bestFit="1" customWidth="1"/>
    <col min="3344" max="3352" width="12.125" style="59" customWidth="1"/>
    <col min="3353" max="3353" width="12.125" style="59" bestFit="1" customWidth="1"/>
    <col min="3354" max="3354" width="12" style="59" customWidth="1"/>
    <col min="3355" max="3357" width="8.875" style="59" customWidth="1"/>
    <col min="3358" max="3358" width="11.875" style="59" bestFit="1" customWidth="1"/>
    <col min="3359" max="3361" width="10.5" style="59" customWidth="1"/>
    <col min="3362" max="3362" width="12" style="59" bestFit="1" customWidth="1"/>
    <col min="3363" max="3587" width="8.875" style="59"/>
    <col min="3588" max="3588" width="10.875" style="59" customWidth="1"/>
    <col min="3589" max="3589" width="16.125" style="59" bestFit="1" customWidth="1"/>
    <col min="3590" max="3590" width="12.125" style="59" customWidth="1"/>
    <col min="3591" max="3591" width="14.875" style="59" bestFit="1" customWidth="1"/>
    <col min="3592" max="3592" width="12.125" style="59" customWidth="1"/>
    <col min="3593" max="3593" width="14.875" style="59" bestFit="1" customWidth="1"/>
    <col min="3594" max="3598" width="12.125" style="59" customWidth="1"/>
    <col min="3599" max="3599" width="12.125" style="59" bestFit="1" customWidth="1"/>
    <col min="3600" max="3608" width="12.125" style="59" customWidth="1"/>
    <col min="3609" max="3609" width="12.125" style="59" bestFit="1" customWidth="1"/>
    <col min="3610" max="3610" width="12" style="59" customWidth="1"/>
    <col min="3611" max="3613" width="8.875" style="59" customWidth="1"/>
    <col min="3614" max="3614" width="11.875" style="59" bestFit="1" customWidth="1"/>
    <col min="3615" max="3617" width="10.5" style="59" customWidth="1"/>
    <col min="3618" max="3618" width="12" style="59" bestFit="1" customWidth="1"/>
    <col min="3619" max="3843" width="8.875" style="59"/>
    <col min="3844" max="3844" width="10.875" style="59" customWidth="1"/>
    <col min="3845" max="3845" width="16.125" style="59" bestFit="1" customWidth="1"/>
    <col min="3846" max="3846" width="12.125" style="59" customWidth="1"/>
    <col min="3847" max="3847" width="14.875" style="59" bestFit="1" customWidth="1"/>
    <col min="3848" max="3848" width="12.125" style="59" customWidth="1"/>
    <col min="3849" max="3849" width="14.875" style="59" bestFit="1" customWidth="1"/>
    <col min="3850" max="3854" width="12.125" style="59" customWidth="1"/>
    <col min="3855" max="3855" width="12.125" style="59" bestFit="1" customWidth="1"/>
    <col min="3856" max="3864" width="12.125" style="59" customWidth="1"/>
    <col min="3865" max="3865" width="12.125" style="59" bestFit="1" customWidth="1"/>
    <col min="3866" max="3866" width="12" style="59" customWidth="1"/>
    <col min="3867" max="3869" width="8.875" style="59" customWidth="1"/>
    <col min="3870" max="3870" width="11.875" style="59" bestFit="1" customWidth="1"/>
    <col min="3871" max="3873" width="10.5" style="59" customWidth="1"/>
    <col min="3874" max="3874" width="12" style="59" bestFit="1" customWidth="1"/>
    <col min="3875" max="4099" width="8.875" style="59"/>
    <col min="4100" max="4100" width="10.875" style="59" customWidth="1"/>
    <col min="4101" max="4101" width="16.125" style="59" bestFit="1" customWidth="1"/>
    <col min="4102" max="4102" width="12.125" style="59" customWidth="1"/>
    <col min="4103" max="4103" width="14.875" style="59" bestFit="1" customWidth="1"/>
    <col min="4104" max="4104" width="12.125" style="59" customWidth="1"/>
    <col min="4105" max="4105" width="14.875" style="59" bestFit="1" customWidth="1"/>
    <col min="4106" max="4110" width="12.125" style="59" customWidth="1"/>
    <col min="4111" max="4111" width="12.125" style="59" bestFit="1" customWidth="1"/>
    <col min="4112" max="4120" width="12.125" style="59" customWidth="1"/>
    <col min="4121" max="4121" width="12.125" style="59" bestFit="1" customWidth="1"/>
    <col min="4122" max="4122" width="12" style="59" customWidth="1"/>
    <col min="4123" max="4125" width="8.875" style="59" customWidth="1"/>
    <col min="4126" max="4126" width="11.875" style="59" bestFit="1" customWidth="1"/>
    <col min="4127" max="4129" width="10.5" style="59" customWidth="1"/>
    <col min="4130" max="4130" width="12" style="59" bestFit="1" customWidth="1"/>
    <col min="4131" max="4355" width="8.875" style="59"/>
    <col min="4356" max="4356" width="10.875" style="59" customWidth="1"/>
    <col min="4357" max="4357" width="16.125" style="59" bestFit="1" customWidth="1"/>
    <col min="4358" max="4358" width="12.125" style="59" customWidth="1"/>
    <col min="4359" max="4359" width="14.875" style="59" bestFit="1" customWidth="1"/>
    <col min="4360" max="4360" width="12.125" style="59" customWidth="1"/>
    <col min="4361" max="4361" width="14.875" style="59" bestFit="1" customWidth="1"/>
    <col min="4362" max="4366" width="12.125" style="59" customWidth="1"/>
    <col min="4367" max="4367" width="12.125" style="59" bestFit="1" customWidth="1"/>
    <col min="4368" max="4376" width="12.125" style="59" customWidth="1"/>
    <col min="4377" max="4377" width="12.125" style="59" bestFit="1" customWidth="1"/>
    <col min="4378" max="4378" width="12" style="59" customWidth="1"/>
    <col min="4379" max="4381" width="8.875" style="59" customWidth="1"/>
    <col min="4382" max="4382" width="11.875" style="59" bestFit="1" customWidth="1"/>
    <col min="4383" max="4385" width="10.5" style="59" customWidth="1"/>
    <col min="4386" max="4386" width="12" style="59" bestFit="1" customWidth="1"/>
    <col min="4387" max="4611" width="8.875" style="59"/>
    <col min="4612" max="4612" width="10.875" style="59" customWidth="1"/>
    <col min="4613" max="4613" width="16.125" style="59" bestFit="1" customWidth="1"/>
    <col min="4614" max="4614" width="12.125" style="59" customWidth="1"/>
    <col min="4615" max="4615" width="14.875" style="59" bestFit="1" customWidth="1"/>
    <col min="4616" max="4616" width="12.125" style="59" customWidth="1"/>
    <col min="4617" max="4617" width="14.875" style="59" bestFit="1" customWidth="1"/>
    <col min="4618" max="4622" width="12.125" style="59" customWidth="1"/>
    <col min="4623" max="4623" width="12.125" style="59" bestFit="1" customWidth="1"/>
    <col min="4624" max="4632" width="12.125" style="59" customWidth="1"/>
    <col min="4633" max="4633" width="12.125" style="59" bestFit="1" customWidth="1"/>
    <col min="4634" max="4634" width="12" style="59" customWidth="1"/>
    <col min="4635" max="4637" width="8.875" style="59" customWidth="1"/>
    <col min="4638" max="4638" width="11.875" style="59" bestFit="1" customWidth="1"/>
    <col min="4639" max="4641" width="10.5" style="59" customWidth="1"/>
    <col min="4642" max="4642" width="12" style="59" bestFit="1" customWidth="1"/>
    <col min="4643" max="4867" width="8.875" style="59"/>
    <col min="4868" max="4868" width="10.875" style="59" customWidth="1"/>
    <col min="4869" max="4869" width="16.125" style="59" bestFit="1" customWidth="1"/>
    <col min="4870" max="4870" width="12.125" style="59" customWidth="1"/>
    <col min="4871" max="4871" width="14.875" style="59" bestFit="1" customWidth="1"/>
    <col min="4872" max="4872" width="12.125" style="59" customWidth="1"/>
    <col min="4873" max="4873" width="14.875" style="59" bestFit="1" customWidth="1"/>
    <col min="4874" max="4878" width="12.125" style="59" customWidth="1"/>
    <col min="4879" max="4879" width="12.125" style="59" bestFit="1" customWidth="1"/>
    <col min="4880" max="4888" width="12.125" style="59" customWidth="1"/>
    <col min="4889" max="4889" width="12.125" style="59" bestFit="1" customWidth="1"/>
    <col min="4890" max="4890" width="12" style="59" customWidth="1"/>
    <col min="4891" max="4893" width="8.875" style="59" customWidth="1"/>
    <col min="4894" max="4894" width="11.875" style="59" bestFit="1" customWidth="1"/>
    <col min="4895" max="4897" width="10.5" style="59" customWidth="1"/>
    <col min="4898" max="4898" width="12" style="59" bestFit="1" customWidth="1"/>
    <col min="4899" max="5123" width="8.875" style="59"/>
    <col min="5124" max="5124" width="10.875" style="59" customWidth="1"/>
    <col min="5125" max="5125" width="16.125" style="59" bestFit="1" customWidth="1"/>
    <col min="5126" max="5126" width="12.125" style="59" customWidth="1"/>
    <col min="5127" max="5127" width="14.875" style="59" bestFit="1" customWidth="1"/>
    <col min="5128" max="5128" width="12.125" style="59" customWidth="1"/>
    <col min="5129" max="5129" width="14.875" style="59" bestFit="1" customWidth="1"/>
    <col min="5130" max="5134" width="12.125" style="59" customWidth="1"/>
    <col min="5135" max="5135" width="12.125" style="59" bestFit="1" customWidth="1"/>
    <col min="5136" max="5144" width="12.125" style="59" customWidth="1"/>
    <col min="5145" max="5145" width="12.125" style="59" bestFit="1" customWidth="1"/>
    <col min="5146" max="5146" width="12" style="59" customWidth="1"/>
    <col min="5147" max="5149" width="8.875" style="59" customWidth="1"/>
    <col min="5150" max="5150" width="11.875" style="59" bestFit="1" customWidth="1"/>
    <col min="5151" max="5153" width="10.5" style="59" customWidth="1"/>
    <col min="5154" max="5154" width="12" style="59" bestFit="1" customWidth="1"/>
    <col min="5155" max="5379" width="8.875" style="59"/>
    <col min="5380" max="5380" width="10.875" style="59" customWidth="1"/>
    <col min="5381" max="5381" width="16.125" style="59" bestFit="1" customWidth="1"/>
    <col min="5382" max="5382" width="12.125" style="59" customWidth="1"/>
    <col min="5383" max="5383" width="14.875" style="59" bestFit="1" customWidth="1"/>
    <col min="5384" max="5384" width="12.125" style="59" customWidth="1"/>
    <col min="5385" max="5385" width="14.875" style="59" bestFit="1" customWidth="1"/>
    <col min="5386" max="5390" width="12.125" style="59" customWidth="1"/>
    <col min="5391" max="5391" width="12.125" style="59" bestFit="1" customWidth="1"/>
    <col min="5392" max="5400" width="12.125" style="59" customWidth="1"/>
    <col min="5401" max="5401" width="12.125" style="59" bestFit="1" customWidth="1"/>
    <col min="5402" max="5402" width="12" style="59" customWidth="1"/>
    <col min="5403" max="5405" width="8.875" style="59" customWidth="1"/>
    <col min="5406" max="5406" width="11.875" style="59" bestFit="1" customWidth="1"/>
    <col min="5407" max="5409" width="10.5" style="59" customWidth="1"/>
    <col min="5410" max="5410" width="12" style="59" bestFit="1" customWidth="1"/>
    <col min="5411" max="5635" width="8.875" style="59"/>
    <col min="5636" max="5636" width="10.875" style="59" customWidth="1"/>
    <col min="5637" max="5637" width="16.125" style="59" bestFit="1" customWidth="1"/>
    <col min="5638" max="5638" width="12.125" style="59" customWidth="1"/>
    <col min="5639" max="5639" width="14.875" style="59" bestFit="1" customWidth="1"/>
    <col min="5640" max="5640" width="12.125" style="59" customWidth="1"/>
    <col min="5641" max="5641" width="14.875" style="59" bestFit="1" customWidth="1"/>
    <col min="5642" max="5646" width="12.125" style="59" customWidth="1"/>
    <col min="5647" max="5647" width="12.125" style="59" bestFit="1" customWidth="1"/>
    <col min="5648" max="5656" width="12.125" style="59" customWidth="1"/>
    <col min="5657" max="5657" width="12.125" style="59" bestFit="1" customWidth="1"/>
    <col min="5658" max="5658" width="12" style="59" customWidth="1"/>
    <col min="5659" max="5661" width="8.875" style="59" customWidth="1"/>
    <col min="5662" max="5662" width="11.875" style="59" bestFit="1" customWidth="1"/>
    <col min="5663" max="5665" width="10.5" style="59" customWidth="1"/>
    <col min="5666" max="5666" width="12" style="59" bestFit="1" customWidth="1"/>
    <col min="5667" max="5891" width="8.875" style="59"/>
    <col min="5892" max="5892" width="10.875" style="59" customWidth="1"/>
    <col min="5893" max="5893" width="16.125" style="59" bestFit="1" customWidth="1"/>
    <col min="5894" max="5894" width="12.125" style="59" customWidth="1"/>
    <col min="5895" max="5895" width="14.875" style="59" bestFit="1" customWidth="1"/>
    <col min="5896" max="5896" width="12.125" style="59" customWidth="1"/>
    <col min="5897" max="5897" width="14.875" style="59" bestFit="1" customWidth="1"/>
    <col min="5898" max="5902" width="12.125" style="59" customWidth="1"/>
    <col min="5903" max="5903" width="12.125" style="59" bestFit="1" customWidth="1"/>
    <col min="5904" max="5912" width="12.125" style="59" customWidth="1"/>
    <col min="5913" max="5913" width="12.125" style="59" bestFit="1" customWidth="1"/>
    <col min="5914" max="5914" width="12" style="59" customWidth="1"/>
    <col min="5915" max="5917" width="8.875" style="59" customWidth="1"/>
    <col min="5918" max="5918" width="11.875" style="59" bestFit="1" customWidth="1"/>
    <col min="5919" max="5921" width="10.5" style="59" customWidth="1"/>
    <col min="5922" max="5922" width="12" style="59" bestFit="1" customWidth="1"/>
    <col min="5923" max="6147" width="8.875" style="59"/>
    <col min="6148" max="6148" width="10.875" style="59" customWidth="1"/>
    <col min="6149" max="6149" width="16.125" style="59" bestFit="1" customWidth="1"/>
    <col min="6150" max="6150" width="12.125" style="59" customWidth="1"/>
    <col min="6151" max="6151" width="14.875" style="59" bestFit="1" customWidth="1"/>
    <col min="6152" max="6152" width="12.125" style="59" customWidth="1"/>
    <col min="6153" max="6153" width="14.875" style="59" bestFit="1" customWidth="1"/>
    <col min="6154" max="6158" width="12.125" style="59" customWidth="1"/>
    <col min="6159" max="6159" width="12.125" style="59" bestFit="1" customWidth="1"/>
    <col min="6160" max="6168" width="12.125" style="59" customWidth="1"/>
    <col min="6169" max="6169" width="12.125" style="59" bestFit="1" customWidth="1"/>
    <col min="6170" max="6170" width="12" style="59" customWidth="1"/>
    <col min="6171" max="6173" width="8.875" style="59" customWidth="1"/>
    <col min="6174" max="6174" width="11.875" style="59" bestFit="1" customWidth="1"/>
    <col min="6175" max="6177" width="10.5" style="59" customWidth="1"/>
    <col min="6178" max="6178" width="12" style="59" bestFit="1" customWidth="1"/>
    <col min="6179" max="6403" width="8.875" style="59"/>
    <col min="6404" max="6404" width="10.875" style="59" customWidth="1"/>
    <col min="6405" max="6405" width="16.125" style="59" bestFit="1" customWidth="1"/>
    <col min="6406" max="6406" width="12.125" style="59" customWidth="1"/>
    <col min="6407" max="6407" width="14.875" style="59" bestFit="1" customWidth="1"/>
    <col min="6408" max="6408" width="12.125" style="59" customWidth="1"/>
    <col min="6409" max="6409" width="14.875" style="59" bestFit="1" customWidth="1"/>
    <col min="6410" max="6414" width="12.125" style="59" customWidth="1"/>
    <col min="6415" max="6415" width="12.125" style="59" bestFit="1" customWidth="1"/>
    <col min="6416" max="6424" width="12.125" style="59" customWidth="1"/>
    <col min="6425" max="6425" width="12.125" style="59" bestFit="1" customWidth="1"/>
    <col min="6426" max="6426" width="12" style="59" customWidth="1"/>
    <col min="6427" max="6429" width="8.875" style="59" customWidth="1"/>
    <col min="6430" max="6430" width="11.875" style="59" bestFit="1" customWidth="1"/>
    <col min="6431" max="6433" width="10.5" style="59" customWidth="1"/>
    <col min="6434" max="6434" width="12" style="59" bestFit="1" customWidth="1"/>
    <col min="6435" max="6659" width="8.875" style="59"/>
    <col min="6660" max="6660" width="10.875" style="59" customWidth="1"/>
    <col min="6661" max="6661" width="16.125" style="59" bestFit="1" customWidth="1"/>
    <col min="6662" max="6662" width="12.125" style="59" customWidth="1"/>
    <col min="6663" max="6663" width="14.875" style="59" bestFit="1" customWidth="1"/>
    <col min="6664" max="6664" width="12.125" style="59" customWidth="1"/>
    <col min="6665" max="6665" width="14.875" style="59" bestFit="1" customWidth="1"/>
    <col min="6666" max="6670" width="12.125" style="59" customWidth="1"/>
    <col min="6671" max="6671" width="12.125" style="59" bestFit="1" customWidth="1"/>
    <col min="6672" max="6680" width="12.125" style="59" customWidth="1"/>
    <col min="6681" max="6681" width="12.125" style="59" bestFit="1" customWidth="1"/>
    <col min="6682" max="6682" width="12" style="59" customWidth="1"/>
    <col min="6683" max="6685" width="8.875" style="59" customWidth="1"/>
    <col min="6686" max="6686" width="11.875" style="59" bestFit="1" customWidth="1"/>
    <col min="6687" max="6689" width="10.5" style="59" customWidth="1"/>
    <col min="6690" max="6690" width="12" style="59" bestFit="1" customWidth="1"/>
    <col min="6691" max="6915" width="8.875" style="59"/>
    <col min="6916" max="6916" width="10.875" style="59" customWidth="1"/>
    <col min="6917" max="6917" width="16.125" style="59" bestFit="1" customWidth="1"/>
    <col min="6918" max="6918" width="12.125" style="59" customWidth="1"/>
    <col min="6919" max="6919" width="14.875" style="59" bestFit="1" customWidth="1"/>
    <col min="6920" max="6920" width="12.125" style="59" customWidth="1"/>
    <col min="6921" max="6921" width="14.875" style="59" bestFit="1" customWidth="1"/>
    <col min="6922" max="6926" width="12.125" style="59" customWidth="1"/>
    <col min="6927" max="6927" width="12.125" style="59" bestFit="1" customWidth="1"/>
    <col min="6928" max="6936" width="12.125" style="59" customWidth="1"/>
    <col min="6937" max="6937" width="12.125" style="59" bestFit="1" customWidth="1"/>
    <col min="6938" max="6938" width="12" style="59" customWidth="1"/>
    <col min="6939" max="6941" width="8.875" style="59" customWidth="1"/>
    <col min="6942" max="6942" width="11.875" style="59" bestFit="1" customWidth="1"/>
    <col min="6943" max="6945" width="10.5" style="59" customWidth="1"/>
    <col min="6946" max="6946" width="12" style="59" bestFit="1" customWidth="1"/>
    <col min="6947" max="7171" width="8.875" style="59"/>
    <col min="7172" max="7172" width="10.875" style="59" customWidth="1"/>
    <col min="7173" max="7173" width="16.125" style="59" bestFit="1" customWidth="1"/>
    <col min="7174" max="7174" width="12.125" style="59" customWidth="1"/>
    <col min="7175" max="7175" width="14.875" style="59" bestFit="1" customWidth="1"/>
    <col min="7176" max="7176" width="12.125" style="59" customWidth="1"/>
    <col min="7177" max="7177" width="14.875" style="59" bestFit="1" customWidth="1"/>
    <col min="7178" max="7182" width="12.125" style="59" customWidth="1"/>
    <col min="7183" max="7183" width="12.125" style="59" bestFit="1" customWidth="1"/>
    <col min="7184" max="7192" width="12.125" style="59" customWidth="1"/>
    <col min="7193" max="7193" width="12.125" style="59" bestFit="1" customWidth="1"/>
    <col min="7194" max="7194" width="12" style="59" customWidth="1"/>
    <col min="7195" max="7197" width="8.875" style="59" customWidth="1"/>
    <col min="7198" max="7198" width="11.875" style="59" bestFit="1" customWidth="1"/>
    <col min="7199" max="7201" width="10.5" style="59" customWidth="1"/>
    <col min="7202" max="7202" width="12" style="59" bestFit="1" customWidth="1"/>
    <col min="7203" max="7427" width="8.875" style="59"/>
    <col min="7428" max="7428" width="10.875" style="59" customWidth="1"/>
    <col min="7429" max="7429" width="16.125" style="59" bestFit="1" customWidth="1"/>
    <col min="7430" max="7430" width="12.125" style="59" customWidth="1"/>
    <col min="7431" max="7431" width="14.875" style="59" bestFit="1" customWidth="1"/>
    <col min="7432" max="7432" width="12.125" style="59" customWidth="1"/>
    <col min="7433" max="7433" width="14.875" style="59" bestFit="1" customWidth="1"/>
    <col min="7434" max="7438" width="12.125" style="59" customWidth="1"/>
    <col min="7439" max="7439" width="12.125" style="59" bestFit="1" customWidth="1"/>
    <col min="7440" max="7448" width="12.125" style="59" customWidth="1"/>
    <col min="7449" max="7449" width="12.125" style="59" bestFit="1" customWidth="1"/>
    <col min="7450" max="7450" width="12" style="59" customWidth="1"/>
    <col min="7451" max="7453" width="8.875" style="59" customWidth="1"/>
    <col min="7454" max="7454" width="11.875" style="59" bestFit="1" customWidth="1"/>
    <col min="7455" max="7457" width="10.5" style="59" customWidth="1"/>
    <col min="7458" max="7458" width="12" style="59" bestFit="1" customWidth="1"/>
    <col min="7459" max="7683" width="8.875" style="59"/>
    <col min="7684" max="7684" width="10.875" style="59" customWidth="1"/>
    <col min="7685" max="7685" width="16.125" style="59" bestFit="1" customWidth="1"/>
    <col min="7686" max="7686" width="12.125" style="59" customWidth="1"/>
    <col min="7687" max="7687" width="14.875" style="59" bestFit="1" customWidth="1"/>
    <col min="7688" max="7688" width="12.125" style="59" customWidth="1"/>
    <col min="7689" max="7689" width="14.875" style="59" bestFit="1" customWidth="1"/>
    <col min="7690" max="7694" width="12.125" style="59" customWidth="1"/>
    <col min="7695" max="7695" width="12.125" style="59" bestFit="1" customWidth="1"/>
    <col min="7696" max="7704" width="12.125" style="59" customWidth="1"/>
    <col min="7705" max="7705" width="12.125" style="59" bestFit="1" customWidth="1"/>
    <col min="7706" max="7706" width="12" style="59" customWidth="1"/>
    <col min="7707" max="7709" width="8.875" style="59" customWidth="1"/>
    <col min="7710" max="7710" width="11.875" style="59" bestFit="1" customWidth="1"/>
    <col min="7711" max="7713" width="10.5" style="59" customWidth="1"/>
    <col min="7714" max="7714" width="12" style="59" bestFit="1" customWidth="1"/>
    <col min="7715" max="7939" width="8.875" style="59"/>
    <col min="7940" max="7940" width="10.875" style="59" customWidth="1"/>
    <col min="7941" max="7941" width="16.125" style="59" bestFit="1" customWidth="1"/>
    <col min="7942" max="7942" width="12.125" style="59" customWidth="1"/>
    <col min="7943" max="7943" width="14.875" style="59" bestFit="1" customWidth="1"/>
    <col min="7944" max="7944" width="12.125" style="59" customWidth="1"/>
    <col min="7945" max="7945" width="14.875" style="59" bestFit="1" customWidth="1"/>
    <col min="7946" max="7950" width="12.125" style="59" customWidth="1"/>
    <col min="7951" max="7951" width="12.125" style="59" bestFit="1" customWidth="1"/>
    <col min="7952" max="7960" width="12.125" style="59" customWidth="1"/>
    <col min="7961" max="7961" width="12.125" style="59" bestFit="1" customWidth="1"/>
    <col min="7962" max="7962" width="12" style="59" customWidth="1"/>
    <col min="7963" max="7965" width="8.875" style="59" customWidth="1"/>
    <col min="7966" max="7966" width="11.875" style="59" bestFit="1" customWidth="1"/>
    <col min="7967" max="7969" width="10.5" style="59" customWidth="1"/>
    <col min="7970" max="7970" width="12" style="59" bestFit="1" customWidth="1"/>
    <col min="7971" max="8195" width="8.875" style="59"/>
    <col min="8196" max="8196" width="10.875" style="59" customWidth="1"/>
    <col min="8197" max="8197" width="16.125" style="59" bestFit="1" customWidth="1"/>
    <col min="8198" max="8198" width="12.125" style="59" customWidth="1"/>
    <col min="8199" max="8199" width="14.875" style="59" bestFit="1" customWidth="1"/>
    <col min="8200" max="8200" width="12.125" style="59" customWidth="1"/>
    <col min="8201" max="8201" width="14.875" style="59" bestFit="1" customWidth="1"/>
    <col min="8202" max="8206" width="12.125" style="59" customWidth="1"/>
    <col min="8207" max="8207" width="12.125" style="59" bestFit="1" customWidth="1"/>
    <col min="8208" max="8216" width="12.125" style="59" customWidth="1"/>
    <col min="8217" max="8217" width="12.125" style="59" bestFit="1" customWidth="1"/>
    <col min="8218" max="8218" width="12" style="59" customWidth="1"/>
    <col min="8219" max="8221" width="8.875" style="59" customWidth="1"/>
    <col min="8222" max="8222" width="11.875" style="59" bestFit="1" customWidth="1"/>
    <col min="8223" max="8225" width="10.5" style="59" customWidth="1"/>
    <col min="8226" max="8226" width="12" style="59" bestFit="1" customWidth="1"/>
    <col min="8227" max="8451" width="8.875" style="59"/>
    <col min="8452" max="8452" width="10.875" style="59" customWidth="1"/>
    <col min="8453" max="8453" width="16.125" style="59" bestFit="1" customWidth="1"/>
    <col min="8454" max="8454" width="12.125" style="59" customWidth="1"/>
    <col min="8455" max="8455" width="14.875" style="59" bestFit="1" customWidth="1"/>
    <col min="8456" max="8456" width="12.125" style="59" customWidth="1"/>
    <col min="8457" max="8457" width="14.875" style="59" bestFit="1" customWidth="1"/>
    <col min="8458" max="8462" width="12.125" style="59" customWidth="1"/>
    <col min="8463" max="8463" width="12.125" style="59" bestFit="1" customWidth="1"/>
    <col min="8464" max="8472" width="12.125" style="59" customWidth="1"/>
    <col min="8473" max="8473" width="12.125" style="59" bestFit="1" customWidth="1"/>
    <col min="8474" max="8474" width="12" style="59" customWidth="1"/>
    <col min="8475" max="8477" width="8.875" style="59" customWidth="1"/>
    <col min="8478" max="8478" width="11.875" style="59" bestFit="1" customWidth="1"/>
    <col min="8479" max="8481" width="10.5" style="59" customWidth="1"/>
    <col min="8482" max="8482" width="12" style="59" bestFit="1" customWidth="1"/>
    <col min="8483" max="8707" width="8.875" style="59"/>
    <col min="8708" max="8708" width="10.875" style="59" customWidth="1"/>
    <col min="8709" max="8709" width="16.125" style="59" bestFit="1" customWidth="1"/>
    <col min="8710" max="8710" width="12.125" style="59" customWidth="1"/>
    <col min="8711" max="8711" width="14.875" style="59" bestFit="1" customWidth="1"/>
    <col min="8712" max="8712" width="12.125" style="59" customWidth="1"/>
    <col min="8713" max="8713" width="14.875" style="59" bestFit="1" customWidth="1"/>
    <col min="8714" max="8718" width="12.125" style="59" customWidth="1"/>
    <col min="8719" max="8719" width="12.125" style="59" bestFit="1" customWidth="1"/>
    <col min="8720" max="8728" width="12.125" style="59" customWidth="1"/>
    <col min="8729" max="8729" width="12.125" style="59" bestFit="1" customWidth="1"/>
    <col min="8730" max="8730" width="12" style="59" customWidth="1"/>
    <col min="8731" max="8733" width="8.875" style="59" customWidth="1"/>
    <col min="8734" max="8734" width="11.875" style="59" bestFit="1" customWidth="1"/>
    <col min="8735" max="8737" width="10.5" style="59" customWidth="1"/>
    <col min="8738" max="8738" width="12" style="59" bestFit="1" customWidth="1"/>
    <col min="8739" max="8963" width="8.875" style="59"/>
    <col min="8964" max="8964" width="10.875" style="59" customWidth="1"/>
    <col min="8965" max="8965" width="16.125" style="59" bestFit="1" customWidth="1"/>
    <col min="8966" max="8966" width="12.125" style="59" customWidth="1"/>
    <col min="8967" max="8967" width="14.875" style="59" bestFit="1" customWidth="1"/>
    <col min="8968" max="8968" width="12.125" style="59" customWidth="1"/>
    <col min="8969" max="8969" width="14.875" style="59" bestFit="1" customWidth="1"/>
    <col min="8970" max="8974" width="12.125" style="59" customWidth="1"/>
    <col min="8975" max="8975" width="12.125" style="59" bestFit="1" customWidth="1"/>
    <col min="8976" max="8984" width="12.125" style="59" customWidth="1"/>
    <col min="8985" max="8985" width="12.125" style="59" bestFit="1" customWidth="1"/>
    <col min="8986" max="8986" width="12" style="59" customWidth="1"/>
    <col min="8987" max="8989" width="8.875" style="59" customWidth="1"/>
    <col min="8990" max="8990" width="11.875" style="59" bestFit="1" customWidth="1"/>
    <col min="8991" max="8993" width="10.5" style="59" customWidth="1"/>
    <col min="8994" max="8994" width="12" style="59" bestFit="1" customWidth="1"/>
    <col min="8995" max="9219" width="8.875" style="59"/>
    <col min="9220" max="9220" width="10.875" style="59" customWidth="1"/>
    <col min="9221" max="9221" width="16.125" style="59" bestFit="1" customWidth="1"/>
    <col min="9222" max="9222" width="12.125" style="59" customWidth="1"/>
    <col min="9223" max="9223" width="14.875" style="59" bestFit="1" customWidth="1"/>
    <col min="9224" max="9224" width="12.125" style="59" customWidth="1"/>
    <col min="9225" max="9225" width="14.875" style="59" bestFit="1" customWidth="1"/>
    <col min="9226" max="9230" width="12.125" style="59" customWidth="1"/>
    <col min="9231" max="9231" width="12.125" style="59" bestFit="1" customWidth="1"/>
    <col min="9232" max="9240" width="12.125" style="59" customWidth="1"/>
    <col min="9241" max="9241" width="12.125" style="59" bestFit="1" customWidth="1"/>
    <col min="9242" max="9242" width="12" style="59" customWidth="1"/>
    <col min="9243" max="9245" width="8.875" style="59" customWidth="1"/>
    <col min="9246" max="9246" width="11.875" style="59" bestFit="1" customWidth="1"/>
    <col min="9247" max="9249" width="10.5" style="59" customWidth="1"/>
    <col min="9250" max="9250" width="12" style="59" bestFit="1" customWidth="1"/>
    <col min="9251" max="9475" width="8.875" style="59"/>
    <col min="9476" max="9476" width="10.875" style="59" customWidth="1"/>
    <col min="9477" max="9477" width="16.125" style="59" bestFit="1" customWidth="1"/>
    <col min="9478" max="9478" width="12.125" style="59" customWidth="1"/>
    <col min="9479" max="9479" width="14.875" style="59" bestFit="1" customWidth="1"/>
    <col min="9480" max="9480" width="12.125" style="59" customWidth="1"/>
    <col min="9481" max="9481" width="14.875" style="59" bestFit="1" customWidth="1"/>
    <col min="9482" max="9486" width="12.125" style="59" customWidth="1"/>
    <col min="9487" max="9487" width="12.125" style="59" bestFit="1" customWidth="1"/>
    <col min="9488" max="9496" width="12.125" style="59" customWidth="1"/>
    <col min="9497" max="9497" width="12.125" style="59" bestFit="1" customWidth="1"/>
    <col min="9498" max="9498" width="12" style="59" customWidth="1"/>
    <col min="9499" max="9501" width="8.875" style="59" customWidth="1"/>
    <col min="9502" max="9502" width="11.875" style="59" bestFit="1" customWidth="1"/>
    <col min="9503" max="9505" width="10.5" style="59" customWidth="1"/>
    <col min="9506" max="9506" width="12" style="59" bestFit="1" customWidth="1"/>
    <col min="9507" max="9731" width="8.875" style="59"/>
    <col min="9732" max="9732" width="10.875" style="59" customWidth="1"/>
    <col min="9733" max="9733" width="16.125" style="59" bestFit="1" customWidth="1"/>
    <col min="9734" max="9734" width="12.125" style="59" customWidth="1"/>
    <col min="9735" max="9735" width="14.875" style="59" bestFit="1" customWidth="1"/>
    <col min="9736" max="9736" width="12.125" style="59" customWidth="1"/>
    <col min="9737" max="9737" width="14.875" style="59" bestFit="1" customWidth="1"/>
    <col min="9738" max="9742" width="12.125" style="59" customWidth="1"/>
    <col min="9743" max="9743" width="12.125" style="59" bestFit="1" customWidth="1"/>
    <col min="9744" max="9752" width="12.125" style="59" customWidth="1"/>
    <col min="9753" max="9753" width="12.125" style="59" bestFit="1" customWidth="1"/>
    <col min="9754" max="9754" width="12" style="59" customWidth="1"/>
    <col min="9755" max="9757" width="8.875" style="59" customWidth="1"/>
    <col min="9758" max="9758" width="11.875" style="59" bestFit="1" customWidth="1"/>
    <col min="9759" max="9761" width="10.5" style="59" customWidth="1"/>
    <col min="9762" max="9762" width="12" style="59" bestFit="1" customWidth="1"/>
    <col min="9763" max="9987" width="8.875" style="59"/>
    <col min="9988" max="9988" width="10.875" style="59" customWidth="1"/>
    <col min="9989" max="9989" width="16.125" style="59" bestFit="1" customWidth="1"/>
    <col min="9990" max="9990" width="12.125" style="59" customWidth="1"/>
    <col min="9991" max="9991" width="14.875" style="59" bestFit="1" customWidth="1"/>
    <col min="9992" max="9992" width="12.125" style="59" customWidth="1"/>
    <col min="9993" max="9993" width="14.875" style="59" bestFit="1" customWidth="1"/>
    <col min="9994" max="9998" width="12.125" style="59" customWidth="1"/>
    <col min="9999" max="9999" width="12.125" style="59" bestFit="1" customWidth="1"/>
    <col min="10000" max="10008" width="12.125" style="59" customWidth="1"/>
    <col min="10009" max="10009" width="12.125" style="59" bestFit="1" customWidth="1"/>
    <col min="10010" max="10010" width="12" style="59" customWidth="1"/>
    <col min="10011" max="10013" width="8.875" style="59" customWidth="1"/>
    <col min="10014" max="10014" width="11.875" style="59" bestFit="1" customWidth="1"/>
    <col min="10015" max="10017" width="10.5" style="59" customWidth="1"/>
    <col min="10018" max="10018" width="12" style="59" bestFit="1" customWidth="1"/>
    <col min="10019" max="10243" width="8.875" style="59"/>
    <col min="10244" max="10244" width="10.875" style="59" customWidth="1"/>
    <col min="10245" max="10245" width="16.125" style="59" bestFit="1" customWidth="1"/>
    <col min="10246" max="10246" width="12.125" style="59" customWidth="1"/>
    <col min="10247" max="10247" width="14.875" style="59" bestFit="1" customWidth="1"/>
    <col min="10248" max="10248" width="12.125" style="59" customWidth="1"/>
    <col min="10249" max="10249" width="14.875" style="59" bestFit="1" customWidth="1"/>
    <col min="10250" max="10254" width="12.125" style="59" customWidth="1"/>
    <col min="10255" max="10255" width="12.125" style="59" bestFit="1" customWidth="1"/>
    <col min="10256" max="10264" width="12.125" style="59" customWidth="1"/>
    <col min="10265" max="10265" width="12.125" style="59" bestFit="1" customWidth="1"/>
    <col min="10266" max="10266" width="12" style="59" customWidth="1"/>
    <col min="10267" max="10269" width="8.875" style="59" customWidth="1"/>
    <col min="10270" max="10270" width="11.875" style="59" bestFit="1" customWidth="1"/>
    <col min="10271" max="10273" width="10.5" style="59" customWidth="1"/>
    <col min="10274" max="10274" width="12" style="59" bestFit="1" customWidth="1"/>
    <col min="10275" max="10499" width="8.875" style="59"/>
    <col min="10500" max="10500" width="10.875" style="59" customWidth="1"/>
    <col min="10501" max="10501" width="16.125" style="59" bestFit="1" customWidth="1"/>
    <col min="10502" max="10502" width="12.125" style="59" customWidth="1"/>
    <col min="10503" max="10503" width="14.875" style="59" bestFit="1" customWidth="1"/>
    <col min="10504" max="10504" width="12.125" style="59" customWidth="1"/>
    <col min="10505" max="10505" width="14.875" style="59" bestFit="1" customWidth="1"/>
    <col min="10506" max="10510" width="12.125" style="59" customWidth="1"/>
    <col min="10511" max="10511" width="12.125" style="59" bestFit="1" customWidth="1"/>
    <col min="10512" max="10520" width="12.125" style="59" customWidth="1"/>
    <col min="10521" max="10521" width="12.125" style="59" bestFit="1" customWidth="1"/>
    <col min="10522" max="10522" width="12" style="59" customWidth="1"/>
    <col min="10523" max="10525" width="8.875" style="59" customWidth="1"/>
    <col min="10526" max="10526" width="11.875" style="59" bestFit="1" customWidth="1"/>
    <col min="10527" max="10529" width="10.5" style="59" customWidth="1"/>
    <col min="10530" max="10530" width="12" style="59" bestFit="1" customWidth="1"/>
    <col min="10531" max="10755" width="8.875" style="59"/>
    <col min="10756" max="10756" width="10.875" style="59" customWidth="1"/>
    <col min="10757" max="10757" width="16.125" style="59" bestFit="1" customWidth="1"/>
    <col min="10758" max="10758" width="12.125" style="59" customWidth="1"/>
    <col min="10759" max="10759" width="14.875" style="59" bestFit="1" customWidth="1"/>
    <col min="10760" max="10760" width="12.125" style="59" customWidth="1"/>
    <col min="10761" max="10761" width="14.875" style="59" bestFit="1" customWidth="1"/>
    <col min="10762" max="10766" width="12.125" style="59" customWidth="1"/>
    <col min="10767" max="10767" width="12.125" style="59" bestFit="1" customWidth="1"/>
    <col min="10768" max="10776" width="12.125" style="59" customWidth="1"/>
    <col min="10777" max="10777" width="12.125" style="59" bestFit="1" customWidth="1"/>
    <col min="10778" max="10778" width="12" style="59" customWidth="1"/>
    <col min="10779" max="10781" width="8.875" style="59" customWidth="1"/>
    <col min="10782" max="10782" width="11.875" style="59" bestFit="1" customWidth="1"/>
    <col min="10783" max="10785" width="10.5" style="59" customWidth="1"/>
    <col min="10786" max="10786" width="12" style="59" bestFit="1" customWidth="1"/>
    <col min="10787" max="11011" width="8.875" style="59"/>
    <col min="11012" max="11012" width="10.875" style="59" customWidth="1"/>
    <col min="11013" max="11013" width="16.125" style="59" bestFit="1" customWidth="1"/>
    <col min="11014" max="11014" width="12.125" style="59" customWidth="1"/>
    <col min="11015" max="11015" width="14.875" style="59" bestFit="1" customWidth="1"/>
    <col min="11016" max="11016" width="12.125" style="59" customWidth="1"/>
    <col min="11017" max="11017" width="14.875" style="59" bestFit="1" customWidth="1"/>
    <col min="11018" max="11022" width="12.125" style="59" customWidth="1"/>
    <col min="11023" max="11023" width="12.125" style="59" bestFit="1" customWidth="1"/>
    <col min="11024" max="11032" width="12.125" style="59" customWidth="1"/>
    <col min="11033" max="11033" width="12.125" style="59" bestFit="1" customWidth="1"/>
    <col min="11034" max="11034" width="12" style="59" customWidth="1"/>
    <col min="11035" max="11037" width="8.875" style="59" customWidth="1"/>
    <col min="11038" max="11038" width="11.875" style="59" bestFit="1" customWidth="1"/>
    <col min="11039" max="11041" width="10.5" style="59" customWidth="1"/>
    <col min="11042" max="11042" width="12" style="59" bestFit="1" customWidth="1"/>
    <col min="11043" max="11267" width="8.875" style="59"/>
    <col min="11268" max="11268" width="10.875" style="59" customWidth="1"/>
    <col min="11269" max="11269" width="16.125" style="59" bestFit="1" customWidth="1"/>
    <col min="11270" max="11270" width="12.125" style="59" customWidth="1"/>
    <col min="11271" max="11271" width="14.875" style="59" bestFit="1" customWidth="1"/>
    <col min="11272" max="11272" width="12.125" style="59" customWidth="1"/>
    <col min="11273" max="11273" width="14.875" style="59" bestFit="1" customWidth="1"/>
    <col min="11274" max="11278" width="12.125" style="59" customWidth="1"/>
    <col min="11279" max="11279" width="12.125" style="59" bestFit="1" customWidth="1"/>
    <col min="11280" max="11288" width="12.125" style="59" customWidth="1"/>
    <col min="11289" max="11289" width="12.125" style="59" bestFit="1" customWidth="1"/>
    <col min="11290" max="11290" width="12" style="59" customWidth="1"/>
    <col min="11291" max="11293" width="8.875" style="59" customWidth="1"/>
    <col min="11294" max="11294" width="11.875" style="59" bestFit="1" customWidth="1"/>
    <col min="11295" max="11297" width="10.5" style="59" customWidth="1"/>
    <col min="11298" max="11298" width="12" style="59" bestFit="1" customWidth="1"/>
    <col min="11299" max="11523" width="8.875" style="59"/>
    <col min="11524" max="11524" width="10.875" style="59" customWidth="1"/>
    <col min="11525" max="11525" width="16.125" style="59" bestFit="1" customWidth="1"/>
    <col min="11526" max="11526" width="12.125" style="59" customWidth="1"/>
    <col min="11527" max="11527" width="14.875" style="59" bestFit="1" customWidth="1"/>
    <col min="11528" max="11528" width="12.125" style="59" customWidth="1"/>
    <col min="11529" max="11529" width="14.875" style="59" bestFit="1" customWidth="1"/>
    <col min="11530" max="11534" width="12.125" style="59" customWidth="1"/>
    <col min="11535" max="11535" width="12.125" style="59" bestFit="1" customWidth="1"/>
    <col min="11536" max="11544" width="12.125" style="59" customWidth="1"/>
    <col min="11545" max="11545" width="12.125" style="59" bestFit="1" customWidth="1"/>
    <col min="11546" max="11546" width="12" style="59" customWidth="1"/>
    <col min="11547" max="11549" width="8.875" style="59" customWidth="1"/>
    <col min="11550" max="11550" width="11.875" style="59" bestFit="1" customWidth="1"/>
    <col min="11551" max="11553" width="10.5" style="59" customWidth="1"/>
    <col min="11554" max="11554" width="12" style="59" bestFit="1" customWidth="1"/>
    <col min="11555" max="11779" width="8.875" style="59"/>
    <col min="11780" max="11780" width="10.875" style="59" customWidth="1"/>
    <col min="11781" max="11781" width="16.125" style="59" bestFit="1" customWidth="1"/>
    <col min="11782" max="11782" width="12.125" style="59" customWidth="1"/>
    <col min="11783" max="11783" width="14.875" style="59" bestFit="1" customWidth="1"/>
    <col min="11784" max="11784" width="12.125" style="59" customWidth="1"/>
    <col min="11785" max="11785" width="14.875" style="59" bestFit="1" customWidth="1"/>
    <col min="11786" max="11790" width="12.125" style="59" customWidth="1"/>
    <col min="11791" max="11791" width="12.125" style="59" bestFit="1" customWidth="1"/>
    <col min="11792" max="11800" width="12.125" style="59" customWidth="1"/>
    <col min="11801" max="11801" width="12.125" style="59" bestFit="1" customWidth="1"/>
    <col min="11802" max="11802" width="12" style="59" customWidth="1"/>
    <col min="11803" max="11805" width="8.875" style="59" customWidth="1"/>
    <col min="11806" max="11806" width="11.875" style="59" bestFit="1" customWidth="1"/>
    <col min="11807" max="11809" width="10.5" style="59" customWidth="1"/>
    <col min="11810" max="11810" width="12" style="59" bestFit="1" customWidth="1"/>
    <col min="11811" max="12035" width="8.875" style="59"/>
    <col min="12036" max="12036" width="10.875" style="59" customWidth="1"/>
    <col min="12037" max="12037" width="16.125" style="59" bestFit="1" customWidth="1"/>
    <col min="12038" max="12038" width="12.125" style="59" customWidth="1"/>
    <col min="12039" max="12039" width="14.875" style="59" bestFit="1" customWidth="1"/>
    <col min="12040" max="12040" width="12.125" style="59" customWidth="1"/>
    <col min="12041" max="12041" width="14.875" style="59" bestFit="1" customWidth="1"/>
    <col min="12042" max="12046" width="12.125" style="59" customWidth="1"/>
    <col min="12047" max="12047" width="12.125" style="59" bestFit="1" customWidth="1"/>
    <col min="12048" max="12056" width="12.125" style="59" customWidth="1"/>
    <col min="12057" max="12057" width="12.125" style="59" bestFit="1" customWidth="1"/>
    <col min="12058" max="12058" width="12" style="59" customWidth="1"/>
    <col min="12059" max="12061" width="8.875" style="59" customWidth="1"/>
    <col min="12062" max="12062" width="11.875" style="59" bestFit="1" customWidth="1"/>
    <col min="12063" max="12065" width="10.5" style="59" customWidth="1"/>
    <col min="12066" max="12066" width="12" style="59" bestFit="1" customWidth="1"/>
    <col min="12067" max="12291" width="8.875" style="59"/>
    <col min="12292" max="12292" width="10.875" style="59" customWidth="1"/>
    <col min="12293" max="12293" width="16.125" style="59" bestFit="1" customWidth="1"/>
    <col min="12294" max="12294" width="12.125" style="59" customWidth="1"/>
    <col min="12295" max="12295" width="14.875" style="59" bestFit="1" customWidth="1"/>
    <col min="12296" max="12296" width="12.125" style="59" customWidth="1"/>
    <col min="12297" max="12297" width="14.875" style="59" bestFit="1" customWidth="1"/>
    <col min="12298" max="12302" width="12.125" style="59" customWidth="1"/>
    <col min="12303" max="12303" width="12.125" style="59" bestFit="1" customWidth="1"/>
    <col min="12304" max="12312" width="12.125" style="59" customWidth="1"/>
    <col min="12313" max="12313" width="12.125" style="59" bestFit="1" customWidth="1"/>
    <col min="12314" max="12314" width="12" style="59" customWidth="1"/>
    <col min="12315" max="12317" width="8.875" style="59" customWidth="1"/>
    <col min="12318" max="12318" width="11.875" style="59" bestFit="1" customWidth="1"/>
    <col min="12319" max="12321" width="10.5" style="59" customWidth="1"/>
    <col min="12322" max="12322" width="12" style="59" bestFit="1" customWidth="1"/>
    <col min="12323" max="12547" width="8.875" style="59"/>
    <col min="12548" max="12548" width="10.875" style="59" customWidth="1"/>
    <col min="12549" max="12549" width="16.125" style="59" bestFit="1" customWidth="1"/>
    <col min="12550" max="12550" width="12.125" style="59" customWidth="1"/>
    <col min="12551" max="12551" width="14.875" style="59" bestFit="1" customWidth="1"/>
    <col min="12552" max="12552" width="12.125" style="59" customWidth="1"/>
    <col min="12553" max="12553" width="14.875" style="59" bestFit="1" customWidth="1"/>
    <col min="12554" max="12558" width="12.125" style="59" customWidth="1"/>
    <col min="12559" max="12559" width="12.125" style="59" bestFit="1" customWidth="1"/>
    <col min="12560" max="12568" width="12.125" style="59" customWidth="1"/>
    <col min="12569" max="12569" width="12.125" style="59" bestFit="1" customWidth="1"/>
    <col min="12570" max="12570" width="12" style="59" customWidth="1"/>
    <col min="12571" max="12573" width="8.875" style="59" customWidth="1"/>
    <col min="12574" max="12574" width="11.875" style="59" bestFit="1" customWidth="1"/>
    <col min="12575" max="12577" width="10.5" style="59" customWidth="1"/>
    <col min="12578" max="12578" width="12" style="59" bestFit="1" customWidth="1"/>
    <col min="12579" max="12803" width="8.875" style="59"/>
    <col min="12804" max="12804" width="10.875" style="59" customWidth="1"/>
    <col min="12805" max="12805" width="16.125" style="59" bestFit="1" customWidth="1"/>
    <col min="12806" max="12806" width="12.125" style="59" customWidth="1"/>
    <col min="12807" max="12807" width="14.875" style="59" bestFit="1" customWidth="1"/>
    <col min="12808" max="12808" width="12.125" style="59" customWidth="1"/>
    <col min="12809" max="12809" width="14.875" style="59" bestFit="1" customWidth="1"/>
    <col min="12810" max="12814" width="12.125" style="59" customWidth="1"/>
    <col min="12815" max="12815" width="12.125" style="59" bestFit="1" customWidth="1"/>
    <col min="12816" max="12824" width="12.125" style="59" customWidth="1"/>
    <col min="12825" max="12825" width="12.125" style="59" bestFit="1" customWidth="1"/>
    <col min="12826" max="12826" width="12" style="59" customWidth="1"/>
    <col min="12827" max="12829" width="8.875" style="59" customWidth="1"/>
    <col min="12830" max="12830" width="11.875" style="59" bestFit="1" customWidth="1"/>
    <col min="12831" max="12833" width="10.5" style="59" customWidth="1"/>
    <col min="12834" max="12834" width="12" style="59" bestFit="1" customWidth="1"/>
    <col min="12835" max="13059" width="8.875" style="59"/>
    <col min="13060" max="13060" width="10.875" style="59" customWidth="1"/>
    <col min="13061" max="13061" width="16.125" style="59" bestFit="1" customWidth="1"/>
    <col min="13062" max="13062" width="12.125" style="59" customWidth="1"/>
    <col min="13063" max="13063" width="14.875" style="59" bestFit="1" customWidth="1"/>
    <col min="13064" max="13064" width="12.125" style="59" customWidth="1"/>
    <col min="13065" max="13065" width="14.875" style="59" bestFit="1" customWidth="1"/>
    <col min="13066" max="13070" width="12.125" style="59" customWidth="1"/>
    <col min="13071" max="13071" width="12.125" style="59" bestFit="1" customWidth="1"/>
    <col min="13072" max="13080" width="12.125" style="59" customWidth="1"/>
    <col min="13081" max="13081" width="12.125" style="59" bestFit="1" customWidth="1"/>
    <col min="13082" max="13082" width="12" style="59" customWidth="1"/>
    <col min="13083" max="13085" width="8.875" style="59" customWidth="1"/>
    <col min="13086" max="13086" width="11.875" style="59" bestFit="1" customWidth="1"/>
    <col min="13087" max="13089" width="10.5" style="59" customWidth="1"/>
    <col min="13090" max="13090" width="12" style="59" bestFit="1" customWidth="1"/>
    <col min="13091" max="13315" width="8.875" style="59"/>
    <col min="13316" max="13316" width="10.875" style="59" customWidth="1"/>
    <col min="13317" max="13317" width="16.125" style="59" bestFit="1" customWidth="1"/>
    <col min="13318" max="13318" width="12.125" style="59" customWidth="1"/>
    <col min="13319" max="13319" width="14.875" style="59" bestFit="1" customWidth="1"/>
    <col min="13320" max="13320" width="12.125" style="59" customWidth="1"/>
    <col min="13321" max="13321" width="14.875" style="59" bestFit="1" customWidth="1"/>
    <col min="13322" max="13326" width="12.125" style="59" customWidth="1"/>
    <col min="13327" max="13327" width="12.125" style="59" bestFit="1" customWidth="1"/>
    <col min="13328" max="13336" width="12.125" style="59" customWidth="1"/>
    <col min="13337" max="13337" width="12.125" style="59" bestFit="1" customWidth="1"/>
    <col min="13338" max="13338" width="12" style="59" customWidth="1"/>
    <col min="13339" max="13341" width="8.875" style="59" customWidth="1"/>
    <col min="13342" max="13342" width="11.875" style="59" bestFit="1" customWidth="1"/>
    <col min="13343" max="13345" width="10.5" style="59" customWidth="1"/>
    <col min="13346" max="13346" width="12" style="59" bestFit="1" customWidth="1"/>
    <col min="13347" max="13571" width="8.875" style="59"/>
    <col min="13572" max="13572" width="10.875" style="59" customWidth="1"/>
    <col min="13573" max="13573" width="16.125" style="59" bestFit="1" customWidth="1"/>
    <col min="13574" max="13574" width="12.125" style="59" customWidth="1"/>
    <col min="13575" max="13575" width="14.875" style="59" bestFit="1" customWidth="1"/>
    <col min="13576" max="13576" width="12.125" style="59" customWidth="1"/>
    <col min="13577" max="13577" width="14.875" style="59" bestFit="1" customWidth="1"/>
    <col min="13578" max="13582" width="12.125" style="59" customWidth="1"/>
    <col min="13583" max="13583" width="12.125" style="59" bestFit="1" customWidth="1"/>
    <col min="13584" max="13592" width="12.125" style="59" customWidth="1"/>
    <col min="13593" max="13593" width="12.125" style="59" bestFit="1" customWidth="1"/>
    <col min="13594" max="13594" width="12" style="59" customWidth="1"/>
    <col min="13595" max="13597" width="8.875" style="59" customWidth="1"/>
    <col min="13598" max="13598" width="11.875" style="59" bestFit="1" customWidth="1"/>
    <col min="13599" max="13601" width="10.5" style="59" customWidth="1"/>
    <col min="13602" max="13602" width="12" style="59" bestFit="1" customWidth="1"/>
    <col min="13603" max="13827" width="8.875" style="59"/>
    <col min="13828" max="13828" width="10.875" style="59" customWidth="1"/>
    <col min="13829" max="13829" width="16.125" style="59" bestFit="1" customWidth="1"/>
    <col min="13830" max="13830" width="12.125" style="59" customWidth="1"/>
    <col min="13831" max="13831" width="14.875" style="59" bestFit="1" customWidth="1"/>
    <col min="13832" max="13832" width="12.125" style="59" customWidth="1"/>
    <col min="13833" max="13833" width="14.875" style="59" bestFit="1" customWidth="1"/>
    <col min="13834" max="13838" width="12.125" style="59" customWidth="1"/>
    <col min="13839" max="13839" width="12.125" style="59" bestFit="1" customWidth="1"/>
    <col min="13840" max="13848" width="12.125" style="59" customWidth="1"/>
    <col min="13849" max="13849" width="12.125" style="59" bestFit="1" customWidth="1"/>
    <col min="13850" max="13850" width="12" style="59" customWidth="1"/>
    <col min="13851" max="13853" width="8.875" style="59" customWidth="1"/>
    <col min="13854" max="13854" width="11.875" style="59" bestFit="1" customWidth="1"/>
    <col min="13855" max="13857" width="10.5" style="59" customWidth="1"/>
    <col min="13858" max="13858" width="12" style="59" bestFit="1" customWidth="1"/>
    <col min="13859" max="14083" width="8.875" style="59"/>
    <col min="14084" max="14084" width="10.875" style="59" customWidth="1"/>
    <col min="14085" max="14085" width="16.125" style="59" bestFit="1" customWidth="1"/>
    <col min="14086" max="14086" width="12.125" style="59" customWidth="1"/>
    <col min="14087" max="14087" width="14.875" style="59" bestFit="1" customWidth="1"/>
    <col min="14088" max="14088" width="12.125" style="59" customWidth="1"/>
    <col min="14089" max="14089" width="14.875" style="59" bestFit="1" customWidth="1"/>
    <col min="14090" max="14094" width="12.125" style="59" customWidth="1"/>
    <col min="14095" max="14095" width="12.125" style="59" bestFit="1" customWidth="1"/>
    <col min="14096" max="14104" width="12.125" style="59" customWidth="1"/>
    <col min="14105" max="14105" width="12.125" style="59" bestFit="1" customWidth="1"/>
    <col min="14106" max="14106" width="12" style="59" customWidth="1"/>
    <col min="14107" max="14109" width="8.875" style="59" customWidth="1"/>
    <col min="14110" max="14110" width="11.875" style="59" bestFit="1" customWidth="1"/>
    <col min="14111" max="14113" width="10.5" style="59" customWidth="1"/>
    <col min="14114" max="14114" width="12" style="59" bestFit="1" customWidth="1"/>
    <col min="14115" max="14339" width="8.875" style="59"/>
    <col min="14340" max="14340" width="10.875" style="59" customWidth="1"/>
    <col min="14341" max="14341" width="16.125" style="59" bestFit="1" customWidth="1"/>
    <col min="14342" max="14342" width="12.125" style="59" customWidth="1"/>
    <col min="14343" max="14343" width="14.875" style="59" bestFit="1" customWidth="1"/>
    <col min="14344" max="14344" width="12.125" style="59" customWidth="1"/>
    <col min="14345" max="14345" width="14.875" style="59" bestFit="1" customWidth="1"/>
    <col min="14346" max="14350" width="12.125" style="59" customWidth="1"/>
    <col min="14351" max="14351" width="12.125" style="59" bestFit="1" customWidth="1"/>
    <col min="14352" max="14360" width="12.125" style="59" customWidth="1"/>
    <col min="14361" max="14361" width="12.125" style="59" bestFit="1" customWidth="1"/>
    <col min="14362" max="14362" width="12" style="59" customWidth="1"/>
    <col min="14363" max="14365" width="8.875" style="59" customWidth="1"/>
    <col min="14366" max="14366" width="11.875" style="59" bestFit="1" customWidth="1"/>
    <col min="14367" max="14369" width="10.5" style="59" customWidth="1"/>
    <col min="14370" max="14370" width="12" style="59" bestFit="1" customWidth="1"/>
    <col min="14371" max="14595" width="8.875" style="59"/>
    <col min="14596" max="14596" width="10.875" style="59" customWidth="1"/>
    <col min="14597" max="14597" width="16.125" style="59" bestFit="1" customWidth="1"/>
    <col min="14598" max="14598" width="12.125" style="59" customWidth="1"/>
    <col min="14599" max="14599" width="14.875" style="59" bestFit="1" customWidth="1"/>
    <col min="14600" max="14600" width="12.125" style="59" customWidth="1"/>
    <col min="14601" max="14601" width="14.875" style="59" bestFit="1" customWidth="1"/>
    <col min="14602" max="14606" width="12.125" style="59" customWidth="1"/>
    <col min="14607" max="14607" width="12.125" style="59" bestFit="1" customWidth="1"/>
    <col min="14608" max="14616" width="12.125" style="59" customWidth="1"/>
    <col min="14617" max="14617" width="12.125" style="59" bestFit="1" customWidth="1"/>
    <col min="14618" max="14618" width="12" style="59" customWidth="1"/>
    <col min="14619" max="14621" width="8.875" style="59" customWidth="1"/>
    <col min="14622" max="14622" width="11.875" style="59" bestFit="1" customWidth="1"/>
    <col min="14623" max="14625" width="10.5" style="59" customWidth="1"/>
    <col min="14626" max="14626" width="12" style="59" bestFit="1" customWidth="1"/>
    <col min="14627" max="14851" width="8.875" style="59"/>
    <col min="14852" max="14852" width="10.875" style="59" customWidth="1"/>
    <col min="14853" max="14853" width="16.125" style="59" bestFit="1" customWidth="1"/>
    <col min="14854" max="14854" width="12.125" style="59" customWidth="1"/>
    <col min="14855" max="14855" width="14.875" style="59" bestFit="1" customWidth="1"/>
    <col min="14856" max="14856" width="12.125" style="59" customWidth="1"/>
    <col min="14857" max="14857" width="14.875" style="59" bestFit="1" customWidth="1"/>
    <col min="14858" max="14862" width="12.125" style="59" customWidth="1"/>
    <col min="14863" max="14863" width="12.125" style="59" bestFit="1" customWidth="1"/>
    <col min="14864" max="14872" width="12.125" style="59" customWidth="1"/>
    <col min="14873" max="14873" width="12.125" style="59" bestFit="1" customWidth="1"/>
    <col min="14874" max="14874" width="12" style="59" customWidth="1"/>
    <col min="14875" max="14877" width="8.875" style="59" customWidth="1"/>
    <col min="14878" max="14878" width="11.875" style="59" bestFit="1" customWidth="1"/>
    <col min="14879" max="14881" width="10.5" style="59" customWidth="1"/>
    <col min="14882" max="14882" width="12" style="59" bestFit="1" customWidth="1"/>
    <col min="14883" max="15107" width="8.875" style="59"/>
    <col min="15108" max="15108" width="10.875" style="59" customWidth="1"/>
    <col min="15109" max="15109" width="16.125" style="59" bestFit="1" customWidth="1"/>
    <col min="15110" max="15110" width="12.125" style="59" customWidth="1"/>
    <col min="15111" max="15111" width="14.875" style="59" bestFit="1" customWidth="1"/>
    <col min="15112" max="15112" width="12.125" style="59" customWidth="1"/>
    <col min="15113" max="15113" width="14.875" style="59" bestFit="1" customWidth="1"/>
    <col min="15114" max="15118" width="12.125" style="59" customWidth="1"/>
    <col min="15119" max="15119" width="12.125" style="59" bestFit="1" customWidth="1"/>
    <col min="15120" max="15128" width="12.125" style="59" customWidth="1"/>
    <col min="15129" max="15129" width="12.125" style="59" bestFit="1" customWidth="1"/>
    <col min="15130" max="15130" width="12" style="59" customWidth="1"/>
    <col min="15131" max="15133" width="8.875" style="59" customWidth="1"/>
    <col min="15134" max="15134" width="11.875" style="59" bestFit="1" customWidth="1"/>
    <col min="15135" max="15137" width="10.5" style="59" customWidth="1"/>
    <col min="15138" max="15138" width="12" style="59" bestFit="1" customWidth="1"/>
    <col min="15139" max="15363" width="8.875" style="59"/>
    <col min="15364" max="15364" width="10.875" style="59" customWidth="1"/>
    <col min="15365" max="15365" width="16.125" style="59" bestFit="1" customWidth="1"/>
    <col min="15366" max="15366" width="12.125" style="59" customWidth="1"/>
    <col min="15367" max="15367" width="14.875" style="59" bestFit="1" customWidth="1"/>
    <col min="15368" max="15368" width="12.125" style="59" customWidth="1"/>
    <col min="15369" max="15369" width="14.875" style="59" bestFit="1" customWidth="1"/>
    <col min="15370" max="15374" width="12.125" style="59" customWidth="1"/>
    <col min="15375" max="15375" width="12.125" style="59" bestFit="1" customWidth="1"/>
    <col min="15376" max="15384" width="12.125" style="59" customWidth="1"/>
    <col min="15385" max="15385" width="12.125" style="59" bestFit="1" customWidth="1"/>
    <col min="15386" max="15386" width="12" style="59" customWidth="1"/>
    <col min="15387" max="15389" width="8.875" style="59" customWidth="1"/>
    <col min="15390" max="15390" width="11.875" style="59" bestFit="1" customWidth="1"/>
    <col min="15391" max="15393" width="10.5" style="59" customWidth="1"/>
    <col min="15394" max="15394" width="12" style="59" bestFit="1" customWidth="1"/>
    <col min="15395" max="15619" width="8.875" style="59"/>
    <col min="15620" max="15620" width="10.875" style="59" customWidth="1"/>
    <col min="15621" max="15621" width="16.125" style="59" bestFit="1" customWidth="1"/>
    <col min="15622" max="15622" width="12.125" style="59" customWidth="1"/>
    <col min="15623" max="15623" width="14.875" style="59" bestFit="1" customWidth="1"/>
    <col min="15624" max="15624" width="12.125" style="59" customWidth="1"/>
    <col min="15625" max="15625" width="14.875" style="59" bestFit="1" customWidth="1"/>
    <col min="15626" max="15630" width="12.125" style="59" customWidth="1"/>
    <col min="15631" max="15631" width="12.125" style="59" bestFit="1" customWidth="1"/>
    <col min="15632" max="15640" width="12.125" style="59" customWidth="1"/>
    <col min="15641" max="15641" width="12.125" style="59" bestFit="1" customWidth="1"/>
    <col min="15642" max="15642" width="12" style="59" customWidth="1"/>
    <col min="15643" max="15645" width="8.875" style="59" customWidth="1"/>
    <col min="15646" max="15646" width="11.875" style="59" bestFit="1" customWidth="1"/>
    <col min="15647" max="15649" width="10.5" style="59" customWidth="1"/>
    <col min="15650" max="15650" width="12" style="59" bestFit="1" customWidth="1"/>
    <col min="15651" max="15875" width="8.875" style="59"/>
    <col min="15876" max="15876" width="10.875" style="59" customWidth="1"/>
    <col min="15877" max="15877" width="16.125" style="59" bestFit="1" customWidth="1"/>
    <col min="15878" max="15878" width="12.125" style="59" customWidth="1"/>
    <col min="15879" max="15879" width="14.875" style="59" bestFit="1" customWidth="1"/>
    <col min="15880" max="15880" width="12.125" style="59" customWidth="1"/>
    <col min="15881" max="15881" width="14.875" style="59" bestFit="1" customWidth="1"/>
    <col min="15882" max="15886" width="12.125" style="59" customWidth="1"/>
    <col min="15887" max="15887" width="12.125" style="59" bestFit="1" customWidth="1"/>
    <col min="15888" max="15896" width="12.125" style="59" customWidth="1"/>
    <col min="15897" max="15897" width="12.125" style="59" bestFit="1" customWidth="1"/>
    <col min="15898" max="15898" width="12" style="59" customWidth="1"/>
    <col min="15899" max="15901" width="8.875" style="59" customWidth="1"/>
    <col min="15902" max="15902" width="11.875" style="59" bestFit="1" customWidth="1"/>
    <col min="15903" max="15905" width="10.5" style="59" customWidth="1"/>
    <col min="15906" max="15906" width="12" style="59" bestFit="1" customWidth="1"/>
    <col min="15907" max="16131" width="8.875" style="59"/>
    <col min="16132" max="16132" width="10.875" style="59" customWidth="1"/>
    <col min="16133" max="16133" width="16.125" style="59" bestFit="1" customWidth="1"/>
    <col min="16134" max="16134" width="12.125" style="59" customWidth="1"/>
    <col min="16135" max="16135" width="14.875" style="59" bestFit="1" customWidth="1"/>
    <col min="16136" max="16136" width="12.125" style="59" customWidth="1"/>
    <col min="16137" max="16137" width="14.875" style="59" bestFit="1" customWidth="1"/>
    <col min="16138" max="16142" width="12.125" style="59" customWidth="1"/>
    <col min="16143" max="16143" width="12.125" style="59" bestFit="1" customWidth="1"/>
    <col min="16144" max="16152" width="12.125" style="59" customWidth="1"/>
    <col min="16153" max="16153" width="12.125" style="59" bestFit="1" customWidth="1"/>
    <col min="16154" max="16154" width="12" style="59" customWidth="1"/>
    <col min="16155" max="16157" width="8.875" style="59" customWidth="1"/>
    <col min="16158" max="16158" width="11.875" style="59" bestFit="1" customWidth="1"/>
    <col min="16159" max="16161" width="10.5" style="59" customWidth="1"/>
    <col min="16162" max="16162" width="12" style="59" bestFit="1" customWidth="1"/>
    <col min="16163" max="16384" width="8.875" style="59"/>
  </cols>
  <sheetData>
    <row r="2" spans="1:45" ht="61.15" customHeight="1">
      <c r="A2" s="424" t="s">
        <v>151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  <c r="X2" s="424"/>
      <c r="Y2" s="424"/>
      <c r="Z2" s="424"/>
      <c r="AA2" s="424"/>
      <c r="AB2" s="424"/>
      <c r="AC2" s="424"/>
      <c r="AD2" s="424"/>
      <c r="AE2" s="424"/>
      <c r="AF2" s="424"/>
      <c r="AG2" s="424"/>
      <c r="AH2" s="424"/>
      <c r="AI2" s="58"/>
      <c r="AJ2" s="58"/>
      <c r="AK2" s="58"/>
      <c r="AL2" s="58"/>
      <c r="AM2" s="58"/>
      <c r="AN2" s="58"/>
      <c r="AO2" s="58"/>
      <c r="AP2" s="58"/>
      <c r="AQ2" s="58"/>
      <c r="AR2" s="58"/>
      <c r="AS2" s="58"/>
    </row>
    <row r="3" spans="1:45" ht="40.15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1"/>
      <c r="AF3" s="425" t="s">
        <v>152</v>
      </c>
      <c r="AG3" s="425"/>
      <c r="AH3" s="62" t="s">
        <v>153</v>
      </c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</row>
    <row r="4" spans="1:45" ht="52.15" customHeight="1">
      <c r="A4" s="426" t="s">
        <v>154</v>
      </c>
      <c r="B4" s="427"/>
      <c r="C4" s="426" t="s">
        <v>155</v>
      </c>
      <c r="D4" s="428"/>
      <c r="E4" s="428"/>
      <c r="F4" s="428"/>
      <c r="G4" s="428"/>
      <c r="H4" s="428"/>
      <c r="I4" s="428"/>
      <c r="J4" s="428"/>
      <c r="K4" s="428"/>
      <c r="L4" s="428"/>
      <c r="M4" s="428"/>
      <c r="N4" s="427"/>
      <c r="O4" s="143"/>
      <c r="P4" s="426" t="s">
        <v>156</v>
      </c>
      <c r="Q4" s="428"/>
      <c r="R4" s="428"/>
      <c r="S4" s="428"/>
      <c r="T4" s="428"/>
      <c r="U4" s="428"/>
      <c r="V4" s="428"/>
      <c r="W4" s="428"/>
      <c r="X4" s="428"/>
      <c r="Y4" s="427"/>
      <c r="Z4" s="144" t="s">
        <v>157</v>
      </c>
      <c r="AA4" s="249" t="s">
        <v>158</v>
      </c>
      <c r="AB4" s="250"/>
      <c r="AC4" s="250"/>
      <c r="AD4" s="251"/>
      <c r="AE4" s="252" t="s">
        <v>159</v>
      </c>
      <c r="AF4" s="252" t="s">
        <v>160</v>
      </c>
      <c r="AG4" s="252" t="s">
        <v>161</v>
      </c>
      <c r="AH4" s="252" t="s">
        <v>162</v>
      </c>
      <c r="AI4" s="63"/>
    </row>
    <row r="5" spans="1:45" s="76" customFormat="1" ht="51.6" customHeight="1">
      <c r="A5" s="429" t="s">
        <v>163</v>
      </c>
      <c r="B5" s="430"/>
      <c r="C5" s="429" t="s">
        <v>164</v>
      </c>
      <c r="D5" s="431"/>
      <c r="E5" s="431"/>
      <c r="F5" s="431"/>
      <c r="G5" s="431"/>
      <c r="H5" s="431"/>
      <c r="I5" s="431"/>
      <c r="J5" s="431"/>
      <c r="K5" s="430"/>
      <c r="L5" s="429" t="s">
        <v>165</v>
      </c>
      <c r="M5" s="431"/>
      <c r="N5" s="430"/>
      <c r="O5" s="91"/>
      <c r="P5" s="73" t="s">
        <v>157</v>
      </c>
      <c r="Q5" s="429" t="s">
        <v>166</v>
      </c>
      <c r="R5" s="431"/>
      <c r="S5" s="431"/>
      <c r="T5" s="431"/>
      <c r="U5" s="431"/>
      <c r="V5" s="430"/>
      <c r="W5" s="429" t="s">
        <v>165</v>
      </c>
      <c r="X5" s="431"/>
      <c r="Y5" s="431"/>
      <c r="Z5" s="430"/>
      <c r="AA5" s="74"/>
      <c r="AB5" s="434" t="s">
        <v>167</v>
      </c>
      <c r="AC5" s="434" t="s">
        <v>168</v>
      </c>
      <c r="AD5" s="253" t="s">
        <v>169</v>
      </c>
      <c r="AE5" s="253" t="s">
        <v>170</v>
      </c>
      <c r="AF5" s="253" t="s">
        <v>171</v>
      </c>
      <c r="AG5" s="437" t="s">
        <v>172</v>
      </c>
      <c r="AH5" s="419" t="s">
        <v>173</v>
      </c>
      <c r="AI5" s="419" t="s">
        <v>174</v>
      </c>
      <c r="AJ5" s="419" t="s">
        <v>175</v>
      </c>
      <c r="AK5" s="254"/>
      <c r="AL5" s="75"/>
    </row>
    <row r="6" spans="1:45" s="78" customFormat="1" ht="41.65" customHeight="1">
      <c r="A6" s="429" t="s">
        <v>176</v>
      </c>
      <c r="B6" s="430"/>
      <c r="C6" s="92" t="s">
        <v>177</v>
      </c>
      <c r="D6" s="92" t="s">
        <v>178</v>
      </c>
      <c r="E6" s="92" t="s">
        <v>179</v>
      </c>
      <c r="F6" s="92" t="s">
        <v>180</v>
      </c>
      <c r="G6" s="92" t="s">
        <v>181</v>
      </c>
      <c r="H6" s="92" t="s">
        <v>182</v>
      </c>
      <c r="I6" s="92" t="s">
        <v>183</v>
      </c>
      <c r="J6" s="92" t="s">
        <v>352</v>
      </c>
      <c r="K6" s="92">
        <v>4</v>
      </c>
      <c r="L6" s="92" t="s">
        <v>184</v>
      </c>
      <c r="M6" s="92" t="s">
        <v>185</v>
      </c>
      <c r="N6" s="92" t="s">
        <v>186</v>
      </c>
      <c r="O6" s="92" t="s">
        <v>187</v>
      </c>
      <c r="P6" s="72"/>
      <c r="Q6" s="92" t="s">
        <v>188</v>
      </c>
      <c r="R6" s="92" t="s">
        <v>189</v>
      </c>
      <c r="S6" s="92" t="s">
        <v>190</v>
      </c>
      <c r="T6" s="92" t="s">
        <v>191</v>
      </c>
      <c r="U6" s="92" t="s">
        <v>192</v>
      </c>
      <c r="V6" s="92" t="s">
        <v>193</v>
      </c>
      <c r="W6" s="92" t="s">
        <v>194</v>
      </c>
      <c r="X6" s="92" t="s">
        <v>195</v>
      </c>
      <c r="Y6" s="92" t="s">
        <v>196</v>
      </c>
      <c r="Z6" s="92" t="s">
        <v>197</v>
      </c>
      <c r="AA6" s="247"/>
      <c r="AB6" s="435"/>
      <c r="AC6" s="435"/>
      <c r="AD6" s="439" t="s">
        <v>198</v>
      </c>
      <c r="AE6" s="439" t="s">
        <v>199</v>
      </c>
      <c r="AF6" s="439" t="s">
        <v>200</v>
      </c>
      <c r="AG6" s="437"/>
      <c r="AH6" s="420"/>
      <c r="AI6" s="420"/>
      <c r="AJ6" s="420"/>
      <c r="AK6" s="422" t="s">
        <v>201</v>
      </c>
      <c r="AL6" s="77"/>
    </row>
    <row r="7" spans="1:45" s="76" customFormat="1" ht="37.15" customHeight="1">
      <c r="A7" s="432" t="s">
        <v>202</v>
      </c>
      <c r="B7" s="433"/>
      <c r="C7" s="79" t="s">
        <v>203</v>
      </c>
      <c r="D7" s="79" t="s">
        <v>204</v>
      </c>
      <c r="E7" s="79" t="s">
        <v>205</v>
      </c>
      <c r="F7" s="79" t="s">
        <v>206</v>
      </c>
      <c r="G7" s="79" t="s">
        <v>207</v>
      </c>
      <c r="H7" s="80" t="s">
        <v>208</v>
      </c>
      <c r="I7" s="80" t="s">
        <v>209</v>
      </c>
      <c r="J7" s="80"/>
      <c r="K7" s="80"/>
      <c r="L7" s="248" t="s">
        <v>210</v>
      </c>
      <c r="M7" s="79" t="s">
        <v>211</v>
      </c>
      <c r="N7" s="79" t="s">
        <v>212</v>
      </c>
      <c r="O7" s="79"/>
      <c r="P7" s="72"/>
      <c r="Q7" s="79" t="s">
        <v>213</v>
      </c>
      <c r="R7" s="79" t="s">
        <v>214</v>
      </c>
      <c r="S7" s="79" t="s">
        <v>215</v>
      </c>
      <c r="T7" s="79" t="s">
        <v>216</v>
      </c>
      <c r="U7" s="79" t="s">
        <v>217</v>
      </c>
      <c r="V7" s="79" t="s">
        <v>218</v>
      </c>
      <c r="W7" s="79" t="s">
        <v>219</v>
      </c>
      <c r="X7" s="247" t="s">
        <v>220</v>
      </c>
      <c r="Y7" s="246" t="s">
        <v>221</v>
      </c>
      <c r="Z7" s="247" t="s">
        <v>222</v>
      </c>
      <c r="AA7" s="79"/>
      <c r="AB7" s="436"/>
      <c r="AC7" s="436"/>
      <c r="AD7" s="440"/>
      <c r="AE7" s="440"/>
      <c r="AF7" s="440"/>
      <c r="AG7" s="438"/>
      <c r="AH7" s="420"/>
      <c r="AI7" s="420"/>
      <c r="AJ7" s="420"/>
      <c r="AK7" s="422"/>
      <c r="AL7" s="75"/>
    </row>
    <row r="8" spans="1:45" ht="22.5">
      <c r="A8" s="153"/>
      <c r="B8" s="93" t="s">
        <v>223</v>
      </c>
      <c r="C8" s="406" t="e">
        <f>#REF!/#REF!</f>
        <v>#REF!</v>
      </c>
      <c r="D8" s="409"/>
      <c r="E8" s="409"/>
      <c r="F8" s="410"/>
      <c r="G8" s="406" t="e">
        <f>#REF!/#REF!</f>
        <v>#REF!</v>
      </c>
      <c r="H8" s="409"/>
      <c r="I8" s="410"/>
      <c r="J8" s="267"/>
      <c r="K8" s="267"/>
      <c r="L8" s="406" t="e">
        <f>#REF!/#REF!</f>
        <v>#REF!</v>
      </c>
      <c r="M8" s="409"/>
      <c r="N8" s="410"/>
      <c r="O8" s="142" t="e">
        <f>(#REF!+#REF!)/#REF!</f>
        <v>#REF!</v>
      </c>
      <c r="P8" s="87" t="e">
        <f>(#REF!+#REF!)/#REF!</f>
        <v>#REF!</v>
      </c>
      <c r="Q8" s="406" t="e">
        <f>#REF!/#REF!</f>
        <v>#REF!</v>
      </c>
      <c r="R8" s="409"/>
      <c r="S8" s="410"/>
      <c r="T8" s="142" t="e">
        <f>(#REF!+#REF!)/#REF!</f>
        <v>#REF!</v>
      </c>
      <c r="U8" s="142" t="e">
        <f>(#REF!+#REF!)/#REF!</f>
        <v>#REF!</v>
      </c>
      <c r="V8" s="142" t="e">
        <f>(#REF!+#REF!)/#REF!</f>
        <v>#REF!</v>
      </c>
      <c r="W8" s="142" t="e">
        <f>(#REF!+#REF!)/#REF!</f>
        <v>#REF!</v>
      </c>
      <c r="X8" s="142" t="e">
        <f>(#REF!+#REF!)/#REF!</f>
        <v>#REF!</v>
      </c>
      <c r="Y8" s="142" t="e">
        <f>(#REF!+#REF!)/#REF!</f>
        <v>#REF!</v>
      </c>
      <c r="Z8" s="142" t="e">
        <f>(#REF!+#REF!)/#REF!</f>
        <v>#REF!</v>
      </c>
      <c r="AA8" s="69"/>
      <c r="AB8" s="87" t="e">
        <f>(#REF!+#REF!)/#REF!</f>
        <v>#REF!</v>
      </c>
      <c r="AC8" s="88" t="e">
        <f>(#REF!+#REF!)/#REF!</f>
        <v>#REF!</v>
      </c>
      <c r="AD8" s="84" t="e">
        <f>#REF!/#REF!</f>
        <v>#REF!</v>
      </c>
      <c r="AE8" s="84" t="e">
        <f>#REF!/#REF!</f>
        <v>#REF!</v>
      </c>
      <c r="AF8" s="84" t="e">
        <f>#REF!/#REF!</f>
        <v>#REF!</v>
      </c>
      <c r="AG8" s="134" t="e">
        <f>#REF!/#REF!</f>
        <v>#REF!</v>
      </c>
      <c r="AH8" s="421"/>
      <c r="AI8" s="421"/>
      <c r="AJ8" s="421"/>
      <c r="AK8" s="423"/>
    </row>
    <row r="9" spans="1:45" ht="23.25">
      <c r="A9" s="411" t="s">
        <v>224</v>
      </c>
      <c r="B9" s="89" t="s">
        <v>225</v>
      </c>
      <c r="C9" s="66">
        <v>7959</v>
      </c>
      <c r="D9" s="66">
        <v>32656</v>
      </c>
      <c r="E9" s="66">
        <v>3743</v>
      </c>
      <c r="F9" s="66">
        <v>17230</v>
      </c>
      <c r="G9" s="66">
        <v>1522</v>
      </c>
      <c r="H9" s="66">
        <v>4390</v>
      </c>
      <c r="I9" s="66">
        <v>2153</v>
      </c>
      <c r="J9" s="66"/>
      <c r="K9" s="66"/>
      <c r="L9" s="66">
        <v>30</v>
      </c>
      <c r="M9" s="66">
        <v>811</v>
      </c>
      <c r="N9" s="66">
        <v>681</v>
      </c>
      <c r="O9" s="66">
        <v>129</v>
      </c>
      <c r="P9" s="85">
        <f>SUM(C9:O9)</f>
        <v>71304</v>
      </c>
      <c r="Q9" s="66">
        <v>1068</v>
      </c>
      <c r="R9" s="66">
        <v>2412</v>
      </c>
      <c r="S9" s="66">
        <v>1870</v>
      </c>
      <c r="T9" s="66">
        <v>2547</v>
      </c>
      <c r="U9" s="66">
        <v>2172</v>
      </c>
      <c r="V9" s="66">
        <v>730</v>
      </c>
      <c r="W9" s="66">
        <v>271</v>
      </c>
      <c r="X9" s="66">
        <v>696</v>
      </c>
      <c r="Y9" s="81">
        <v>194</v>
      </c>
      <c r="Z9" s="81">
        <v>128</v>
      </c>
      <c r="AA9" s="67"/>
      <c r="AB9" s="85">
        <f>SUM(Q9:AA9)</f>
        <v>12088</v>
      </c>
      <c r="AC9" s="86">
        <f>P9+AB9</f>
        <v>83392</v>
      </c>
      <c r="AD9" s="82">
        <v>13</v>
      </c>
      <c r="AE9" s="82">
        <v>4</v>
      </c>
      <c r="AF9" s="82">
        <v>4</v>
      </c>
      <c r="AG9" s="83">
        <f>SUM(AD9:AF9)</f>
        <v>21</v>
      </c>
      <c r="AH9" s="416">
        <v>2131</v>
      </c>
      <c r="AI9" s="416">
        <v>2261</v>
      </c>
      <c r="AJ9" s="416">
        <v>670</v>
      </c>
      <c r="AK9" s="416">
        <f>SUM(AH9:AJ14)</f>
        <v>5062</v>
      </c>
    </row>
    <row r="10" spans="1:45" ht="23.25">
      <c r="A10" s="412"/>
      <c r="B10" s="89" t="s">
        <v>226</v>
      </c>
      <c r="C10" s="66">
        <v>35.8155</v>
      </c>
      <c r="D10" s="66">
        <v>146.952</v>
      </c>
      <c r="E10" s="66">
        <v>16.843499999999999</v>
      </c>
      <c r="F10" s="66">
        <v>77.534999999999997</v>
      </c>
      <c r="G10" s="66">
        <v>0</v>
      </c>
      <c r="H10" s="66">
        <v>0</v>
      </c>
      <c r="I10" s="66">
        <v>0</v>
      </c>
      <c r="J10" s="66"/>
      <c r="K10" s="66"/>
      <c r="L10" s="66">
        <v>0</v>
      </c>
      <c r="M10" s="66">
        <v>4.0549999999999997</v>
      </c>
      <c r="N10" s="66">
        <v>3.4050000000000002</v>
      </c>
      <c r="O10" s="66">
        <v>0</v>
      </c>
      <c r="P10" s="85">
        <f>SUM(C10:O10)</f>
        <v>284.60599999999994</v>
      </c>
      <c r="Q10" s="66">
        <v>10.68</v>
      </c>
      <c r="R10" s="66">
        <v>0</v>
      </c>
      <c r="S10" s="66">
        <v>0</v>
      </c>
      <c r="T10" s="66">
        <v>25.47</v>
      </c>
      <c r="U10" s="66">
        <v>0</v>
      </c>
      <c r="V10" s="66">
        <v>0</v>
      </c>
      <c r="W10" s="66">
        <v>0</v>
      </c>
      <c r="X10" s="66">
        <v>97.440000000000012</v>
      </c>
      <c r="Y10" s="66">
        <v>0</v>
      </c>
      <c r="Z10" s="81">
        <v>25.6</v>
      </c>
      <c r="AA10" s="67"/>
      <c r="AB10" s="85">
        <f>SUM(Q10:AA10)</f>
        <v>159.19</v>
      </c>
      <c r="AC10" s="86">
        <f>P10+AB10</f>
        <v>443.79599999999994</v>
      </c>
      <c r="AD10" s="82"/>
      <c r="AE10" s="82"/>
      <c r="AF10" s="82"/>
      <c r="AG10" s="83"/>
      <c r="AH10" s="417"/>
      <c r="AI10" s="417"/>
      <c r="AJ10" s="417"/>
      <c r="AK10" s="417"/>
    </row>
    <row r="11" spans="1:45" ht="22.5">
      <c r="A11" s="412"/>
      <c r="B11" s="133" t="s">
        <v>227</v>
      </c>
      <c r="C11" s="141">
        <v>9252</v>
      </c>
      <c r="D11" s="141">
        <v>37456</v>
      </c>
      <c r="E11" s="141">
        <v>4675</v>
      </c>
      <c r="F11" s="141">
        <v>21619</v>
      </c>
      <c r="G11" s="141">
        <v>1602</v>
      </c>
      <c r="H11" s="141">
        <v>6242</v>
      </c>
      <c r="I11" s="141">
        <v>2442</v>
      </c>
      <c r="J11" s="141"/>
      <c r="K11" s="141"/>
      <c r="L11" s="141">
        <v>102</v>
      </c>
      <c r="M11" s="141">
        <v>876</v>
      </c>
      <c r="N11" s="141">
        <v>1147</v>
      </c>
      <c r="O11" s="141">
        <v>129</v>
      </c>
      <c r="P11" s="85">
        <f>SUM(C11:O11)</f>
        <v>85542</v>
      </c>
      <c r="Q11" s="56">
        <v>1242</v>
      </c>
      <c r="R11" s="141">
        <v>2718</v>
      </c>
      <c r="S11" s="141">
        <v>2020</v>
      </c>
      <c r="T11" s="141">
        <v>3147</v>
      </c>
      <c r="U11" s="141">
        <v>4086</v>
      </c>
      <c r="V11" s="141">
        <v>851</v>
      </c>
      <c r="W11" s="141">
        <v>292</v>
      </c>
      <c r="X11" s="141">
        <v>852</v>
      </c>
      <c r="Y11" s="141">
        <v>204</v>
      </c>
      <c r="Z11" s="141">
        <v>164</v>
      </c>
      <c r="AA11" s="67"/>
      <c r="AB11" s="85">
        <f>SUM(Q11:AA11)</f>
        <v>15576</v>
      </c>
      <c r="AC11" s="86">
        <f>P11+AB11</f>
        <v>101118</v>
      </c>
      <c r="AD11" s="68"/>
      <c r="AE11" s="68"/>
      <c r="AF11" s="68"/>
      <c r="AG11" s="68"/>
      <c r="AH11" s="417"/>
      <c r="AI11" s="417"/>
      <c r="AJ11" s="417"/>
      <c r="AK11" s="417"/>
    </row>
    <row r="12" spans="1:45" ht="22.5">
      <c r="A12" s="412"/>
      <c r="B12" s="133" t="s">
        <v>228</v>
      </c>
      <c r="C12" s="400">
        <f>C9+D9+E9+F9+C10+D10+E10+F10</f>
        <v>61865.146000000001</v>
      </c>
      <c r="D12" s="414"/>
      <c r="E12" s="414"/>
      <c r="F12" s="415"/>
      <c r="G12" s="400">
        <f>G9+H9+I9+G10+H10+I10</f>
        <v>8065</v>
      </c>
      <c r="H12" s="414"/>
      <c r="I12" s="415"/>
      <c r="J12" s="268"/>
      <c r="K12" s="268"/>
      <c r="L12" s="400">
        <f>L9+M9+N9+L10+M10+N10</f>
        <v>1529.46</v>
      </c>
      <c r="M12" s="414"/>
      <c r="N12" s="415"/>
      <c r="O12" s="141"/>
      <c r="P12" s="85"/>
      <c r="Q12" s="400">
        <f>Q9+R9+S9+Q10+R10+S10</f>
        <v>5360.68</v>
      </c>
      <c r="R12" s="414"/>
      <c r="S12" s="415"/>
      <c r="T12" s="141"/>
      <c r="U12" s="141"/>
      <c r="V12" s="141"/>
      <c r="W12" s="141"/>
      <c r="X12" s="141"/>
      <c r="Y12" s="141"/>
      <c r="Z12" s="141"/>
      <c r="AA12" s="67"/>
      <c r="AB12" s="85"/>
      <c r="AC12" s="86"/>
      <c r="AD12" s="68"/>
      <c r="AE12" s="68"/>
      <c r="AF12" s="68"/>
      <c r="AG12" s="68"/>
      <c r="AH12" s="417"/>
      <c r="AI12" s="417"/>
      <c r="AJ12" s="417"/>
      <c r="AK12" s="417"/>
    </row>
    <row r="13" spans="1:45" ht="22.5">
      <c r="A13" s="412"/>
      <c r="B13" s="133" t="s">
        <v>229</v>
      </c>
      <c r="C13" s="400">
        <f>C11+D11+E11+F11</f>
        <v>73002</v>
      </c>
      <c r="D13" s="414"/>
      <c r="E13" s="414"/>
      <c r="F13" s="415"/>
      <c r="G13" s="400">
        <f>G11+H11+I11</f>
        <v>10286</v>
      </c>
      <c r="H13" s="414"/>
      <c r="I13" s="415"/>
      <c r="J13" s="268"/>
      <c r="K13" s="268"/>
      <c r="L13" s="400">
        <f>L11+M11+N11</f>
        <v>2125</v>
      </c>
      <c r="M13" s="414"/>
      <c r="N13" s="415"/>
      <c r="O13" s="141"/>
      <c r="P13" s="85"/>
      <c r="Q13" s="400">
        <f>Q11+R11+S11</f>
        <v>5980</v>
      </c>
      <c r="R13" s="414"/>
      <c r="S13" s="415"/>
      <c r="T13" s="141"/>
      <c r="U13" s="141"/>
      <c r="V13" s="141"/>
      <c r="W13" s="141"/>
      <c r="X13" s="141"/>
      <c r="Y13" s="141"/>
      <c r="Z13" s="141"/>
      <c r="AA13" s="67"/>
      <c r="AB13" s="85"/>
      <c r="AC13" s="86"/>
      <c r="AD13" s="68"/>
      <c r="AE13" s="68"/>
      <c r="AF13" s="68"/>
      <c r="AG13" s="68"/>
      <c r="AH13" s="417"/>
      <c r="AI13" s="417"/>
      <c r="AJ13" s="417"/>
      <c r="AK13" s="417"/>
    </row>
    <row r="14" spans="1:45" ht="22.5">
      <c r="A14" s="413"/>
      <c r="B14" s="93" t="s">
        <v>223</v>
      </c>
      <c r="C14" s="406">
        <f>C12/C13</f>
        <v>0.84744453576614343</v>
      </c>
      <c r="D14" s="409"/>
      <c r="E14" s="409"/>
      <c r="F14" s="410"/>
      <c r="G14" s="406">
        <f>G12/G13</f>
        <v>0.78407544234882365</v>
      </c>
      <c r="H14" s="409"/>
      <c r="I14" s="410"/>
      <c r="J14" s="267"/>
      <c r="K14" s="267"/>
      <c r="L14" s="406">
        <f>L12/L13</f>
        <v>0.71974588235294124</v>
      </c>
      <c r="M14" s="409"/>
      <c r="N14" s="410"/>
      <c r="O14" s="142">
        <f>(O9+O10)/O11</f>
        <v>1</v>
      </c>
      <c r="P14" s="87">
        <f>(P9+P10)/P11</f>
        <v>0.83688253723317196</v>
      </c>
      <c r="Q14" s="406">
        <f>Q12/Q13</f>
        <v>0.89643478260869569</v>
      </c>
      <c r="R14" s="409"/>
      <c r="S14" s="410"/>
      <c r="T14" s="142">
        <f t="shared" ref="T14:Z14" si="0">(T9+T10)/T11</f>
        <v>0.81743565300285981</v>
      </c>
      <c r="U14" s="142">
        <f t="shared" si="0"/>
        <v>0.53157121879588842</v>
      </c>
      <c r="V14" s="142">
        <f t="shared" si="0"/>
        <v>0.85781433607520563</v>
      </c>
      <c r="W14" s="142">
        <f t="shared" si="0"/>
        <v>0.92808219178082196</v>
      </c>
      <c r="X14" s="142">
        <f t="shared" si="0"/>
        <v>0.93126760563380284</v>
      </c>
      <c r="Y14" s="142">
        <f t="shared" si="0"/>
        <v>0.9509803921568627</v>
      </c>
      <c r="Z14" s="142">
        <f t="shared" si="0"/>
        <v>0.93658536585365848</v>
      </c>
      <c r="AA14" s="69"/>
      <c r="AB14" s="87">
        <f>(AB9+AB10)/AB11</f>
        <v>0.78628595274781721</v>
      </c>
      <c r="AC14" s="88">
        <f>(AC9+AC10)/AC11</f>
        <v>0.82908874779960051</v>
      </c>
      <c r="AD14" s="84" t="e">
        <f>AD9/$AG$102</f>
        <v>#DIV/0!</v>
      </c>
      <c r="AE14" s="84" t="e">
        <f>AE9/$AG$102</f>
        <v>#DIV/0!</v>
      </c>
      <c r="AF14" s="84" t="e">
        <f>AF9/$AG$102</f>
        <v>#DIV/0!</v>
      </c>
      <c r="AG14" s="134" t="e">
        <f>AG9/$AG$102</f>
        <v>#DIV/0!</v>
      </c>
      <c r="AH14" s="418"/>
      <c r="AI14" s="418"/>
      <c r="AJ14" s="418"/>
      <c r="AK14" s="418"/>
    </row>
    <row r="15" spans="1:45" ht="23.25">
      <c r="A15" s="411" t="s">
        <v>230</v>
      </c>
      <c r="B15" s="89" t="s">
        <v>225</v>
      </c>
      <c r="C15" s="66">
        <v>7987</v>
      </c>
      <c r="D15" s="66">
        <v>32720</v>
      </c>
      <c r="E15" s="66">
        <v>3733</v>
      </c>
      <c r="F15" s="66">
        <v>17389</v>
      </c>
      <c r="G15" s="66">
        <v>1518</v>
      </c>
      <c r="H15" s="66">
        <v>4385</v>
      </c>
      <c r="I15" s="66">
        <v>2166</v>
      </c>
      <c r="J15" s="66"/>
      <c r="K15" s="66"/>
      <c r="L15" s="66">
        <v>31</v>
      </c>
      <c r="M15" s="66">
        <v>808</v>
      </c>
      <c r="N15" s="66">
        <v>682</v>
      </c>
      <c r="O15" s="66">
        <v>129</v>
      </c>
      <c r="P15" s="85">
        <f>SUM(C15:O15)</f>
        <v>71548</v>
      </c>
      <c r="Q15" s="66">
        <v>1077</v>
      </c>
      <c r="R15" s="66">
        <v>2400</v>
      </c>
      <c r="S15" s="66">
        <v>1884</v>
      </c>
      <c r="T15" s="66">
        <v>2553</v>
      </c>
      <c r="U15" s="66">
        <v>2145</v>
      </c>
      <c r="V15" s="66">
        <v>729</v>
      </c>
      <c r="W15" s="66">
        <v>273</v>
      </c>
      <c r="X15" s="66">
        <v>706</v>
      </c>
      <c r="Y15" s="81">
        <v>196</v>
      </c>
      <c r="Z15" s="81">
        <v>129</v>
      </c>
      <c r="AA15" s="67"/>
      <c r="AB15" s="85">
        <f>SUM(Q15:AA15)</f>
        <v>12092</v>
      </c>
      <c r="AC15" s="86">
        <f>P15+AB15</f>
        <v>83640</v>
      </c>
      <c r="AD15" s="82">
        <v>13</v>
      </c>
      <c r="AE15" s="82">
        <v>4</v>
      </c>
      <c r="AF15" s="82">
        <v>4</v>
      </c>
      <c r="AG15" s="83">
        <f>SUM(AD15:AF15)</f>
        <v>21</v>
      </c>
      <c r="AH15" s="416">
        <v>1649</v>
      </c>
      <c r="AI15" s="416">
        <v>1805</v>
      </c>
      <c r="AJ15" s="416">
        <v>479</v>
      </c>
      <c r="AK15" s="416">
        <f>SUM(AH15:AJ20)</f>
        <v>3933</v>
      </c>
    </row>
    <row r="16" spans="1:45" ht="23.25">
      <c r="A16" s="412"/>
      <c r="B16" s="89" t="s">
        <v>226</v>
      </c>
      <c r="C16" s="66">
        <v>35.941499999999998</v>
      </c>
      <c r="D16" s="66">
        <v>147.23999999999998</v>
      </c>
      <c r="E16" s="66">
        <v>16.798499999999997</v>
      </c>
      <c r="F16" s="66">
        <v>78.250499999999988</v>
      </c>
      <c r="G16" s="66">
        <v>0</v>
      </c>
      <c r="H16" s="66">
        <v>0</v>
      </c>
      <c r="I16" s="66">
        <v>0</v>
      </c>
      <c r="J16" s="66"/>
      <c r="K16" s="66"/>
      <c r="L16" s="66">
        <v>0</v>
      </c>
      <c r="M16" s="66">
        <v>4.04</v>
      </c>
      <c r="N16" s="66">
        <v>3.41</v>
      </c>
      <c r="O16" s="66">
        <v>0</v>
      </c>
      <c r="P16" s="85">
        <f>SUM(C16:O16)</f>
        <v>285.68049999999999</v>
      </c>
      <c r="Q16" s="66">
        <v>10.77</v>
      </c>
      <c r="R16" s="66">
        <v>0</v>
      </c>
      <c r="S16" s="66">
        <v>0</v>
      </c>
      <c r="T16" s="66">
        <v>25.53</v>
      </c>
      <c r="U16" s="66">
        <v>0</v>
      </c>
      <c r="V16" s="66">
        <v>0</v>
      </c>
      <c r="W16" s="66">
        <v>0</v>
      </c>
      <c r="X16" s="66">
        <v>98.84</v>
      </c>
      <c r="Y16" s="66">
        <v>0</v>
      </c>
      <c r="Z16" s="81">
        <v>25.8</v>
      </c>
      <c r="AA16" s="67"/>
      <c r="AB16" s="85">
        <f>SUM(Q16:AA16)</f>
        <v>160.94</v>
      </c>
      <c r="AC16" s="86">
        <f>P16+AB16</f>
        <v>446.62049999999999</v>
      </c>
      <c r="AD16" s="82"/>
      <c r="AE16" s="82"/>
      <c r="AF16" s="82"/>
      <c r="AG16" s="83"/>
      <c r="AH16" s="417"/>
      <c r="AI16" s="417"/>
      <c r="AJ16" s="417"/>
      <c r="AK16" s="417"/>
    </row>
    <row r="17" spans="1:37" ht="22.5">
      <c r="A17" s="412"/>
      <c r="B17" s="133" t="s">
        <v>227</v>
      </c>
      <c r="C17" s="141">
        <v>9252</v>
      </c>
      <c r="D17" s="141">
        <v>37456</v>
      </c>
      <c r="E17" s="141">
        <v>4675</v>
      </c>
      <c r="F17" s="141">
        <v>21619</v>
      </c>
      <c r="G17" s="141">
        <v>1602</v>
      </c>
      <c r="H17" s="141">
        <v>6242</v>
      </c>
      <c r="I17" s="141">
        <v>2442</v>
      </c>
      <c r="J17" s="141"/>
      <c r="K17" s="141"/>
      <c r="L17" s="141">
        <v>102</v>
      </c>
      <c r="M17" s="141">
        <v>876</v>
      </c>
      <c r="N17" s="141">
        <v>1147</v>
      </c>
      <c r="O17" s="141">
        <v>129</v>
      </c>
      <c r="P17" s="85">
        <f>SUM(C17:O17)</f>
        <v>85542</v>
      </c>
      <c r="Q17" s="56">
        <v>1242</v>
      </c>
      <c r="R17" s="141">
        <v>2718</v>
      </c>
      <c r="S17" s="141">
        <v>2020</v>
      </c>
      <c r="T17" s="141">
        <v>3147</v>
      </c>
      <c r="U17" s="141">
        <v>4086</v>
      </c>
      <c r="V17" s="141">
        <v>851</v>
      </c>
      <c r="W17" s="141">
        <v>292</v>
      </c>
      <c r="X17" s="141">
        <v>852</v>
      </c>
      <c r="Y17" s="141">
        <v>204</v>
      </c>
      <c r="Z17" s="141">
        <v>164</v>
      </c>
      <c r="AA17" s="67"/>
      <c r="AB17" s="85">
        <f>SUM(Q17:AA17)</f>
        <v>15576</v>
      </c>
      <c r="AC17" s="86">
        <f>P17+AB17</f>
        <v>101118</v>
      </c>
      <c r="AD17" s="68"/>
      <c r="AE17" s="68"/>
      <c r="AF17" s="68"/>
      <c r="AG17" s="68"/>
      <c r="AH17" s="417"/>
      <c r="AI17" s="417"/>
      <c r="AJ17" s="417"/>
      <c r="AK17" s="417"/>
    </row>
    <row r="18" spans="1:37" ht="22.5">
      <c r="A18" s="412"/>
      <c r="B18" s="133" t="s">
        <v>228</v>
      </c>
      <c r="C18" s="400">
        <f>C15+D15+E15+F15+C16+D16+E16+F16</f>
        <v>62107.230499999998</v>
      </c>
      <c r="D18" s="414"/>
      <c r="E18" s="414"/>
      <c r="F18" s="415"/>
      <c r="G18" s="400">
        <f>G15+H15+I15+G16+H16+I16</f>
        <v>8069</v>
      </c>
      <c r="H18" s="414"/>
      <c r="I18" s="415"/>
      <c r="J18" s="268"/>
      <c r="K18" s="268"/>
      <c r="L18" s="400">
        <f>L15+M15+N15+L16+M16+N16</f>
        <v>1528.45</v>
      </c>
      <c r="M18" s="414"/>
      <c r="N18" s="415"/>
      <c r="O18" s="141"/>
      <c r="P18" s="85"/>
      <c r="Q18" s="400">
        <f>Q15+R15+S15+Q16+R16+S16</f>
        <v>5371.77</v>
      </c>
      <c r="R18" s="414"/>
      <c r="S18" s="415"/>
      <c r="T18" s="141"/>
      <c r="U18" s="141"/>
      <c r="V18" s="141"/>
      <c r="W18" s="141"/>
      <c r="X18" s="141"/>
      <c r="Y18" s="141"/>
      <c r="Z18" s="141"/>
      <c r="AA18" s="67"/>
      <c r="AB18" s="85"/>
      <c r="AC18" s="86"/>
      <c r="AD18" s="68"/>
      <c r="AE18" s="68"/>
      <c r="AF18" s="68"/>
      <c r="AG18" s="68"/>
      <c r="AH18" s="417"/>
      <c r="AI18" s="417"/>
      <c r="AJ18" s="417"/>
      <c r="AK18" s="417"/>
    </row>
    <row r="19" spans="1:37" ht="22.5">
      <c r="A19" s="412"/>
      <c r="B19" s="133" t="s">
        <v>229</v>
      </c>
      <c r="C19" s="400">
        <f>C17+D17+E17+F17</f>
        <v>73002</v>
      </c>
      <c r="D19" s="414"/>
      <c r="E19" s="414"/>
      <c r="F19" s="415"/>
      <c r="G19" s="400">
        <f>G17+H17+I17</f>
        <v>10286</v>
      </c>
      <c r="H19" s="414"/>
      <c r="I19" s="415"/>
      <c r="J19" s="268"/>
      <c r="K19" s="268"/>
      <c r="L19" s="400">
        <f>L17+M17+N17</f>
        <v>2125</v>
      </c>
      <c r="M19" s="414"/>
      <c r="N19" s="415"/>
      <c r="O19" s="141"/>
      <c r="P19" s="85"/>
      <c r="Q19" s="400">
        <f>Q17+R17+S17</f>
        <v>5980</v>
      </c>
      <c r="R19" s="414"/>
      <c r="S19" s="415"/>
      <c r="T19" s="141"/>
      <c r="U19" s="141"/>
      <c r="V19" s="141"/>
      <c r="W19" s="141"/>
      <c r="X19" s="141"/>
      <c r="Y19" s="141"/>
      <c r="Z19" s="141"/>
      <c r="AA19" s="67"/>
      <c r="AB19" s="85"/>
      <c r="AC19" s="86"/>
      <c r="AD19" s="68"/>
      <c r="AE19" s="68"/>
      <c r="AF19" s="68"/>
      <c r="AG19" s="68"/>
      <c r="AH19" s="417"/>
      <c r="AI19" s="417"/>
      <c r="AJ19" s="417"/>
      <c r="AK19" s="417"/>
    </row>
    <row r="20" spans="1:37" ht="22.5">
      <c r="A20" s="413"/>
      <c r="B20" s="93" t="s">
        <v>223</v>
      </c>
      <c r="C20" s="406">
        <f>C18/C19</f>
        <v>0.8507606709405221</v>
      </c>
      <c r="D20" s="409"/>
      <c r="E20" s="409"/>
      <c r="F20" s="410"/>
      <c r="G20" s="406">
        <f>G18/G19</f>
        <v>0.78446432043554348</v>
      </c>
      <c r="H20" s="409"/>
      <c r="I20" s="410"/>
      <c r="J20" s="267"/>
      <c r="K20" s="267"/>
      <c r="L20" s="406">
        <f>L18/L19</f>
        <v>0.71927058823529411</v>
      </c>
      <c r="M20" s="409"/>
      <c r="N20" s="410"/>
      <c r="O20" s="142">
        <f>(O15+O16)/O17</f>
        <v>1</v>
      </c>
      <c r="P20" s="87">
        <f>(P15+P16)/P17</f>
        <v>0.83974749830492623</v>
      </c>
      <c r="Q20" s="406">
        <f>Q18/Q19</f>
        <v>0.8982892976588629</v>
      </c>
      <c r="R20" s="409"/>
      <c r="S20" s="410"/>
      <c r="T20" s="142">
        <f t="shared" ref="T20:Z20" si="1">(T15+T16)/T17</f>
        <v>0.81936129647283129</v>
      </c>
      <c r="U20" s="142">
        <f t="shared" si="1"/>
        <v>0.52496328928046987</v>
      </c>
      <c r="V20" s="142">
        <f t="shared" si="1"/>
        <v>0.85663924794359581</v>
      </c>
      <c r="W20" s="142">
        <f t="shared" si="1"/>
        <v>0.93493150684931503</v>
      </c>
      <c r="X20" s="142">
        <f t="shared" si="1"/>
        <v>0.94464788732394367</v>
      </c>
      <c r="Y20" s="142">
        <f t="shared" si="1"/>
        <v>0.96078431372549022</v>
      </c>
      <c r="Z20" s="142">
        <f t="shared" si="1"/>
        <v>0.94390243902439031</v>
      </c>
      <c r="AA20" s="69"/>
      <c r="AB20" s="87">
        <f>(AB15+AB16)/AB17</f>
        <v>0.78665511042629688</v>
      </c>
      <c r="AC20" s="88">
        <f>(AC15+AC16)/AC17</f>
        <v>0.83156926066575687</v>
      </c>
      <c r="AD20" s="84" t="e">
        <f>AD15/$AG$102</f>
        <v>#DIV/0!</v>
      </c>
      <c r="AE20" s="84" t="e">
        <f>AE15/$AG$102</f>
        <v>#DIV/0!</v>
      </c>
      <c r="AF20" s="84" t="e">
        <f>AF15/$AG$102</f>
        <v>#DIV/0!</v>
      </c>
      <c r="AG20" s="134" t="e">
        <f>AG15/$AG$102</f>
        <v>#DIV/0!</v>
      </c>
      <c r="AH20" s="418"/>
      <c r="AI20" s="418"/>
      <c r="AJ20" s="418"/>
      <c r="AK20" s="418"/>
    </row>
    <row r="21" spans="1:37" ht="23.25">
      <c r="A21" s="411" t="s">
        <v>231</v>
      </c>
      <c r="B21" s="89" t="s">
        <v>225</v>
      </c>
      <c r="C21" s="66">
        <v>7895</v>
      </c>
      <c r="D21" s="66">
        <v>32892</v>
      </c>
      <c r="E21" s="66">
        <v>3795</v>
      </c>
      <c r="F21" s="66">
        <v>17620</v>
      </c>
      <c r="G21" s="66">
        <v>1529</v>
      </c>
      <c r="H21" s="66">
        <v>4351</v>
      </c>
      <c r="I21" s="66">
        <v>2241</v>
      </c>
      <c r="J21" s="66"/>
      <c r="K21" s="66"/>
      <c r="L21" s="66">
        <v>33</v>
      </c>
      <c r="M21" s="66">
        <v>810</v>
      </c>
      <c r="N21" s="66">
        <v>683</v>
      </c>
      <c r="O21" s="66">
        <v>129</v>
      </c>
      <c r="P21" s="85">
        <f>SUM(C21:O21)</f>
        <v>71978</v>
      </c>
      <c r="Q21" s="66">
        <v>1078</v>
      </c>
      <c r="R21" s="66">
        <v>2395</v>
      </c>
      <c r="S21" s="66">
        <v>1902</v>
      </c>
      <c r="T21" s="66">
        <v>2602</v>
      </c>
      <c r="U21" s="66">
        <v>2135</v>
      </c>
      <c r="V21" s="66">
        <v>750</v>
      </c>
      <c r="W21" s="66">
        <v>273</v>
      </c>
      <c r="X21" s="66">
        <v>710</v>
      </c>
      <c r="Y21" s="81">
        <v>197</v>
      </c>
      <c r="Z21" s="81">
        <v>129</v>
      </c>
      <c r="AA21" s="67"/>
      <c r="AB21" s="85">
        <f>SUM(Q21:AA21)</f>
        <v>12171</v>
      </c>
      <c r="AC21" s="86">
        <f>P21+AB21</f>
        <v>84149</v>
      </c>
      <c r="AD21" s="82">
        <v>13</v>
      </c>
      <c r="AE21" s="82">
        <v>4</v>
      </c>
      <c r="AF21" s="82">
        <v>4</v>
      </c>
      <c r="AG21" s="83">
        <f>SUM(AD21:AF21)</f>
        <v>21</v>
      </c>
      <c r="AH21" s="416">
        <v>2509</v>
      </c>
      <c r="AI21" s="416">
        <v>3139</v>
      </c>
      <c r="AJ21" s="416">
        <v>1135</v>
      </c>
      <c r="AK21" s="416">
        <f>SUM(AH21:AJ26)</f>
        <v>6783</v>
      </c>
    </row>
    <row r="22" spans="1:37" ht="23.25">
      <c r="A22" s="412"/>
      <c r="B22" s="89" t="s">
        <v>226</v>
      </c>
      <c r="C22" s="66">
        <v>35.527499999999996</v>
      </c>
      <c r="D22" s="66">
        <v>148.01399999999998</v>
      </c>
      <c r="E22" s="66">
        <v>17.077499999999997</v>
      </c>
      <c r="F22" s="66">
        <v>79.289999999999992</v>
      </c>
      <c r="G22" s="66">
        <v>0</v>
      </c>
      <c r="H22" s="66">
        <v>0</v>
      </c>
      <c r="I22" s="66">
        <v>0</v>
      </c>
      <c r="J22" s="66"/>
      <c r="K22" s="66"/>
      <c r="L22" s="66">
        <v>0</v>
      </c>
      <c r="M22" s="66">
        <v>4.05</v>
      </c>
      <c r="N22" s="66">
        <v>3.415</v>
      </c>
      <c r="O22" s="66">
        <v>0</v>
      </c>
      <c r="P22" s="85">
        <f>SUM(C22:O22)</f>
        <v>287.37400000000002</v>
      </c>
      <c r="Q22" s="66">
        <v>10.78</v>
      </c>
      <c r="R22" s="66">
        <v>0</v>
      </c>
      <c r="S22" s="66">
        <v>0</v>
      </c>
      <c r="T22" s="66">
        <v>26.02</v>
      </c>
      <c r="U22" s="66">
        <v>0</v>
      </c>
      <c r="V22" s="66">
        <v>0</v>
      </c>
      <c r="W22" s="66">
        <v>0</v>
      </c>
      <c r="X22" s="66">
        <v>99.4</v>
      </c>
      <c r="Y22" s="66">
        <v>0</v>
      </c>
      <c r="Z22" s="81">
        <v>25.8</v>
      </c>
      <c r="AA22" s="67"/>
      <c r="AB22" s="85">
        <f>SUM(Q22:AA22)</f>
        <v>162</v>
      </c>
      <c r="AC22" s="86">
        <f>P22+AB22</f>
        <v>449.37400000000002</v>
      </c>
      <c r="AD22" s="82"/>
      <c r="AE22" s="82"/>
      <c r="AF22" s="82"/>
      <c r="AG22" s="83"/>
      <c r="AH22" s="417"/>
      <c r="AI22" s="417"/>
      <c r="AJ22" s="417"/>
      <c r="AK22" s="417"/>
    </row>
    <row r="23" spans="1:37" ht="22.5">
      <c r="A23" s="412"/>
      <c r="B23" s="133" t="s">
        <v>227</v>
      </c>
      <c r="C23" s="141">
        <v>9252</v>
      </c>
      <c r="D23" s="141">
        <v>37456</v>
      </c>
      <c r="E23" s="141">
        <v>4675</v>
      </c>
      <c r="F23" s="141">
        <v>21619</v>
      </c>
      <c r="G23" s="141">
        <v>1602</v>
      </c>
      <c r="H23" s="141">
        <v>6242</v>
      </c>
      <c r="I23" s="141">
        <v>2442</v>
      </c>
      <c r="J23" s="141"/>
      <c r="K23" s="141"/>
      <c r="L23" s="141">
        <v>102</v>
      </c>
      <c r="M23" s="141">
        <v>876</v>
      </c>
      <c r="N23" s="141">
        <v>1147</v>
      </c>
      <c r="O23" s="141">
        <v>129</v>
      </c>
      <c r="P23" s="85">
        <f>SUM(C23:O23)</f>
        <v>85542</v>
      </c>
      <c r="Q23" s="56">
        <v>1242</v>
      </c>
      <c r="R23" s="141">
        <v>2718</v>
      </c>
      <c r="S23" s="141">
        <v>2020</v>
      </c>
      <c r="T23" s="141">
        <v>3147</v>
      </c>
      <c r="U23" s="141">
        <v>4086</v>
      </c>
      <c r="V23" s="141">
        <v>851</v>
      </c>
      <c r="W23" s="141">
        <v>292</v>
      </c>
      <c r="X23" s="141">
        <v>852</v>
      </c>
      <c r="Y23" s="141">
        <v>204</v>
      </c>
      <c r="Z23" s="141">
        <v>164</v>
      </c>
      <c r="AA23" s="67"/>
      <c r="AB23" s="85">
        <f>SUM(Q23:AA23)</f>
        <v>15576</v>
      </c>
      <c r="AC23" s="86">
        <f>P23+AB23</f>
        <v>101118</v>
      </c>
      <c r="AD23" s="68"/>
      <c r="AE23" s="68"/>
      <c r="AF23" s="68"/>
      <c r="AG23" s="68"/>
      <c r="AH23" s="417"/>
      <c r="AI23" s="417"/>
      <c r="AJ23" s="417"/>
      <c r="AK23" s="417"/>
    </row>
    <row r="24" spans="1:37" ht="22.5">
      <c r="A24" s="412"/>
      <c r="B24" s="133" t="s">
        <v>228</v>
      </c>
      <c r="C24" s="400">
        <f>C21+D21+E21+F21+C22+D22+E22+F22</f>
        <v>62481.909</v>
      </c>
      <c r="D24" s="414"/>
      <c r="E24" s="414"/>
      <c r="F24" s="415"/>
      <c r="G24" s="400">
        <f>G21+H21+I21+G22+H22+I22</f>
        <v>8121</v>
      </c>
      <c r="H24" s="414"/>
      <c r="I24" s="415"/>
      <c r="J24" s="268"/>
      <c r="K24" s="268"/>
      <c r="L24" s="400">
        <f>L21+M21+N21+L22+M22+N22</f>
        <v>1533.4649999999999</v>
      </c>
      <c r="M24" s="414"/>
      <c r="N24" s="415"/>
      <c r="O24" s="141"/>
      <c r="P24" s="85"/>
      <c r="Q24" s="400">
        <f>Q21+R21+S21+Q22+R22+S22</f>
        <v>5385.78</v>
      </c>
      <c r="R24" s="414"/>
      <c r="S24" s="415"/>
      <c r="T24" s="141"/>
      <c r="U24" s="141"/>
      <c r="V24" s="141"/>
      <c r="W24" s="141"/>
      <c r="X24" s="141"/>
      <c r="Y24" s="141"/>
      <c r="Z24" s="141"/>
      <c r="AA24" s="67"/>
      <c r="AB24" s="85"/>
      <c r="AC24" s="86"/>
      <c r="AD24" s="68"/>
      <c r="AE24" s="68"/>
      <c r="AF24" s="68"/>
      <c r="AG24" s="68"/>
      <c r="AH24" s="417"/>
      <c r="AI24" s="417"/>
      <c r="AJ24" s="417"/>
      <c r="AK24" s="417"/>
    </row>
    <row r="25" spans="1:37" ht="22.5">
      <c r="A25" s="412"/>
      <c r="B25" s="133" t="s">
        <v>229</v>
      </c>
      <c r="C25" s="400">
        <f>C23+D23+E23+F23</f>
        <v>73002</v>
      </c>
      <c r="D25" s="414"/>
      <c r="E25" s="414"/>
      <c r="F25" s="415"/>
      <c r="G25" s="400">
        <f>G23+H23+I23</f>
        <v>10286</v>
      </c>
      <c r="H25" s="414"/>
      <c r="I25" s="415"/>
      <c r="J25" s="268"/>
      <c r="K25" s="268"/>
      <c r="L25" s="400">
        <f>L23+M23+N23</f>
        <v>2125</v>
      </c>
      <c r="M25" s="414"/>
      <c r="N25" s="415"/>
      <c r="O25" s="141"/>
      <c r="P25" s="85"/>
      <c r="Q25" s="400">
        <f>Q23+R23+S23</f>
        <v>5980</v>
      </c>
      <c r="R25" s="414"/>
      <c r="S25" s="415"/>
      <c r="T25" s="141"/>
      <c r="U25" s="141"/>
      <c r="V25" s="141"/>
      <c r="W25" s="141"/>
      <c r="X25" s="141"/>
      <c r="Y25" s="141"/>
      <c r="Z25" s="141"/>
      <c r="AA25" s="67"/>
      <c r="AB25" s="85"/>
      <c r="AC25" s="86"/>
      <c r="AD25" s="68"/>
      <c r="AE25" s="68"/>
      <c r="AF25" s="68"/>
      <c r="AG25" s="68"/>
      <c r="AH25" s="417"/>
      <c r="AI25" s="417"/>
      <c r="AJ25" s="417"/>
      <c r="AK25" s="417"/>
    </row>
    <row r="26" spans="1:37" ht="22.5">
      <c r="A26" s="413"/>
      <c r="B26" s="93" t="s">
        <v>223</v>
      </c>
      <c r="C26" s="406">
        <f>C24/C25</f>
        <v>0.85589311251746525</v>
      </c>
      <c r="D26" s="409"/>
      <c r="E26" s="409"/>
      <c r="F26" s="410"/>
      <c r="G26" s="406">
        <f>G24/G25</f>
        <v>0.789519735562901</v>
      </c>
      <c r="H26" s="409"/>
      <c r="I26" s="410"/>
      <c r="J26" s="267"/>
      <c r="K26" s="267"/>
      <c r="L26" s="406">
        <f>L24/L25</f>
        <v>0.72163058823529402</v>
      </c>
      <c r="M26" s="409"/>
      <c r="N26" s="410"/>
      <c r="O26" s="142">
        <f>(O21+O22)/O23</f>
        <v>1</v>
      </c>
      <c r="P26" s="87">
        <f>(P21+P22)/P23</f>
        <v>0.84479406607280627</v>
      </c>
      <c r="Q26" s="406">
        <f>Q24/Q25</f>
        <v>0.90063210702341134</v>
      </c>
      <c r="R26" s="409"/>
      <c r="S26" s="410"/>
      <c r="T26" s="142">
        <f t="shared" ref="T26:Z26" si="2">(T21+T22)/T23</f>
        <v>0.83508738481093103</v>
      </c>
      <c r="U26" s="142">
        <f t="shared" si="2"/>
        <v>0.52251590797846303</v>
      </c>
      <c r="V26" s="142">
        <f t="shared" si="2"/>
        <v>0.88131609870740302</v>
      </c>
      <c r="W26" s="142">
        <f t="shared" si="2"/>
        <v>0.93493150684931503</v>
      </c>
      <c r="X26" s="142">
        <f t="shared" si="2"/>
        <v>0.95</v>
      </c>
      <c r="Y26" s="142">
        <f t="shared" si="2"/>
        <v>0.96568627450980393</v>
      </c>
      <c r="Z26" s="142">
        <f t="shared" si="2"/>
        <v>0.94390243902439031</v>
      </c>
      <c r="AA26" s="69"/>
      <c r="AB26" s="87">
        <f>(AB21+AB22)/AB23</f>
        <v>0.79179506933744226</v>
      </c>
      <c r="AC26" s="88">
        <f>(AC21+AC22)/AC23</f>
        <v>0.83663021420518602</v>
      </c>
      <c r="AD26" s="84" t="e">
        <f>AD21/$AG$102</f>
        <v>#DIV/0!</v>
      </c>
      <c r="AE26" s="84" t="e">
        <f>AE21/$AG$102</f>
        <v>#DIV/0!</v>
      </c>
      <c r="AF26" s="84" t="e">
        <f>AF21/$AG$102</f>
        <v>#DIV/0!</v>
      </c>
      <c r="AG26" s="134" t="e">
        <f>AG21/$AG$102</f>
        <v>#DIV/0!</v>
      </c>
      <c r="AH26" s="418"/>
      <c r="AI26" s="418"/>
      <c r="AJ26" s="418"/>
      <c r="AK26" s="418"/>
    </row>
    <row r="27" spans="1:37" ht="23.25">
      <c r="A27" s="411" t="s">
        <v>232</v>
      </c>
      <c r="B27" s="89" t="s">
        <v>225</v>
      </c>
      <c r="C27" s="66">
        <v>7941</v>
      </c>
      <c r="D27" s="66">
        <v>32619</v>
      </c>
      <c r="E27" s="66">
        <v>3837</v>
      </c>
      <c r="F27" s="66">
        <v>18131</v>
      </c>
      <c r="G27" s="66">
        <v>1534</v>
      </c>
      <c r="H27" s="66">
        <v>4316</v>
      </c>
      <c r="I27" s="66">
        <v>2252</v>
      </c>
      <c r="J27" s="66"/>
      <c r="K27" s="66"/>
      <c r="L27" s="66">
        <v>35</v>
      </c>
      <c r="M27" s="66">
        <v>821</v>
      </c>
      <c r="N27" s="66">
        <v>690</v>
      </c>
      <c r="O27" s="66">
        <v>150</v>
      </c>
      <c r="P27" s="85">
        <f>SUM(C27:O27)</f>
        <v>72326</v>
      </c>
      <c r="Q27" s="66">
        <v>1100</v>
      </c>
      <c r="R27" s="66">
        <v>2359</v>
      </c>
      <c r="S27" s="66">
        <v>1907</v>
      </c>
      <c r="T27" s="66">
        <v>2634</v>
      </c>
      <c r="U27" s="66">
        <v>2144</v>
      </c>
      <c r="V27" s="66">
        <v>748</v>
      </c>
      <c r="W27" s="66">
        <v>277</v>
      </c>
      <c r="X27" s="66">
        <v>717</v>
      </c>
      <c r="Y27" s="81">
        <v>198</v>
      </c>
      <c r="Z27" s="81">
        <v>129</v>
      </c>
      <c r="AA27" s="67"/>
      <c r="AB27" s="85">
        <f>SUM(Q27:AA27)</f>
        <v>12213</v>
      </c>
      <c r="AC27" s="86">
        <f>P27+AB27</f>
        <v>84539</v>
      </c>
      <c r="AD27" s="82">
        <v>14</v>
      </c>
      <c r="AE27" s="82">
        <v>3</v>
      </c>
      <c r="AF27" s="82">
        <v>4</v>
      </c>
      <c r="AG27" s="83">
        <f>SUM(AD27:AF27)</f>
        <v>21</v>
      </c>
      <c r="AH27" s="416">
        <v>1840</v>
      </c>
      <c r="AI27" s="416">
        <v>2521</v>
      </c>
      <c r="AJ27" s="416">
        <v>1084</v>
      </c>
      <c r="AK27" s="416">
        <f>SUM(AH27:AJ32)</f>
        <v>5445</v>
      </c>
    </row>
    <row r="28" spans="1:37" ht="23.25">
      <c r="A28" s="412"/>
      <c r="B28" s="89" t="s">
        <v>226</v>
      </c>
      <c r="C28" s="66">
        <v>35.734499999999997</v>
      </c>
      <c r="D28" s="66">
        <v>146.78549999999998</v>
      </c>
      <c r="E28" s="66">
        <v>17.266499999999997</v>
      </c>
      <c r="F28" s="66">
        <v>81.589499999999987</v>
      </c>
      <c r="G28" s="66">
        <v>0</v>
      </c>
      <c r="H28" s="66">
        <v>0</v>
      </c>
      <c r="I28" s="66">
        <v>0</v>
      </c>
      <c r="J28" s="66"/>
      <c r="K28" s="66"/>
      <c r="L28" s="66">
        <v>0</v>
      </c>
      <c r="M28" s="66">
        <v>4.1050000000000004</v>
      </c>
      <c r="N28" s="66">
        <v>3.45</v>
      </c>
      <c r="O28" s="66">
        <v>0</v>
      </c>
      <c r="P28" s="85">
        <f>SUM(C28:O28)</f>
        <v>288.93099999999998</v>
      </c>
      <c r="Q28" s="66">
        <v>11</v>
      </c>
      <c r="R28" s="66">
        <v>0</v>
      </c>
      <c r="S28" s="66">
        <v>0</v>
      </c>
      <c r="T28" s="66">
        <v>26.34</v>
      </c>
      <c r="U28" s="66">
        <v>0</v>
      </c>
      <c r="V28" s="66">
        <v>0</v>
      </c>
      <c r="W28" s="66">
        <v>0</v>
      </c>
      <c r="X28" s="66">
        <v>100.38000000000001</v>
      </c>
      <c r="Y28" s="66">
        <v>0</v>
      </c>
      <c r="Z28" s="81">
        <v>25.8</v>
      </c>
      <c r="AA28" s="67"/>
      <c r="AB28" s="85">
        <f>SUM(Q28:AA28)</f>
        <v>163.52000000000004</v>
      </c>
      <c r="AC28" s="86">
        <f>P28+AB28</f>
        <v>452.45100000000002</v>
      </c>
      <c r="AD28" s="82"/>
      <c r="AE28" s="82"/>
      <c r="AF28" s="82"/>
      <c r="AG28" s="83"/>
      <c r="AH28" s="417"/>
      <c r="AI28" s="417"/>
      <c r="AJ28" s="417"/>
      <c r="AK28" s="417"/>
    </row>
    <row r="29" spans="1:37" ht="22.5">
      <c r="A29" s="412"/>
      <c r="B29" s="133" t="s">
        <v>227</v>
      </c>
      <c r="C29" s="141">
        <v>9252</v>
      </c>
      <c r="D29" s="141">
        <v>37456</v>
      </c>
      <c r="E29" s="141">
        <v>4675</v>
      </c>
      <c r="F29" s="141">
        <v>21619</v>
      </c>
      <c r="G29" s="141">
        <v>1602</v>
      </c>
      <c r="H29" s="141">
        <v>6242</v>
      </c>
      <c r="I29" s="141">
        <v>2442</v>
      </c>
      <c r="J29" s="141"/>
      <c r="K29" s="141"/>
      <c r="L29" s="141">
        <v>102</v>
      </c>
      <c r="M29" s="141">
        <v>876</v>
      </c>
      <c r="N29" s="141">
        <v>1147</v>
      </c>
      <c r="O29" s="56">
        <v>151</v>
      </c>
      <c r="P29" s="85">
        <f>SUM(C29:O29)</f>
        <v>85564</v>
      </c>
      <c r="Q29" s="56">
        <v>1242</v>
      </c>
      <c r="R29" s="141">
        <v>2718</v>
      </c>
      <c r="S29" s="141">
        <v>2020</v>
      </c>
      <c r="T29" s="141">
        <v>3147</v>
      </c>
      <c r="U29" s="141">
        <v>4086</v>
      </c>
      <c r="V29" s="141">
        <v>851</v>
      </c>
      <c r="W29" s="141">
        <v>292</v>
      </c>
      <c r="X29" s="141">
        <v>852</v>
      </c>
      <c r="Y29" s="141">
        <v>204</v>
      </c>
      <c r="Z29" s="141">
        <v>164</v>
      </c>
      <c r="AA29" s="67"/>
      <c r="AB29" s="85">
        <f>SUM(Q29:AA29)</f>
        <v>15576</v>
      </c>
      <c r="AC29" s="86">
        <f>P29+AB29</f>
        <v>101140</v>
      </c>
      <c r="AD29" s="68"/>
      <c r="AE29" s="68"/>
      <c r="AF29" s="68"/>
      <c r="AG29" s="68"/>
      <c r="AH29" s="417"/>
      <c r="AI29" s="417"/>
      <c r="AJ29" s="417"/>
      <c r="AK29" s="417"/>
    </row>
    <row r="30" spans="1:37" ht="22.5">
      <c r="A30" s="412"/>
      <c r="B30" s="133" t="s">
        <v>228</v>
      </c>
      <c r="C30" s="400">
        <f>C27+D27+E27+F27+C28+D28+E28+F28</f>
        <v>62809.375999999997</v>
      </c>
      <c r="D30" s="414"/>
      <c r="E30" s="414"/>
      <c r="F30" s="415"/>
      <c r="G30" s="400">
        <f>G27+H27+I27+G28+H28+I28</f>
        <v>8102</v>
      </c>
      <c r="H30" s="414"/>
      <c r="I30" s="415"/>
      <c r="J30" s="268"/>
      <c r="K30" s="268"/>
      <c r="L30" s="400">
        <f>L27+M27+N27+L28+M28+N28</f>
        <v>1553.5550000000001</v>
      </c>
      <c r="M30" s="414"/>
      <c r="N30" s="415"/>
      <c r="O30" s="141"/>
      <c r="P30" s="85"/>
      <c r="Q30" s="400">
        <f>Q27+R27+S27+Q28+R28+S28</f>
        <v>5377</v>
      </c>
      <c r="R30" s="414"/>
      <c r="S30" s="415"/>
      <c r="T30" s="141"/>
      <c r="U30" s="141"/>
      <c r="V30" s="141"/>
      <c r="W30" s="141"/>
      <c r="X30" s="141"/>
      <c r="Y30" s="141"/>
      <c r="Z30" s="141"/>
      <c r="AA30" s="67"/>
      <c r="AB30" s="85"/>
      <c r="AC30" s="86"/>
      <c r="AD30" s="68"/>
      <c r="AE30" s="68"/>
      <c r="AF30" s="68"/>
      <c r="AG30" s="68"/>
      <c r="AH30" s="417"/>
      <c r="AI30" s="417"/>
      <c r="AJ30" s="417"/>
      <c r="AK30" s="417"/>
    </row>
    <row r="31" spans="1:37" ht="22.5">
      <c r="A31" s="412"/>
      <c r="B31" s="133" t="s">
        <v>229</v>
      </c>
      <c r="C31" s="400">
        <f>C29+D29+E29+F29</f>
        <v>73002</v>
      </c>
      <c r="D31" s="414"/>
      <c r="E31" s="414"/>
      <c r="F31" s="415"/>
      <c r="G31" s="400">
        <f>G29+H29+I29</f>
        <v>10286</v>
      </c>
      <c r="H31" s="414"/>
      <c r="I31" s="415"/>
      <c r="J31" s="268"/>
      <c r="K31" s="268"/>
      <c r="L31" s="400">
        <f>L29+M29+N29</f>
        <v>2125</v>
      </c>
      <c r="M31" s="414"/>
      <c r="N31" s="415"/>
      <c r="O31" s="141"/>
      <c r="P31" s="85"/>
      <c r="Q31" s="400">
        <f>Q29+R29+S29</f>
        <v>5980</v>
      </c>
      <c r="R31" s="414"/>
      <c r="S31" s="415"/>
      <c r="T31" s="141"/>
      <c r="U31" s="141"/>
      <c r="V31" s="141"/>
      <c r="W31" s="141"/>
      <c r="X31" s="141"/>
      <c r="Y31" s="141"/>
      <c r="Z31" s="141"/>
      <c r="AA31" s="67"/>
      <c r="AB31" s="85"/>
      <c r="AC31" s="86"/>
      <c r="AD31" s="68"/>
      <c r="AE31" s="68"/>
      <c r="AF31" s="68"/>
      <c r="AG31" s="68"/>
      <c r="AH31" s="417"/>
      <c r="AI31" s="417"/>
      <c r="AJ31" s="417"/>
      <c r="AK31" s="417"/>
    </row>
    <row r="32" spans="1:37" ht="22.5">
      <c r="A32" s="413"/>
      <c r="B32" s="93" t="s">
        <v>223</v>
      </c>
      <c r="C32" s="406">
        <f>C30/C31</f>
        <v>0.86037883893591949</v>
      </c>
      <c r="D32" s="409"/>
      <c r="E32" s="409"/>
      <c r="F32" s="410"/>
      <c r="G32" s="406">
        <f>G30/G31</f>
        <v>0.7876725646509819</v>
      </c>
      <c r="H32" s="409"/>
      <c r="I32" s="410"/>
      <c r="J32" s="267"/>
      <c r="K32" s="267"/>
      <c r="L32" s="406">
        <f>L30/L31</f>
        <v>0.73108470588235297</v>
      </c>
      <c r="M32" s="409"/>
      <c r="N32" s="410"/>
      <c r="O32" s="142">
        <f>(O27+O28)/O29</f>
        <v>0.99337748344370858</v>
      </c>
      <c r="P32" s="87">
        <f>(P27+P28)/P29</f>
        <v>0.84866218269365612</v>
      </c>
      <c r="Q32" s="406">
        <f>Q30/Q31</f>
        <v>0.89916387959866217</v>
      </c>
      <c r="R32" s="409"/>
      <c r="S32" s="410"/>
      <c r="T32" s="142">
        <f t="shared" ref="T32:Z32" si="3">(T27+T28)/T29</f>
        <v>0.8453574833174452</v>
      </c>
      <c r="U32" s="142">
        <f t="shared" si="3"/>
        <v>0.52471855115026922</v>
      </c>
      <c r="V32" s="142">
        <f t="shared" si="3"/>
        <v>0.87896592244418337</v>
      </c>
      <c r="W32" s="142">
        <f t="shared" si="3"/>
        <v>0.94863013698630139</v>
      </c>
      <c r="X32" s="142">
        <f t="shared" si="3"/>
        <v>0.95936619718309857</v>
      </c>
      <c r="Y32" s="142">
        <f t="shared" si="3"/>
        <v>0.97058823529411764</v>
      </c>
      <c r="Z32" s="142">
        <f t="shared" si="3"/>
        <v>0.94390243902439031</v>
      </c>
      <c r="AA32" s="69"/>
      <c r="AB32" s="87">
        <f>(AB27+AB28)/AB29</f>
        <v>0.79458911145351829</v>
      </c>
      <c r="AC32" s="88">
        <f>(AC27+AC28)/AC29</f>
        <v>0.84033469448289499</v>
      </c>
      <c r="AD32" s="84" t="e">
        <f>AD27/$AG$102</f>
        <v>#DIV/0!</v>
      </c>
      <c r="AE32" s="84" t="e">
        <f>AE27/$AG$102</f>
        <v>#DIV/0!</v>
      </c>
      <c r="AF32" s="84" t="e">
        <f>AF27/$AG$102</f>
        <v>#DIV/0!</v>
      </c>
      <c r="AG32" s="134" t="e">
        <f>AG27/$AG$102</f>
        <v>#DIV/0!</v>
      </c>
      <c r="AH32" s="418"/>
      <c r="AI32" s="418"/>
      <c r="AJ32" s="418"/>
      <c r="AK32" s="418"/>
    </row>
    <row r="33" spans="1:37" ht="23.25">
      <c r="A33" s="411" t="s">
        <v>233</v>
      </c>
      <c r="B33" s="89" t="s">
        <v>225</v>
      </c>
      <c r="C33" s="66">
        <v>8037</v>
      </c>
      <c r="D33" s="66">
        <v>32045</v>
      </c>
      <c r="E33" s="66">
        <v>3837</v>
      </c>
      <c r="F33" s="66">
        <v>18896</v>
      </c>
      <c r="G33" s="66">
        <v>1534</v>
      </c>
      <c r="H33" s="66">
        <v>4358</v>
      </c>
      <c r="I33" s="66">
        <v>2264</v>
      </c>
      <c r="J33" s="66"/>
      <c r="K33" s="66"/>
      <c r="L33" s="66">
        <v>34</v>
      </c>
      <c r="M33" s="66">
        <v>816</v>
      </c>
      <c r="N33" s="66">
        <v>692</v>
      </c>
      <c r="O33" s="66">
        <v>149</v>
      </c>
      <c r="P33" s="85">
        <f>SUM(C33:O33)</f>
        <v>72662</v>
      </c>
      <c r="Q33" s="66">
        <v>1124</v>
      </c>
      <c r="R33" s="66">
        <v>2371</v>
      </c>
      <c r="S33" s="66">
        <v>1892</v>
      </c>
      <c r="T33" s="66">
        <v>2637</v>
      </c>
      <c r="U33" s="66">
        <v>2181</v>
      </c>
      <c r="V33" s="66">
        <v>749</v>
      </c>
      <c r="W33" s="66">
        <v>276</v>
      </c>
      <c r="X33" s="66">
        <v>699</v>
      </c>
      <c r="Y33" s="81">
        <v>202</v>
      </c>
      <c r="Z33" s="81">
        <v>129</v>
      </c>
      <c r="AA33" s="67"/>
      <c r="AB33" s="85">
        <f>SUM(Q33:AA33)</f>
        <v>12260</v>
      </c>
      <c r="AC33" s="86">
        <f>P33+AB33</f>
        <v>84922</v>
      </c>
      <c r="AD33" s="82">
        <v>14</v>
      </c>
      <c r="AE33" s="82">
        <v>3</v>
      </c>
      <c r="AF33" s="82">
        <v>4</v>
      </c>
      <c r="AG33" s="83">
        <f>SUM(AD33:AF33)</f>
        <v>21</v>
      </c>
      <c r="AH33" s="416">
        <v>2123</v>
      </c>
      <c r="AI33" s="416">
        <v>3653</v>
      </c>
      <c r="AJ33" s="416">
        <v>1937</v>
      </c>
      <c r="AK33" s="416">
        <f>SUM(AH33:AJ38)</f>
        <v>7713</v>
      </c>
    </row>
    <row r="34" spans="1:37" ht="23.25">
      <c r="A34" s="412"/>
      <c r="B34" s="89" t="s">
        <v>226</v>
      </c>
      <c r="C34" s="66">
        <v>36.166499999999999</v>
      </c>
      <c r="D34" s="66">
        <v>144.20249999999999</v>
      </c>
      <c r="E34" s="66">
        <v>17.266499999999997</v>
      </c>
      <c r="F34" s="66">
        <v>85.031999999999996</v>
      </c>
      <c r="G34" s="66">
        <v>0</v>
      </c>
      <c r="H34" s="66">
        <v>0</v>
      </c>
      <c r="I34" s="66">
        <v>0</v>
      </c>
      <c r="J34" s="66"/>
      <c r="K34" s="66"/>
      <c r="L34" s="66">
        <v>0</v>
      </c>
      <c r="M34" s="66">
        <v>4.08</v>
      </c>
      <c r="N34" s="66">
        <v>3.46</v>
      </c>
      <c r="O34" s="66">
        <v>0</v>
      </c>
      <c r="P34" s="85">
        <f>SUM(C34:O34)</f>
        <v>290.20749999999992</v>
      </c>
      <c r="Q34" s="66">
        <v>11.24</v>
      </c>
      <c r="R34" s="66">
        <v>0</v>
      </c>
      <c r="S34" s="66">
        <v>0</v>
      </c>
      <c r="T34" s="66">
        <v>26.37</v>
      </c>
      <c r="U34" s="66">
        <v>0</v>
      </c>
      <c r="V34" s="66">
        <v>0</v>
      </c>
      <c r="W34" s="66">
        <v>0</v>
      </c>
      <c r="X34" s="66">
        <v>97.860000000000014</v>
      </c>
      <c r="Y34" s="66">
        <v>0</v>
      </c>
      <c r="Z34" s="81">
        <v>25.8</v>
      </c>
      <c r="AA34" s="67"/>
      <c r="AB34" s="85">
        <f>SUM(Q34:AA34)</f>
        <v>161.27000000000004</v>
      </c>
      <c r="AC34" s="86">
        <f>P34+AB34</f>
        <v>451.47749999999996</v>
      </c>
      <c r="AD34" s="82"/>
      <c r="AE34" s="82"/>
      <c r="AF34" s="82"/>
      <c r="AG34" s="83"/>
      <c r="AH34" s="417"/>
      <c r="AI34" s="417"/>
      <c r="AJ34" s="417"/>
      <c r="AK34" s="417"/>
    </row>
    <row r="35" spans="1:37" ht="22.5">
      <c r="A35" s="412"/>
      <c r="B35" s="133" t="s">
        <v>227</v>
      </c>
      <c r="C35" s="141">
        <v>9252</v>
      </c>
      <c r="D35" s="141">
        <v>37456</v>
      </c>
      <c r="E35" s="141">
        <v>4675</v>
      </c>
      <c r="F35" s="141">
        <v>21619</v>
      </c>
      <c r="G35" s="141">
        <v>1602</v>
      </c>
      <c r="H35" s="141">
        <v>6242</v>
      </c>
      <c r="I35" s="141">
        <v>2442</v>
      </c>
      <c r="J35" s="141"/>
      <c r="K35" s="141"/>
      <c r="L35" s="141">
        <v>102</v>
      </c>
      <c r="M35" s="141">
        <v>876</v>
      </c>
      <c r="N35" s="141">
        <v>1147</v>
      </c>
      <c r="O35" s="56">
        <v>151</v>
      </c>
      <c r="P35" s="85">
        <f>SUM(C35:O35)</f>
        <v>85564</v>
      </c>
      <c r="Q35" s="56">
        <v>1242</v>
      </c>
      <c r="R35" s="141">
        <v>2718</v>
      </c>
      <c r="S35" s="141">
        <v>2020</v>
      </c>
      <c r="T35" s="141">
        <v>3147</v>
      </c>
      <c r="U35" s="141">
        <v>4086</v>
      </c>
      <c r="V35" s="141">
        <v>851</v>
      </c>
      <c r="W35" s="141">
        <v>292</v>
      </c>
      <c r="X35" s="141">
        <v>852</v>
      </c>
      <c r="Y35" s="141">
        <v>204</v>
      </c>
      <c r="Z35" s="141">
        <v>164</v>
      </c>
      <c r="AA35" s="67"/>
      <c r="AB35" s="85">
        <f>SUM(Q35:AA35)</f>
        <v>15576</v>
      </c>
      <c r="AC35" s="86">
        <f>P35+AB35</f>
        <v>101140</v>
      </c>
      <c r="AD35" s="68"/>
      <c r="AE35" s="68"/>
      <c r="AF35" s="68"/>
      <c r="AG35" s="68"/>
      <c r="AH35" s="417"/>
      <c r="AI35" s="417"/>
      <c r="AJ35" s="417"/>
      <c r="AK35" s="417"/>
    </row>
    <row r="36" spans="1:37" ht="22.5">
      <c r="A36" s="412"/>
      <c r="B36" s="133" t="s">
        <v>228</v>
      </c>
      <c r="C36" s="400">
        <f>C33+D33+E33+F33+C34+D34+E34+F34</f>
        <v>63097.667499999996</v>
      </c>
      <c r="D36" s="414"/>
      <c r="E36" s="414"/>
      <c r="F36" s="415"/>
      <c r="G36" s="400">
        <f>G33+H33+I33+G34+H34+I34</f>
        <v>8156</v>
      </c>
      <c r="H36" s="414"/>
      <c r="I36" s="415"/>
      <c r="J36" s="268"/>
      <c r="K36" s="268"/>
      <c r="L36" s="400">
        <f>L33+M33+N33+L34+M34+N34</f>
        <v>1549.54</v>
      </c>
      <c r="M36" s="414"/>
      <c r="N36" s="415"/>
      <c r="O36" s="141"/>
      <c r="P36" s="85"/>
      <c r="Q36" s="400">
        <f>Q33+R33+S33+Q34+R34+S34</f>
        <v>5398.24</v>
      </c>
      <c r="R36" s="414"/>
      <c r="S36" s="415"/>
      <c r="T36" s="141"/>
      <c r="U36" s="141"/>
      <c r="V36" s="141"/>
      <c r="W36" s="141"/>
      <c r="X36" s="141"/>
      <c r="Y36" s="141"/>
      <c r="Z36" s="141"/>
      <c r="AA36" s="67"/>
      <c r="AB36" s="85"/>
      <c r="AC36" s="86"/>
      <c r="AD36" s="68"/>
      <c r="AE36" s="68"/>
      <c r="AF36" s="68"/>
      <c r="AG36" s="68"/>
      <c r="AH36" s="417"/>
      <c r="AI36" s="417"/>
      <c r="AJ36" s="417"/>
      <c r="AK36" s="417"/>
    </row>
    <row r="37" spans="1:37" ht="22.5">
      <c r="A37" s="412"/>
      <c r="B37" s="133" t="s">
        <v>229</v>
      </c>
      <c r="C37" s="400">
        <f>C35+D35+E35+F35</f>
        <v>73002</v>
      </c>
      <c r="D37" s="414"/>
      <c r="E37" s="414"/>
      <c r="F37" s="415"/>
      <c r="G37" s="400">
        <f>G35+H35+I35</f>
        <v>10286</v>
      </c>
      <c r="H37" s="414"/>
      <c r="I37" s="415"/>
      <c r="J37" s="268"/>
      <c r="K37" s="268"/>
      <c r="L37" s="400">
        <f>L35+M35+N35</f>
        <v>2125</v>
      </c>
      <c r="M37" s="414"/>
      <c r="N37" s="415"/>
      <c r="O37" s="141"/>
      <c r="P37" s="85"/>
      <c r="Q37" s="400">
        <f>Q35+R35+S35</f>
        <v>5980</v>
      </c>
      <c r="R37" s="414"/>
      <c r="S37" s="415"/>
      <c r="T37" s="141"/>
      <c r="U37" s="141"/>
      <c r="V37" s="141"/>
      <c r="W37" s="141"/>
      <c r="X37" s="141"/>
      <c r="Y37" s="141"/>
      <c r="Z37" s="141"/>
      <c r="AA37" s="67"/>
      <c r="AB37" s="85"/>
      <c r="AC37" s="86"/>
      <c r="AD37" s="68"/>
      <c r="AE37" s="68"/>
      <c r="AF37" s="68"/>
      <c r="AG37" s="68"/>
      <c r="AH37" s="417"/>
      <c r="AI37" s="417"/>
      <c r="AJ37" s="417"/>
      <c r="AK37" s="417"/>
    </row>
    <row r="38" spans="1:37" ht="22.5">
      <c r="A38" s="413"/>
      <c r="B38" s="93" t="s">
        <v>223</v>
      </c>
      <c r="C38" s="406">
        <f>C36/C37</f>
        <v>0.86432792937179803</v>
      </c>
      <c r="D38" s="409"/>
      <c r="E38" s="409"/>
      <c r="F38" s="410"/>
      <c r="G38" s="406">
        <f>G36/G37</f>
        <v>0.79292241882169945</v>
      </c>
      <c r="H38" s="409"/>
      <c r="I38" s="410"/>
      <c r="J38" s="267"/>
      <c r="K38" s="267"/>
      <c r="L38" s="406">
        <f>L36/L37</f>
        <v>0.72919529411764705</v>
      </c>
      <c r="M38" s="409"/>
      <c r="N38" s="410"/>
      <c r="O38" s="142">
        <f>(O33+O34)/O35</f>
        <v>0.98675496688741726</v>
      </c>
      <c r="P38" s="87">
        <f>(P33+P34)/P35</f>
        <v>0.85260398648964519</v>
      </c>
      <c r="Q38" s="406">
        <f>Q36/Q37</f>
        <v>0.90271571906354509</v>
      </c>
      <c r="R38" s="409"/>
      <c r="S38" s="410"/>
      <c r="T38" s="142">
        <f t="shared" ref="T38:Z38" si="4">(T33+T34)/T35</f>
        <v>0.84632030505243083</v>
      </c>
      <c r="U38" s="142">
        <f t="shared" si="4"/>
        <v>0.53377386196769461</v>
      </c>
      <c r="V38" s="142">
        <f t="shared" si="4"/>
        <v>0.88014101057579319</v>
      </c>
      <c r="W38" s="142">
        <f t="shared" si="4"/>
        <v>0.9452054794520548</v>
      </c>
      <c r="X38" s="142">
        <f t="shared" si="4"/>
        <v>0.93528169014084506</v>
      </c>
      <c r="Y38" s="142">
        <f t="shared" si="4"/>
        <v>0.99019607843137258</v>
      </c>
      <c r="Z38" s="142">
        <f t="shared" si="4"/>
        <v>0.94390243902439031</v>
      </c>
      <c r="AA38" s="69"/>
      <c r="AB38" s="87">
        <f>(AB33+AB34)/AB35</f>
        <v>0.79746212121212123</v>
      </c>
      <c r="AC38" s="88">
        <f>(AC33+AC34)/AC35</f>
        <v>0.84411189934743913</v>
      </c>
      <c r="AD38" s="84" t="e">
        <f>AD33/$AG$102</f>
        <v>#DIV/0!</v>
      </c>
      <c r="AE38" s="84" t="e">
        <f>AE33/$AG$102</f>
        <v>#DIV/0!</v>
      </c>
      <c r="AF38" s="84" t="e">
        <f>AF33/$AG$102</f>
        <v>#DIV/0!</v>
      </c>
      <c r="AG38" s="134" t="e">
        <f>AG33/$AG$102</f>
        <v>#DIV/0!</v>
      </c>
      <c r="AH38" s="418"/>
      <c r="AI38" s="418"/>
      <c r="AJ38" s="418"/>
      <c r="AK38" s="418"/>
    </row>
    <row r="39" spans="1:37" ht="23.25">
      <c r="A39" s="411" t="s">
        <v>234</v>
      </c>
      <c r="B39" s="89" t="s">
        <v>225</v>
      </c>
      <c r="C39" s="66">
        <v>8074</v>
      </c>
      <c r="D39" s="66">
        <v>30954</v>
      </c>
      <c r="E39" s="66">
        <v>3744</v>
      </c>
      <c r="F39" s="66">
        <v>19545</v>
      </c>
      <c r="G39" s="66">
        <v>1527</v>
      </c>
      <c r="H39" s="66">
        <v>3991</v>
      </c>
      <c r="I39" s="66">
        <v>2283</v>
      </c>
      <c r="J39" s="66"/>
      <c r="K39" s="66"/>
      <c r="L39" s="66">
        <v>35</v>
      </c>
      <c r="M39" s="66">
        <v>823</v>
      </c>
      <c r="N39" s="66">
        <v>690</v>
      </c>
      <c r="O39" s="66">
        <v>151</v>
      </c>
      <c r="P39" s="85">
        <f>SUM(C39:O39)</f>
        <v>71817</v>
      </c>
      <c r="Q39" s="66">
        <v>1132</v>
      </c>
      <c r="R39" s="66">
        <v>2380</v>
      </c>
      <c r="S39" s="66">
        <v>1906</v>
      </c>
      <c r="T39" s="66">
        <v>2559</v>
      </c>
      <c r="U39" s="66">
        <v>2002</v>
      </c>
      <c r="V39" s="66">
        <v>755</v>
      </c>
      <c r="W39" s="66">
        <v>277</v>
      </c>
      <c r="X39" s="66">
        <v>702</v>
      </c>
      <c r="Y39" s="81">
        <v>204</v>
      </c>
      <c r="Z39" s="81">
        <v>129</v>
      </c>
      <c r="AA39" s="67"/>
      <c r="AB39" s="85">
        <f>SUM(Q39:AA39)</f>
        <v>12046</v>
      </c>
      <c r="AC39" s="86">
        <f>P39+AB39</f>
        <v>83863</v>
      </c>
      <c r="AD39" s="82">
        <v>14</v>
      </c>
      <c r="AE39" s="82">
        <v>3</v>
      </c>
      <c r="AF39" s="82">
        <v>4</v>
      </c>
      <c r="AG39" s="83">
        <f>SUM(AD39:AF39)</f>
        <v>21</v>
      </c>
      <c r="AH39" s="416">
        <v>1878</v>
      </c>
      <c r="AI39" s="416">
        <v>4670</v>
      </c>
      <c r="AJ39" s="416">
        <v>1760</v>
      </c>
      <c r="AK39" s="416">
        <f>SUM(AH39:AJ44)</f>
        <v>8308</v>
      </c>
    </row>
    <row r="40" spans="1:37" ht="23.25">
      <c r="A40" s="412"/>
      <c r="B40" s="89" t="s">
        <v>226</v>
      </c>
      <c r="C40" s="66">
        <v>36.332999999999998</v>
      </c>
      <c r="D40" s="66">
        <v>139.29299999999998</v>
      </c>
      <c r="E40" s="66">
        <v>16.847999999999999</v>
      </c>
      <c r="F40" s="66">
        <v>87.952499999999986</v>
      </c>
      <c r="G40" s="66">
        <v>0</v>
      </c>
      <c r="H40" s="66">
        <v>0</v>
      </c>
      <c r="I40" s="66">
        <v>0</v>
      </c>
      <c r="J40" s="66"/>
      <c r="K40" s="66"/>
      <c r="L40" s="66">
        <v>0</v>
      </c>
      <c r="M40" s="66">
        <v>4.1150000000000002</v>
      </c>
      <c r="N40" s="66">
        <v>3.45</v>
      </c>
      <c r="O40" s="66">
        <v>0</v>
      </c>
      <c r="P40" s="85">
        <f>SUM(C40:O40)</f>
        <v>287.99149999999997</v>
      </c>
      <c r="Q40" s="66">
        <v>11.32</v>
      </c>
      <c r="R40" s="66">
        <v>0</v>
      </c>
      <c r="S40" s="66">
        <v>0</v>
      </c>
      <c r="T40" s="66">
        <v>25.59</v>
      </c>
      <c r="U40" s="66">
        <v>0</v>
      </c>
      <c r="V40" s="66">
        <v>0</v>
      </c>
      <c r="W40" s="66">
        <v>0</v>
      </c>
      <c r="X40" s="66">
        <v>98.280000000000015</v>
      </c>
      <c r="Y40" s="66">
        <v>0</v>
      </c>
      <c r="Z40" s="81">
        <v>25.8</v>
      </c>
      <c r="AA40" s="67"/>
      <c r="AB40" s="85">
        <f>SUM(Q40:AA40)</f>
        <v>160.99</v>
      </c>
      <c r="AC40" s="86">
        <f>P40+AB40</f>
        <v>448.98149999999998</v>
      </c>
      <c r="AD40" s="82"/>
      <c r="AE40" s="82"/>
      <c r="AF40" s="82"/>
      <c r="AG40" s="83"/>
      <c r="AH40" s="417"/>
      <c r="AI40" s="417"/>
      <c r="AJ40" s="417"/>
      <c r="AK40" s="417"/>
    </row>
    <row r="41" spans="1:37" ht="22.5">
      <c r="A41" s="412"/>
      <c r="B41" s="133" t="s">
        <v>227</v>
      </c>
      <c r="C41" s="141">
        <v>9252</v>
      </c>
      <c r="D41" s="141">
        <v>37456</v>
      </c>
      <c r="E41" s="141">
        <v>4675</v>
      </c>
      <c r="F41" s="141">
        <v>21619</v>
      </c>
      <c r="G41" s="141">
        <v>1602</v>
      </c>
      <c r="H41" s="141">
        <v>6242</v>
      </c>
      <c r="I41" s="141">
        <v>2442</v>
      </c>
      <c r="J41" s="141"/>
      <c r="K41" s="141"/>
      <c r="L41" s="141">
        <v>102</v>
      </c>
      <c r="M41" s="141">
        <v>876</v>
      </c>
      <c r="N41" s="141">
        <v>1147</v>
      </c>
      <c r="O41" s="56">
        <v>151</v>
      </c>
      <c r="P41" s="85">
        <f>SUM(C41:O41)</f>
        <v>85564</v>
      </c>
      <c r="Q41" s="56">
        <v>1242</v>
      </c>
      <c r="R41" s="141">
        <v>2718</v>
      </c>
      <c r="S41" s="141">
        <v>2020</v>
      </c>
      <c r="T41" s="141">
        <v>3147</v>
      </c>
      <c r="U41" s="141">
        <v>4086</v>
      </c>
      <c r="V41" s="141">
        <v>851</v>
      </c>
      <c r="W41" s="141">
        <v>292</v>
      </c>
      <c r="X41" s="141">
        <v>852</v>
      </c>
      <c r="Y41" s="141">
        <v>204</v>
      </c>
      <c r="Z41" s="141">
        <v>164</v>
      </c>
      <c r="AA41" s="67"/>
      <c r="AB41" s="85">
        <f>SUM(Q41:AA41)</f>
        <v>15576</v>
      </c>
      <c r="AC41" s="86">
        <f>P41+AB41</f>
        <v>101140</v>
      </c>
      <c r="AD41" s="68"/>
      <c r="AE41" s="68"/>
      <c r="AF41" s="68"/>
      <c r="AG41" s="68"/>
      <c r="AH41" s="417"/>
      <c r="AI41" s="417"/>
      <c r="AJ41" s="417"/>
      <c r="AK41" s="417"/>
    </row>
    <row r="42" spans="1:37" ht="22.5">
      <c r="A42" s="412"/>
      <c r="B42" s="133" t="s">
        <v>228</v>
      </c>
      <c r="C42" s="400">
        <f>C39+D39+E39+F39+C40+D40+E40+F40</f>
        <v>62597.426499999994</v>
      </c>
      <c r="D42" s="414"/>
      <c r="E42" s="414"/>
      <c r="F42" s="415"/>
      <c r="G42" s="400">
        <f>G39+H39+I39+G40+H40+I40</f>
        <v>7801</v>
      </c>
      <c r="H42" s="414"/>
      <c r="I42" s="415"/>
      <c r="J42" s="268"/>
      <c r="K42" s="268"/>
      <c r="L42" s="400">
        <f>L39+M39+N39+L40+M40+N40</f>
        <v>1555.5650000000001</v>
      </c>
      <c r="M42" s="414"/>
      <c r="N42" s="415"/>
      <c r="O42" s="141"/>
      <c r="P42" s="85"/>
      <c r="Q42" s="400">
        <f>Q39+R39+S39+Q40+R40+S40</f>
        <v>5429.32</v>
      </c>
      <c r="R42" s="414"/>
      <c r="S42" s="415"/>
      <c r="T42" s="141"/>
      <c r="U42" s="141"/>
      <c r="V42" s="141"/>
      <c r="W42" s="141"/>
      <c r="X42" s="141"/>
      <c r="Y42" s="141"/>
      <c r="Z42" s="141"/>
      <c r="AA42" s="67"/>
      <c r="AB42" s="85"/>
      <c r="AC42" s="86"/>
      <c r="AD42" s="68"/>
      <c r="AE42" s="68"/>
      <c r="AF42" s="68"/>
      <c r="AG42" s="68"/>
      <c r="AH42" s="417"/>
      <c r="AI42" s="417"/>
      <c r="AJ42" s="417"/>
      <c r="AK42" s="417"/>
    </row>
    <row r="43" spans="1:37" ht="22.5">
      <c r="A43" s="412"/>
      <c r="B43" s="133" t="s">
        <v>229</v>
      </c>
      <c r="C43" s="400">
        <f>C41+D41+E41+F41</f>
        <v>73002</v>
      </c>
      <c r="D43" s="414"/>
      <c r="E43" s="414"/>
      <c r="F43" s="415"/>
      <c r="G43" s="400">
        <f>G41+H41+I41</f>
        <v>10286</v>
      </c>
      <c r="H43" s="414"/>
      <c r="I43" s="415"/>
      <c r="J43" s="268"/>
      <c r="K43" s="268"/>
      <c r="L43" s="400">
        <f>L41+M41+N41</f>
        <v>2125</v>
      </c>
      <c r="M43" s="414"/>
      <c r="N43" s="415"/>
      <c r="O43" s="141"/>
      <c r="P43" s="85"/>
      <c r="Q43" s="400">
        <f>Q41+R41+S41</f>
        <v>5980</v>
      </c>
      <c r="R43" s="414"/>
      <c r="S43" s="415"/>
      <c r="T43" s="141"/>
      <c r="U43" s="141"/>
      <c r="V43" s="141"/>
      <c r="W43" s="141"/>
      <c r="X43" s="141"/>
      <c r="Y43" s="141"/>
      <c r="Z43" s="141"/>
      <c r="AA43" s="67"/>
      <c r="AB43" s="85"/>
      <c r="AC43" s="86"/>
      <c r="AD43" s="68"/>
      <c r="AE43" s="68"/>
      <c r="AF43" s="68"/>
      <c r="AG43" s="68"/>
      <c r="AH43" s="417"/>
      <c r="AI43" s="417"/>
      <c r="AJ43" s="417"/>
      <c r="AK43" s="417"/>
    </row>
    <row r="44" spans="1:37" ht="22.5">
      <c r="A44" s="413"/>
      <c r="B44" s="93" t="s">
        <v>223</v>
      </c>
      <c r="C44" s="406">
        <f>C42/C43</f>
        <v>0.85747550067121436</v>
      </c>
      <c r="D44" s="409"/>
      <c r="E44" s="409"/>
      <c r="F44" s="410"/>
      <c r="G44" s="406">
        <f>G42/G43</f>
        <v>0.75840948862531599</v>
      </c>
      <c r="H44" s="409"/>
      <c r="I44" s="410"/>
      <c r="J44" s="267"/>
      <c r="K44" s="267"/>
      <c r="L44" s="406">
        <f>L42/L43</f>
        <v>0.7320305882352941</v>
      </c>
      <c r="M44" s="409"/>
      <c r="N44" s="410"/>
      <c r="O44" s="142">
        <f>(O39+O40)/O41</f>
        <v>1</v>
      </c>
      <c r="P44" s="87">
        <f>(P39+P40)/P41</f>
        <v>0.84270243910990605</v>
      </c>
      <c r="Q44" s="406">
        <f>Q42/Q43</f>
        <v>0.90791304347826085</v>
      </c>
      <c r="R44" s="409"/>
      <c r="S44" s="410"/>
      <c r="T44" s="142">
        <f t="shared" ref="T44:Z44" si="5">(T39+T40)/T41</f>
        <v>0.82128693994280266</v>
      </c>
      <c r="U44" s="142">
        <f t="shared" si="5"/>
        <v>0.4899657366617719</v>
      </c>
      <c r="V44" s="142">
        <f t="shared" si="5"/>
        <v>0.88719153936545236</v>
      </c>
      <c r="W44" s="142">
        <f t="shared" si="5"/>
        <v>0.94863013698630139</v>
      </c>
      <c r="X44" s="142">
        <f t="shared" si="5"/>
        <v>0.93929577464788727</v>
      </c>
      <c r="Y44" s="142">
        <f t="shared" si="5"/>
        <v>1</v>
      </c>
      <c r="Z44" s="142">
        <f t="shared" si="5"/>
        <v>0.94390243902439031</v>
      </c>
      <c r="AA44" s="69"/>
      <c r="AB44" s="87">
        <f>(AB39+AB40)/AB41</f>
        <v>0.78370505906522858</v>
      </c>
      <c r="AC44" s="88">
        <f>(AC39+AC40)/AC41</f>
        <v>0.83361658592050614</v>
      </c>
      <c r="AD44" s="84" t="e">
        <f>AD39/$AG$102</f>
        <v>#DIV/0!</v>
      </c>
      <c r="AE44" s="84" t="e">
        <f>AE39/$AG$102</f>
        <v>#DIV/0!</v>
      </c>
      <c r="AF44" s="84" t="e">
        <f>AF39/$AG$102</f>
        <v>#DIV/0!</v>
      </c>
      <c r="AG44" s="134" t="e">
        <f>AG39/$AG$102</f>
        <v>#DIV/0!</v>
      </c>
      <c r="AH44" s="418"/>
      <c r="AI44" s="418"/>
      <c r="AJ44" s="418"/>
      <c r="AK44" s="418"/>
    </row>
    <row r="45" spans="1:37" ht="23.25">
      <c r="A45" s="411" t="s">
        <v>235</v>
      </c>
      <c r="B45" s="89" t="s">
        <v>225</v>
      </c>
      <c r="C45" s="147">
        <v>7941</v>
      </c>
      <c r="D45" s="147">
        <v>31386</v>
      </c>
      <c r="E45" s="147">
        <v>3911</v>
      </c>
      <c r="F45" s="147">
        <v>19497</v>
      </c>
      <c r="G45" s="147">
        <v>1531</v>
      </c>
      <c r="H45" s="147">
        <v>3993</v>
      </c>
      <c r="I45" s="147">
        <v>2281</v>
      </c>
      <c r="J45" s="147"/>
      <c r="K45" s="147"/>
      <c r="L45" s="147">
        <v>32</v>
      </c>
      <c r="M45" s="147">
        <v>834</v>
      </c>
      <c r="N45" s="147">
        <v>690</v>
      </c>
      <c r="O45" s="147">
        <v>151</v>
      </c>
      <c r="P45" s="85">
        <f>SUM(C45:O45)</f>
        <v>72247</v>
      </c>
      <c r="Q45" s="147">
        <v>1136</v>
      </c>
      <c r="R45" s="147">
        <v>2421</v>
      </c>
      <c r="S45" s="147">
        <v>1900</v>
      </c>
      <c r="T45" s="147">
        <v>2624</v>
      </c>
      <c r="U45" s="147">
        <v>2017</v>
      </c>
      <c r="V45" s="147">
        <v>723</v>
      </c>
      <c r="W45" s="147">
        <v>278</v>
      </c>
      <c r="X45" s="147">
        <v>710</v>
      </c>
      <c r="Y45" s="81">
        <v>201</v>
      </c>
      <c r="Z45" s="81">
        <v>129</v>
      </c>
      <c r="AA45" s="67"/>
      <c r="AB45" s="85">
        <f>SUM(Q45:AA45)</f>
        <v>12139</v>
      </c>
      <c r="AC45" s="86">
        <f>P45+AB45</f>
        <v>84386</v>
      </c>
      <c r="AD45" s="82">
        <v>13</v>
      </c>
      <c r="AE45" s="82">
        <v>4</v>
      </c>
      <c r="AF45" s="82">
        <v>4</v>
      </c>
      <c r="AG45" s="83">
        <f>SUM(AD45:AF45)</f>
        <v>21</v>
      </c>
      <c r="AH45" s="416">
        <v>1872</v>
      </c>
      <c r="AI45" s="416">
        <v>2293</v>
      </c>
      <c r="AJ45" s="416">
        <v>962</v>
      </c>
      <c r="AK45" s="416">
        <f>SUM(AH45:AJ50)</f>
        <v>5127</v>
      </c>
    </row>
    <row r="46" spans="1:37" ht="23.25">
      <c r="A46" s="412"/>
      <c r="B46" s="89" t="s">
        <v>226</v>
      </c>
      <c r="C46" s="147">
        <v>35.734499999999997</v>
      </c>
      <c r="D46" s="147">
        <v>141.23699999999999</v>
      </c>
      <c r="E46" s="147">
        <v>17.599499999999999</v>
      </c>
      <c r="F46" s="147">
        <v>87.736499999999992</v>
      </c>
      <c r="G46" s="147">
        <v>0</v>
      </c>
      <c r="H46" s="147">
        <v>0</v>
      </c>
      <c r="I46" s="147">
        <v>0</v>
      </c>
      <c r="J46" s="147"/>
      <c r="K46" s="147"/>
      <c r="L46" s="147">
        <v>0</v>
      </c>
      <c r="M46" s="147">
        <v>4.17</v>
      </c>
      <c r="N46" s="147">
        <v>3.45</v>
      </c>
      <c r="O46" s="147">
        <v>0</v>
      </c>
      <c r="P46" s="85">
        <f>SUM(C46:O46)</f>
        <v>289.92750000000001</v>
      </c>
      <c r="Q46" s="147">
        <v>11.36</v>
      </c>
      <c r="R46" s="147">
        <v>0</v>
      </c>
      <c r="S46" s="147">
        <v>0</v>
      </c>
      <c r="T46" s="147">
        <v>26.240000000000002</v>
      </c>
      <c r="U46" s="147">
        <v>0</v>
      </c>
      <c r="V46" s="147">
        <v>0</v>
      </c>
      <c r="W46" s="147">
        <v>0</v>
      </c>
      <c r="X46" s="147">
        <v>177.5</v>
      </c>
      <c r="Y46" s="147">
        <v>0</v>
      </c>
      <c r="Z46" s="81">
        <v>25.8</v>
      </c>
      <c r="AA46" s="67"/>
      <c r="AB46" s="85">
        <f>SUM(Q46:AA46)</f>
        <v>240.9</v>
      </c>
      <c r="AC46" s="86">
        <f>P46+AB46</f>
        <v>530.82749999999999</v>
      </c>
      <c r="AD46" s="82"/>
      <c r="AE46" s="82"/>
      <c r="AF46" s="82"/>
      <c r="AG46" s="83"/>
      <c r="AH46" s="417"/>
      <c r="AI46" s="417"/>
      <c r="AJ46" s="417"/>
      <c r="AK46" s="417"/>
    </row>
    <row r="47" spans="1:37" ht="22.5">
      <c r="A47" s="412"/>
      <c r="B47" s="133" t="s">
        <v>227</v>
      </c>
      <c r="C47" s="141">
        <v>9252</v>
      </c>
      <c r="D47" s="141">
        <v>37456</v>
      </c>
      <c r="E47" s="141">
        <v>4675</v>
      </c>
      <c r="F47" s="141">
        <v>21619</v>
      </c>
      <c r="G47" s="141">
        <v>1602</v>
      </c>
      <c r="H47" s="141">
        <v>6242</v>
      </c>
      <c r="I47" s="141">
        <v>2505</v>
      </c>
      <c r="J47" s="141"/>
      <c r="K47" s="141"/>
      <c r="L47" s="141">
        <v>102</v>
      </c>
      <c r="M47" s="141">
        <v>876</v>
      </c>
      <c r="N47" s="141">
        <v>1147</v>
      </c>
      <c r="O47" s="56">
        <v>151</v>
      </c>
      <c r="P47" s="85">
        <f>SUM(C47:O47)</f>
        <v>85627</v>
      </c>
      <c r="Q47" s="56">
        <v>1242</v>
      </c>
      <c r="R47" s="141">
        <v>2718</v>
      </c>
      <c r="S47" s="141">
        <v>2020</v>
      </c>
      <c r="T47" s="141">
        <v>3147</v>
      </c>
      <c r="U47" s="141">
        <v>4086</v>
      </c>
      <c r="V47" s="141">
        <v>851</v>
      </c>
      <c r="W47" s="141">
        <v>292</v>
      </c>
      <c r="X47" s="141">
        <v>990</v>
      </c>
      <c r="Y47" s="141">
        <v>204</v>
      </c>
      <c r="Z47" s="141">
        <v>164</v>
      </c>
      <c r="AA47" s="67"/>
      <c r="AB47" s="85">
        <f>SUM(Q47:AA47)</f>
        <v>15714</v>
      </c>
      <c r="AC47" s="86">
        <f>P47+AB47</f>
        <v>101341</v>
      </c>
      <c r="AD47" s="68"/>
      <c r="AE47" s="68"/>
      <c r="AF47" s="68"/>
      <c r="AG47" s="68"/>
      <c r="AH47" s="417"/>
      <c r="AI47" s="417"/>
      <c r="AJ47" s="417"/>
      <c r="AK47" s="417"/>
    </row>
    <row r="48" spans="1:37" ht="22.5">
      <c r="A48" s="412"/>
      <c r="B48" s="133" t="s">
        <v>228</v>
      </c>
      <c r="C48" s="400">
        <f>C45+D45+E45+F45+C46+D46+E46+F46</f>
        <v>63017.307499999995</v>
      </c>
      <c r="D48" s="414"/>
      <c r="E48" s="414"/>
      <c r="F48" s="415"/>
      <c r="G48" s="400">
        <f>G45+H45+I45+G46+H46+I46</f>
        <v>7805</v>
      </c>
      <c r="H48" s="414"/>
      <c r="I48" s="415"/>
      <c r="J48" s="268"/>
      <c r="K48" s="268"/>
      <c r="L48" s="400">
        <f>L45+M45+N45+L46+M46+N46</f>
        <v>1563.6200000000001</v>
      </c>
      <c r="M48" s="414"/>
      <c r="N48" s="415"/>
      <c r="O48" s="141"/>
      <c r="P48" s="85"/>
      <c r="Q48" s="400">
        <f>Q45+R45+S45+Q46+R46+S46</f>
        <v>5468.36</v>
      </c>
      <c r="R48" s="414"/>
      <c r="S48" s="415"/>
      <c r="T48" s="141"/>
      <c r="U48" s="141"/>
      <c r="V48" s="141"/>
      <c r="W48" s="141"/>
      <c r="X48" s="141"/>
      <c r="Y48" s="141"/>
      <c r="Z48" s="141"/>
      <c r="AA48" s="67"/>
      <c r="AB48" s="85"/>
      <c r="AC48" s="86"/>
      <c r="AD48" s="68"/>
      <c r="AE48" s="68"/>
      <c r="AF48" s="68"/>
      <c r="AG48" s="68"/>
      <c r="AH48" s="417"/>
      <c r="AI48" s="417"/>
      <c r="AJ48" s="417"/>
      <c r="AK48" s="417"/>
    </row>
    <row r="49" spans="1:37" ht="22.5">
      <c r="A49" s="412"/>
      <c r="B49" s="133" t="s">
        <v>229</v>
      </c>
      <c r="C49" s="400">
        <f>C47+D47+E47+F47</f>
        <v>73002</v>
      </c>
      <c r="D49" s="414"/>
      <c r="E49" s="414"/>
      <c r="F49" s="415"/>
      <c r="G49" s="400">
        <f>G47+H47+I47</f>
        <v>10349</v>
      </c>
      <c r="H49" s="414"/>
      <c r="I49" s="415"/>
      <c r="J49" s="268"/>
      <c r="K49" s="268"/>
      <c r="L49" s="400">
        <f>L47+M47+N47</f>
        <v>2125</v>
      </c>
      <c r="M49" s="414"/>
      <c r="N49" s="415"/>
      <c r="O49" s="141"/>
      <c r="P49" s="85"/>
      <c r="Q49" s="400">
        <f>Q47+R47+S47</f>
        <v>5980</v>
      </c>
      <c r="R49" s="414"/>
      <c r="S49" s="415"/>
      <c r="T49" s="141"/>
      <c r="U49" s="141"/>
      <c r="V49" s="141"/>
      <c r="W49" s="141"/>
      <c r="X49" s="141"/>
      <c r="Y49" s="141"/>
      <c r="Z49" s="141"/>
      <c r="AA49" s="67"/>
      <c r="AB49" s="85"/>
      <c r="AC49" s="86"/>
      <c r="AD49" s="68"/>
      <c r="AE49" s="68"/>
      <c r="AF49" s="68"/>
      <c r="AG49" s="68"/>
      <c r="AH49" s="417"/>
      <c r="AI49" s="417"/>
      <c r="AJ49" s="417"/>
      <c r="AK49" s="417"/>
    </row>
    <row r="50" spans="1:37" ht="22.5">
      <c r="A50" s="413"/>
      <c r="B50" s="93" t="s">
        <v>223</v>
      </c>
      <c r="C50" s="406">
        <f>C48/C49</f>
        <v>0.86322713761266812</v>
      </c>
      <c r="D50" s="409"/>
      <c r="E50" s="409"/>
      <c r="F50" s="410"/>
      <c r="G50" s="406">
        <f>G48/G49</f>
        <v>0.75417914774374339</v>
      </c>
      <c r="H50" s="409"/>
      <c r="I50" s="410"/>
      <c r="J50" s="267"/>
      <c r="K50" s="267"/>
      <c r="L50" s="406">
        <f>L48/L49</f>
        <v>0.73582117647058831</v>
      </c>
      <c r="M50" s="409"/>
      <c r="N50" s="410"/>
      <c r="O50" s="142">
        <f>(O45+O46)/O47</f>
        <v>1</v>
      </c>
      <c r="P50" s="87">
        <f>(P45+P46)/P47</f>
        <v>0.8471268116365166</v>
      </c>
      <c r="Q50" s="406">
        <f>Q48/Q49</f>
        <v>0.91444147157190625</v>
      </c>
      <c r="R50" s="409"/>
      <c r="S50" s="410"/>
      <c r="T50" s="142">
        <f t="shared" ref="T50:Z50" si="6">(T45+T46)/T47</f>
        <v>0.84214807753415943</v>
      </c>
      <c r="U50" s="142">
        <f t="shared" si="6"/>
        <v>0.49363680861478221</v>
      </c>
      <c r="V50" s="142">
        <f t="shared" si="6"/>
        <v>0.84958871915393652</v>
      </c>
      <c r="W50" s="142">
        <f t="shared" si="6"/>
        <v>0.95205479452054798</v>
      </c>
      <c r="X50" s="142">
        <f t="shared" si="6"/>
        <v>0.89646464646464652</v>
      </c>
      <c r="Y50" s="142">
        <f t="shared" si="6"/>
        <v>0.98529411764705888</v>
      </c>
      <c r="Z50" s="142">
        <f t="shared" si="6"/>
        <v>0.94390243902439031</v>
      </c>
      <c r="AA50" s="69"/>
      <c r="AB50" s="87">
        <f>(AB45+AB46)/AB47</f>
        <v>0.78782614229349623</v>
      </c>
      <c r="AC50" s="88">
        <f>(AC45+AC46)/AC47</f>
        <v>0.83793161208198064</v>
      </c>
      <c r="AD50" s="84" t="e">
        <f>AD45/$AG$102</f>
        <v>#DIV/0!</v>
      </c>
      <c r="AE50" s="84" t="e">
        <f>AE45/$AG$102</f>
        <v>#DIV/0!</v>
      </c>
      <c r="AF50" s="84" t="e">
        <f>AF45/$AG$102</f>
        <v>#DIV/0!</v>
      </c>
      <c r="AG50" s="134" t="e">
        <f>AG45/$AG$102</f>
        <v>#DIV/0!</v>
      </c>
      <c r="AH50" s="418"/>
      <c r="AI50" s="418"/>
      <c r="AJ50" s="418"/>
      <c r="AK50" s="418"/>
    </row>
    <row r="51" spans="1:37" ht="23.25">
      <c r="A51" s="411" t="s">
        <v>236</v>
      </c>
      <c r="B51" s="89" t="s">
        <v>225</v>
      </c>
      <c r="C51" s="147">
        <v>8022</v>
      </c>
      <c r="D51" s="147">
        <v>31653</v>
      </c>
      <c r="E51" s="147">
        <v>3788</v>
      </c>
      <c r="F51" s="147">
        <v>19468</v>
      </c>
      <c r="G51" s="147">
        <v>1506</v>
      </c>
      <c r="H51" s="147">
        <v>4166</v>
      </c>
      <c r="I51" s="147">
        <v>2325</v>
      </c>
      <c r="J51" s="147"/>
      <c r="K51" s="147"/>
      <c r="L51" s="147">
        <v>33</v>
      </c>
      <c r="M51" s="147">
        <v>835</v>
      </c>
      <c r="N51" s="147">
        <v>713</v>
      </c>
      <c r="O51" s="147">
        <v>151</v>
      </c>
      <c r="P51" s="85">
        <f>SUM(C51:O51)</f>
        <v>72660</v>
      </c>
      <c r="Q51" s="147">
        <v>1134</v>
      </c>
      <c r="R51" s="147">
        <v>2468</v>
      </c>
      <c r="S51" s="147">
        <v>1930</v>
      </c>
      <c r="T51" s="147">
        <v>2697</v>
      </c>
      <c r="U51" s="147">
        <v>2005</v>
      </c>
      <c r="V51" s="147">
        <v>729</v>
      </c>
      <c r="W51" s="147">
        <v>279</v>
      </c>
      <c r="X51" s="147">
        <v>718</v>
      </c>
      <c r="Y51" s="81">
        <v>200</v>
      </c>
      <c r="Z51" s="81">
        <v>130</v>
      </c>
      <c r="AA51" s="67"/>
      <c r="AB51" s="85">
        <f>SUM(Q51:AA51)</f>
        <v>12290</v>
      </c>
      <c r="AC51" s="86">
        <f>P51+AB51</f>
        <v>84950</v>
      </c>
      <c r="AD51" s="82">
        <v>13</v>
      </c>
      <c r="AE51" s="82">
        <v>4</v>
      </c>
      <c r="AF51" s="82">
        <v>4</v>
      </c>
      <c r="AG51" s="83">
        <f>SUM(AD51:AF51)</f>
        <v>21</v>
      </c>
      <c r="AH51" s="416">
        <v>2101</v>
      </c>
      <c r="AI51" s="416">
        <v>2279</v>
      </c>
      <c r="AJ51" s="416">
        <v>741</v>
      </c>
      <c r="AK51" s="416">
        <f>SUM(AH51:AJ56)</f>
        <v>5121</v>
      </c>
    </row>
    <row r="52" spans="1:37" ht="23.25">
      <c r="A52" s="412"/>
      <c r="B52" s="89" t="s">
        <v>226</v>
      </c>
      <c r="C52" s="147">
        <v>36.098999999999997</v>
      </c>
      <c r="D52" s="147">
        <v>142.43849999999998</v>
      </c>
      <c r="E52" s="147">
        <v>17.045999999999999</v>
      </c>
      <c r="F52" s="147">
        <v>87.605999999999995</v>
      </c>
      <c r="G52" s="147">
        <v>0</v>
      </c>
      <c r="H52" s="147">
        <v>0</v>
      </c>
      <c r="I52" s="147">
        <v>0</v>
      </c>
      <c r="J52" s="147"/>
      <c r="K52" s="147"/>
      <c r="L52" s="147">
        <v>0</v>
      </c>
      <c r="M52" s="147">
        <v>4.1749999999999998</v>
      </c>
      <c r="N52" s="147">
        <v>3.5649999999999999</v>
      </c>
      <c r="O52" s="147">
        <v>0</v>
      </c>
      <c r="P52" s="85">
        <f>SUM(C52:O52)</f>
        <v>290.92949999999996</v>
      </c>
      <c r="Q52" s="147">
        <v>32.340000000000003</v>
      </c>
      <c r="R52" s="147">
        <v>0</v>
      </c>
      <c r="S52" s="147">
        <v>0</v>
      </c>
      <c r="T52" s="147">
        <v>26.97</v>
      </c>
      <c r="U52" s="147">
        <v>0</v>
      </c>
      <c r="V52" s="147">
        <v>0</v>
      </c>
      <c r="W52" s="147">
        <v>0</v>
      </c>
      <c r="X52" s="147">
        <v>179.5</v>
      </c>
      <c r="Y52" s="147">
        <v>0</v>
      </c>
      <c r="Z52" s="81">
        <v>0</v>
      </c>
      <c r="AA52" s="67"/>
      <c r="AB52" s="85">
        <f>SUM(Q52:AA52)</f>
        <v>238.81</v>
      </c>
      <c r="AC52" s="86">
        <f>P52+AB52</f>
        <v>529.73949999999991</v>
      </c>
      <c r="AD52" s="82"/>
      <c r="AE52" s="82"/>
      <c r="AF52" s="82"/>
      <c r="AG52" s="83"/>
      <c r="AH52" s="417"/>
      <c r="AI52" s="417"/>
      <c r="AJ52" s="417"/>
      <c r="AK52" s="417"/>
    </row>
    <row r="53" spans="1:37" ht="22.5">
      <c r="A53" s="412"/>
      <c r="B53" s="133" t="s">
        <v>227</v>
      </c>
      <c r="C53" s="141">
        <v>9252</v>
      </c>
      <c r="D53" s="141">
        <v>37456</v>
      </c>
      <c r="E53" s="141">
        <v>4675</v>
      </c>
      <c r="F53" s="141">
        <v>21619</v>
      </c>
      <c r="G53" s="141">
        <v>1710</v>
      </c>
      <c r="H53" s="141">
        <v>6490</v>
      </c>
      <c r="I53" s="141">
        <v>2553</v>
      </c>
      <c r="J53" s="141"/>
      <c r="K53" s="141"/>
      <c r="L53" s="141">
        <v>102</v>
      </c>
      <c r="M53" s="141">
        <v>876</v>
      </c>
      <c r="N53" s="141">
        <v>1147</v>
      </c>
      <c r="O53" s="56">
        <v>151</v>
      </c>
      <c r="P53" s="85">
        <f>SUM(C53:O53)</f>
        <v>86031</v>
      </c>
      <c r="Q53" s="56">
        <v>1262</v>
      </c>
      <c r="R53" s="141">
        <v>2766</v>
      </c>
      <c r="S53" s="141">
        <v>2020</v>
      </c>
      <c r="T53" s="141">
        <v>3147</v>
      </c>
      <c r="U53" s="141">
        <v>4086</v>
      </c>
      <c r="V53" s="141">
        <v>851</v>
      </c>
      <c r="W53" s="141">
        <v>292</v>
      </c>
      <c r="X53" s="141">
        <v>990</v>
      </c>
      <c r="Y53" s="141">
        <v>204</v>
      </c>
      <c r="Z53" s="141">
        <v>164</v>
      </c>
      <c r="AA53" s="67"/>
      <c r="AB53" s="85">
        <f>SUM(Q53:AA53)</f>
        <v>15782</v>
      </c>
      <c r="AC53" s="86">
        <f>P53+AB53</f>
        <v>101813</v>
      </c>
      <c r="AD53" s="68"/>
      <c r="AE53" s="68"/>
      <c r="AF53" s="68"/>
      <c r="AG53" s="68"/>
      <c r="AH53" s="417"/>
      <c r="AI53" s="417"/>
      <c r="AJ53" s="417"/>
      <c r="AK53" s="417"/>
    </row>
    <row r="54" spans="1:37" ht="22.5">
      <c r="A54" s="412"/>
      <c r="B54" s="133" t="s">
        <v>228</v>
      </c>
      <c r="C54" s="400">
        <f>C51+D51+E51+F51+C52+D52+E52+F52</f>
        <v>63214.1895</v>
      </c>
      <c r="D54" s="414"/>
      <c r="E54" s="414"/>
      <c r="F54" s="415"/>
      <c r="G54" s="400">
        <f>G51+H51+I51+G52+H52+I52</f>
        <v>7997</v>
      </c>
      <c r="H54" s="414"/>
      <c r="I54" s="415"/>
      <c r="J54" s="268"/>
      <c r="K54" s="268"/>
      <c r="L54" s="400">
        <f>L51+M51+N51+L52+M52+N52</f>
        <v>1588.74</v>
      </c>
      <c r="M54" s="414"/>
      <c r="N54" s="415"/>
      <c r="O54" s="141"/>
      <c r="P54" s="85"/>
      <c r="Q54" s="400">
        <f>Q51+R51+S51+Q52+R52+S52</f>
        <v>5564.34</v>
      </c>
      <c r="R54" s="414"/>
      <c r="S54" s="415"/>
      <c r="T54" s="141"/>
      <c r="U54" s="141"/>
      <c r="V54" s="141"/>
      <c r="W54" s="141"/>
      <c r="X54" s="141"/>
      <c r="Y54" s="141"/>
      <c r="Z54" s="141"/>
      <c r="AA54" s="67"/>
      <c r="AB54" s="85"/>
      <c r="AC54" s="86"/>
      <c r="AD54" s="68"/>
      <c r="AE54" s="68"/>
      <c r="AF54" s="68"/>
      <c r="AG54" s="68"/>
      <c r="AH54" s="417"/>
      <c r="AI54" s="417"/>
      <c r="AJ54" s="417"/>
      <c r="AK54" s="417"/>
    </row>
    <row r="55" spans="1:37" ht="22.5">
      <c r="A55" s="412"/>
      <c r="B55" s="133" t="s">
        <v>229</v>
      </c>
      <c r="C55" s="400">
        <f>C53+D53+E53+F53</f>
        <v>73002</v>
      </c>
      <c r="D55" s="414"/>
      <c r="E55" s="414"/>
      <c r="F55" s="415"/>
      <c r="G55" s="400">
        <f>G53+H53+I53</f>
        <v>10753</v>
      </c>
      <c r="H55" s="414"/>
      <c r="I55" s="415"/>
      <c r="J55" s="268"/>
      <c r="K55" s="268"/>
      <c r="L55" s="400">
        <f>L53+M53+N53</f>
        <v>2125</v>
      </c>
      <c r="M55" s="414"/>
      <c r="N55" s="415"/>
      <c r="O55" s="141"/>
      <c r="P55" s="85"/>
      <c r="Q55" s="400">
        <f>Q53+R53+S53</f>
        <v>6048</v>
      </c>
      <c r="R55" s="414"/>
      <c r="S55" s="415"/>
      <c r="T55" s="141"/>
      <c r="U55" s="141"/>
      <c r="V55" s="141"/>
      <c r="W55" s="141"/>
      <c r="X55" s="141"/>
      <c r="Y55" s="141"/>
      <c r="Z55" s="141"/>
      <c r="AA55" s="67"/>
      <c r="AB55" s="85"/>
      <c r="AC55" s="86"/>
      <c r="AD55" s="68"/>
      <c r="AE55" s="68"/>
      <c r="AF55" s="68"/>
      <c r="AG55" s="68"/>
      <c r="AH55" s="417"/>
      <c r="AI55" s="417"/>
      <c r="AJ55" s="417"/>
      <c r="AK55" s="417"/>
    </row>
    <row r="56" spans="1:37" ht="22.5">
      <c r="A56" s="413"/>
      <c r="B56" s="93" t="s">
        <v>223</v>
      </c>
      <c r="C56" s="406">
        <f>C54/C55</f>
        <v>0.86592407742253641</v>
      </c>
      <c r="D56" s="409"/>
      <c r="E56" s="409"/>
      <c r="F56" s="410"/>
      <c r="G56" s="406">
        <f>G54/G55</f>
        <v>0.74369943271645123</v>
      </c>
      <c r="H56" s="409"/>
      <c r="I56" s="410"/>
      <c r="J56" s="267"/>
      <c r="K56" s="267"/>
      <c r="L56" s="406">
        <f>L54/L55</f>
        <v>0.74764235294117642</v>
      </c>
      <c r="M56" s="409"/>
      <c r="N56" s="410"/>
      <c r="O56" s="142">
        <f>(O51+O52)/O53</f>
        <v>1</v>
      </c>
      <c r="P56" s="87">
        <f>(P51+P52)/P53</f>
        <v>0.84796096174634727</v>
      </c>
      <c r="Q56" s="406">
        <f>Q54/Q55</f>
        <v>0.92002976190476193</v>
      </c>
      <c r="R56" s="409"/>
      <c r="S56" s="410"/>
      <c r="T56" s="142">
        <f t="shared" ref="T56:Z56" si="7">(T51+T52)/T53</f>
        <v>0.86557673975214489</v>
      </c>
      <c r="U56" s="142">
        <f t="shared" si="7"/>
        <v>0.49069995105237396</v>
      </c>
      <c r="V56" s="142">
        <f t="shared" si="7"/>
        <v>0.85663924794359581</v>
      </c>
      <c r="W56" s="142">
        <f t="shared" si="7"/>
        <v>0.95547945205479456</v>
      </c>
      <c r="X56" s="142">
        <f t="shared" si="7"/>
        <v>0.90656565656565657</v>
      </c>
      <c r="Y56" s="142">
        <f t="shared" si="7"/>
        <v>0.98039215686274506</v>
      </c>
      <c r="Z56" s="142">
        <f t="shared" si="7"/>
        <v>0.79268292682926833</v>
      </c>
      <c r="AA56" s="69"/>
      <c r="AB56" s="87">
        <f>(AB51+AB52)/AB53</f>
        <v>0.79386706374350524</v>
      </c>
      <c r="AC56" s="88">
        <f>(AC51+AC52)/AC53</f>
        <v>0.83957588421910756</v>
      </c>
      <c r="AD56" s="84" t="e">
        <f>AD51/$AG$102</f>
        <v>#DIV/0!</v>
      </c>
      <c r="AE56" s="84" t="e">
        <f>AE51/$AG$102</f>
        <v>#DIV/0!</v>
      </c>
      <c r="AF56" s="84" t="e">
        <f>AF51/$AG$102</f>
        <v>#DIV/0!</v>
      </c>
      <c r="AG56" s="134" t="e">
        <f>AG51/$AG$102</f>
        <v>#DIV/0!</v>
      </c>
      <c r="AH56" s="418"/>
      <c r="AI56" s="418"/>
      <c r="AJ56" s="418"/>
      <c r="AK56" s="418"/>
    </row>
    <row r="57" spans="1:37" ht="23.25">
      <c r="A57" s="411" t="s">
        <v>237</v>
      </c>
      <c r="B57" s="89" t="s">
        <v>225</v>
      </c>
      <c r="C57" s="147">
        <v>8059</v>
      </c>
      <c r="D57" s="147">
        <v>32013</v>
      </c>
      <c r="E57" s="147">
        <v>3811</v>
      </c>
      <c r="F57" s="147">
        <v>19076</v>
      </c>
      <c r="G57" s="147">
        <v>1552</v>
      </c>
      <c r="H57" s="147">
        <v>4469</v>
      </c>
      <c r="I57" s="147">
        <v>2257</v>
      </c>
      <c r="J57" s="147"/>
      <c r="K57" s="147"/>
      <c r="L57" s="147">
        <v>30</v>
      </c>
      <c r="M57" s="147">
        <v>839</v>
      </c>
      <c r="N57" s="147">
        <v>714</v>
      </c>
      <c r="O57" s="147">
        <v>151</v>
      </c>
      <c r="P57" s="85">
        <f>SUM(C57:O57)</f>
        <v>72971</v>
      </c>
      <c r="Q57" s="147">
        <v>1142</v>
      </c>
      <c r="R57" s="147">
        <v>2433</v>
      </c>
      <c r="S57" s="147">
        <v>1929</v>
      </c>
      <c r="T57" s="147">
        <v>2659</v>
      </c>
      <c r="U57" s="147">
        <v>1973</v>
      </c>
      <c r="V57" s="147">
        <v>738</v>
      </c>
      <c r="W57" s="147">
        <v>281</v>
      </c>
      <c r="X57" s="147">
        <v>726</v>
      </c>
      <c r="Y57" s="81">
        <v>202</v>
      </c>
      <c r="Z57" s="81">
        <v>132</v>
      </c>
      <c r="AA57" s="67"/>
      <c r="AB57" s="85">
        <f>SUM(Q57:AA57)</f>
        <v>12215</v>
      </c>
      <c r="AC57" s="86">
        <f>P57+AB57</f>
        <v>85186</v>
      </c>
      <c r="AD57" s="82">
        <v>12</v>
      </c>
      <c r="AE57" s="82">
        <v>5</v>
      </c>
      <c r="AF57" s="82">
        <v>4</v>
      </c>
      <c r="AG57" s="83">
        <f>SUM(AD57:AF57)</f>
        <v>21</v>
      </c>
      <c r="AH57" s="416">
        <v>1940</v>
      </c>
      <c r="AI57" s="416">
        <v>2409</v>
      </c>
      <c r="AJ57" s="416">
        <v>737</v>
      </c>
      <c r="AK57" s="416">
        <f>SUM(AH57:AJ62)</f>
        <v>5086</v>
      </c>
    </row>
    <row r="58" spans="1:37" ht="23.25">
      <c r="A58" s="412"/>
      <c r="B58" s="89" t="s">
        <v>226</v>
      </c>
      <c r="C58" s="147">
        <v>36.265499999999996</v>
      </c>
      <c r="D58" s="147">
        <v>144.05849999999998</v>
      </c>
      <c r="E58" s="147">
        <v>17.1495</v>
      </c>
      <c r="F58" s="147">
        <v>85.841999999999999</v>
      </c>
      <c r="G58" s="147">
        <v>0</v>
      </c>
      <c r="H58" s="147">
        <v>0</v>
      </c>
      <c r="I58" s="147">
        <v>0</v>
      </c>
      <c r="J58" s="147"/>
      <c r="K58" s="147"/>
      <c r="L58" s="147">
        <v>0</v>
      </c>
      <c r="M58" s="147">
        <v>4.1950000000000003</v>
      </c>
      <c r="N58" s="147">
        <v>3.5700000000000003</v>
      </c>
      <c r="O58" s="147">
        <v>0</v>
      </c>
      <c r="P58" s="85">
        <f>SUM(C58:O58)</f>
        <v>291.08049999999997</v>
      </c>
      <c r="Q58" s="147">
        <v>32.42</v>
      </c>
      <c r="R58" s="147">
        <v>0</v>
      </c>
      <c r="S58" s="147">
        <v>0</v>
      </c>
      <c r="T58" s="147">
        <v>26.59</v>
      </c>
      <c r="U58" s="147">
        <v>0</v>
      </c>
      <c r="V58" s="147">
        <v>0</v>
      </c>
      <c r="W58" s="147">
        <v>0</v>
      </c>
      <c r="X58" s="147">
        <v>181.5</v>
      </c>
      <c r="Y58" s="147">
        <v>0</v>
      </c>
      <c r="Z58" s="81">
        <v>0</v>
      </c>
      <c r="AA58" s="67"/>
      <c r="AB58" s="85">
        <f>SUM(Q58:AA58)</f>
        <v>240.51</v>
      </c>
      <c r="AC58" s="86">
        <f>P58+AB58</f>
        <v>531.59050000000002</v>
      </c>
      <c r="AD58" s="82"/>
      <c r="AE58" s="82"/>
      <c r="AF58" s="82"/>
      <c r="AG58" s="83"/>
      <c r="AH58" s="417"/>
      <c r="AI58" s="417"/>
      <c r="AJ58" s="417"/>
      <c r="AK58" s="417"/>
    </row>
    <row r="59" spans="1:37" ht="22.5">
      <c r="A59" s="412"/>
      <c r="B59" s="133" t="s">
        <v>227</v>
      </c>
      <c r="C59" s="141">
        <v>9252</v>
      </c>
      <c r="D59" s="141">
        <v>37456</v>
      </c>
      <c r="E59" s="141">
        <v>4675</v>
      </c>
      <c r="F59" s="141">
        <v>21619</v>
      </c>
      <c r="G59" s="141">
        <v>1710</v>
      </c>
      <c r="H59" s="141">
        <v>6490</v>
      </c>
      <c r="I59" s="141">
        <v>2553</v>
      </c>
      <c r="J59" s="141"/>
      <c r="K59" s="141"/>
      <c r="L59" s="141">
        <v>102</v>
      </c>
      <c r="M59" s="141">
        <v>876</v>
      </c>
      <c r="N59" s="141">
        <v>1147</v>
      </c>
      <c r="O59" s="141">
        <v>151</v>
      </c>
      <c r="P59" s="85">
        <f>SUM(C59:O59)</f>
        <v>86031</v>
      </c>
      <c r="Q59" s="141">
        <v>1262</v>
      </c>
      <c r="R59" s="141">
        <v>2766</v>
      </c>
      <c r="S59" s="141">
        <v>2020</v>
      </c>
      <c r="T59" s="56">
        <v>3192</v>
      </c>
      <c r="U59" s="141">
        <v>4086</v>
      </c>
      <c r="V59" s="56">
        <v>859</v>
      </c>
      <c r="W59" s="141">
        <v>292</v>
      </c>
      <c r="X59" s="141">
        <v>990</v>
      </c>
      <c r="Y59" s="141">
        <v>204</v>
      </c>
      <c r="Z59" s="141">
        <v>164</v>
      </c>
      <c r="AA59" s="67"/>
      <c r="AB59" s="85">
        <f>SUM(Q59:AA59)</f>
        <v>15835</v>
      </c>
      <c r="AC59" s="86">
        <f>P59+AB59</f>
        <v>101866</v>
      </c>
      <c r="AD59" s="68"/>
      <c r="AE59" s="68"/>
      <c r="AF59" s="68"/>
      <c r="AG59" s="68"/>
      <c r="AH59" s="417"/>
      <c r="AI59" s="417"/>
      <c r="AJ59" s="417"/>
      <c r="AK59" s="417"/>
    </row>
    <row r="60" spans="1:37" ht="22.5">
      <c r="A60" s="412"/>
      <c r="B60" s="133" t="s">
        <v>228</v>
      </c>
      <c r="C60" s="400">
        <f>C57+D57+E57+F57+C58+D58+E58+F58</f>
        <v>63242.315499999997</v>
      </c>
      <c r="D60" s="414"/>
      <c r="E60" s="414"/>
      <c r="F60" s="415"/>
      <c r="G60" s="400">
        <f>G57+H57+I57+G58+H58+I58</f>
        <v>8278</v>
      </c>
      <c r="H60" s="414"/>
      <c r="I60" s="415"/>
      <c r="J60" s="268"/>
      <c r="K60" s="268"/>
      <c r="L60" s="400">
        <f>L57+M57+N57+L58+M58+N58</f>
        <v>1590.7649999999999</v>
      </c>
      <c r="M60" s="414"/>
      <c r="N60" s="415"/>
      <c r="O60" s="141"/>
      <c r="P60" s="85"/>
      <c r="Q60" s="400">
        <f>Q57+R57+S57+Q58+R58+S58</f>
        <v>5536.42</v>
      </c>
      <c r="R60" s="414"/>
      <c r="S60" s="415"/>
      <c r="T60" s="141"/>
      <c r="U60" s="141"/>
      <c r="V60" s="141"/>
      <c r="W60" s="141"/>
      <c r="X60" s="141"/>
      <c r="Y60" s="141"/>
      <c r="Z60" s="141"/>
      <c r="AA60" s="67"/>
      <c r="AB60" s="85"/>
      <c r="AC60" s="86"/>
      <c r="AD60" s="68"/>
      <c r="AE60" s="68"/>
      <c r="AF60" s="68"/>
      <c r="AG60" s="68"/>
      <c r="AH60" s="417"/>
      <c r="AI60" s="417"/>
      <c r="AJ60" s="417"/>
      <c r="AK60" s="417"/>
    </row>
    <row r="61" spans="1:37" ht="22.5">
      <c r="A61" s="412"/>
      <c r="B61" s="133" t="s">
        <v>229</v>
      </c>
      <c r="C61" s="400">
        <f>C59+D59+E59+F59</f>
        <v>73002</v>
      </c>
      <c r="D61" s="414"/>
      <c r="E61" s="414"/>
      <c r="F61" s="415"/>
      <c r="G61" s="400">
        <f>G59+H59+I59</f>
        <v>10753</v>
      </c>
      <c r="H61" s="414"/>
      <c r="I61" s="415"/>
      <c r="J61" s="268"/>
      <c r="K61" s="268"/>
      <c r="L61" s="400">
        <f>L59+M59+N59</f>
        <v>2125</v>
      </c>
      <c r="M61" s="414"/>
      <c r="N61" s="415"/>
      <c r="O61" s="141"/>
      <c r="P61" s="85"/>
      <c r="Q61" s="400">
        <f>Q59+R59+S59</f>
        <v>6048</v>
      </c>
      <c r="R61" s="414"/>
      <c r="S61" s="415"/>
      <c r="T61" s="141"/>
      <c r="U61" s="141"/>
      <c r="V61" s="141"/>
      <c r="W61" s="141"/>
      <c r="X61" s="141"/>
      <c r="Y61" s="141"/>
      <c r="Z61" s="141"/>
      <c r="AA61" s="67"/>
      <c r="AB61" s="85"/>
      <c r="AC61" s="86"/>
      <c r="AD61" s="68"/>
      <c r="AE61" s="68"/>
      <c r="AF61" s="68"/>
      <c r="AG61" s="68"/>
      <c r="AH61" s="417"/>
      <c r="AI61" s="417"/>
      <c r="AJ61" s="417"/>
      <c r="AK61" s="417"/>
    </row>
    <row r="62" spans="1:37" ht="22.5">
      <c r="A62" s="413"/>
      <c r="B62" s="93" t="s">
        <v>223</v>
      </c>
      <c r="C62" s="406">
        <f>C60/C61</f>
        <v>0.86630935453823177</v>
      </c>
      <c r="D62" s="409"/>
      <c r="E62" s="409"/>
      <c r="F62" s="410"/>
      <c r="G62" s="406">
        <f>G60/G61</f>
        <v>0.76983167488142845</v>
      </c>
      <c r="H62" s="409"/>
      <c r="I62" s="410"/>
      <c r="J62" s="267"/>
      <c r="K62" s="267"/>
      <c r="L62" s="406">
        <f>L60/L61</f>
        <v>0.74859529411764703</v>
      </c>
      <c r="M62" s="409"/>
      <c r="N62" s="410"/>
      <c r="O62" s="142">
        <f>(O57+O58)/O59</f>
        <v>1</v>
      </c>
      <c r="P62" s="87">
        <f>(P57+P58)/P59</f>
        <v>0.85157769292464336</v>
      </c>
      <c r="Q62" s="406">
        <f>Q60/Q61</f>
        <v>0.9154133597883598</v>
      </c>
      <c r="R62" s="409"/>
      <c r="S62" s="410"/>
      <c r="T62" s="142">
        <f t="shared" ref="T62:Z62" si="8">(T57+T58)/T59</f>
        <v>0.84135025062656643</v>
      </c>
      <c r="U62" s="142">
        <f t="shared" si="8"/>
        <v>0.48286833088595205</v>
      </c>
      <c r="V62" s="142">
        <f t="shared" si="8"/>
        <v>0.85913853317811406</v>
      </c>
      <c r="W62" s="142">
        <f t="shared" si="8"/>
        <v>0.96232876712328763</v>
      </c>
      <c r="X62" s="142">
        <f t="shared" si="8"/>
        <v>0.91666666666666663</v>
      </c>
      <c r="Y62" s="142">
        <f t="shared" si="8"/>
        <v>0.99019607843137258</v>
      </c>
      <c r="Z62" s="142">
        <f t="shared" si="8"/>
        <v>0.80487804878048785</v>
      </c>
      <c r="AA62" s="69"/>
      <c r="AB62" s="87">
        <f>(AB57+AB58)/AB59</f>
        <v>0.7865809914745816</v>
      </c>
      <c r="AC62" s="88">
        <f>(AC57+AC58)/AC59</f>
        <v>0.84147400015706919</v>
      </c>
      <c r="AD62" s="84" t="e">
        <f>AD57/$AG$102</f>
        <v>#DIV/0!</v>
      </c>
      <c r="AE62" s="84" t="e">
        <f>AE57/$AG$102</f>
        <v>#DIV/0!</v>
      </c>
      <c r="AF62" s="84" t="e">
        <f>AF57/$AG$102</f>
        <v>#DIV/0!</v>
      </c>
      <c r="AG62" s="134" t="e">
        <f>AG57/$AG$102</f>
        <v>#DIV/0!</v>
      </c>
      <c r="AH62" s="418"/>
      <c r="AI62" s="418"/>
      <c r="AJ62" s="418"/>
      <c r="AK62" s="418"/>
    </row>
    <row r="63" spans="1:37" ht="23.25">
      <c r="A63" s="411" t="s">
        <v>238</v>
      </c>
      <c r="B63" s="89" t="s">
        <v>225</v>
      </c>
      <c r="C63" s="147">
        <v>8074</v>
      </c>
      <c r="D63" s="147">
        <v>32146</v>
      </c>
      <c r="E63" s="147">
        <v>3809</v>
      </c>
      <c r="F63" s="147">
        <v>18439</v>
      </c>
      <c r="G63" s="147">
        <v>1561</v>
      </c>
      <c r="H63" s="147">
        <v>5107</v>
      </c>
      <c r="I63" s="147">
        <v>2197</v>
      </c>
      <c r="J63" s="147"/>
      <c r="K63" s="147"/>
      <c r="L63" s="147">
        <v>42</v>
      </c>
      <c r="M63" s="147">
        <v>834</v>
      </c>
      <c r="N63" s="147">
        <v>713</v>
      </c>
      <c r="O63" s="147">
        <v>151</v>
      </c>
      <c r="P63" s="85">
        <f>SUM(C63:O63)</f>
        <v>73073</v>
      </c>
      <c r="Q63" s="147">
        <v>1162</v>
      </c>
      <c r="R63" s="147">
        <v>2380</v>
      </c>
      <c r="S63" s="147">
        <v>1939</v>
      </c>
      <c r="T63" s="147">
        <v>2685</v>
      </c>
      <c r="U63" s="147">
        <v>2103</v>
      </c>
      <c r="V63" s="147">
        <v>748</v>
      </c>
      <c r="W63" s="147">
        <v>284</v>
      </c>
      <c r="X63" s="147">
        <v>729</v>
      </c>
      <c r="Y63" s="81">
        <v>174</v>
      </c>
      <c r="Z63" s="81">
        <v>132</v>
      </c>
      <c r="AA63" s="67"/>
      <c r="AB63" s="85">
        <f>SUM(Q63:AA63)</f>
        <v>12336</v>
      </c>
      <c r="AC63" s="86">
        <f>P63+AB63</f>
        <v>85409</v>
      </c>
      <c r="AD63" s="82">
        <v>12</v>
      </c>
      <c r="AE63" s="82">
        <v>6</v>
      </c>
      <c r="AF63" s="82">
        <v>3</v>
      </c>
      <c r="AG63" s="83">
        <f>SUM(AD63:AF63)</f>
        <v>21</v>
      </c>
      <c r="AH63" s="416">
        <v>1836</v>
      </c>
      <c r="AI63" s="416">
        <v>2850</v>
      </c>
      <c r="AJ63" s="416">
        <v>1236</v>
      </c>
      <c r="AK63" s="416">
        <f>SUM(AH63:AJ68)</f>
        <v>5922</v>
      </c>
    </row>
    <row r="64" spans="1:37" ht="23.25">
      <c r="A64" s="412"/>
      <c r="B64" s="89" t="s">
        <v>226</v>
      </c>
      <c r="C64" s="147">
        <v>36.332999999999998</v>
      </c>
      <c r="D64" s="147">
        <v>144.65699999999998</v>
      </c>
      <c r="E64" s="147">
        <v>17.140499999999999</v>
      </c>
      <c r="F64" s="147">
        <v>82.975499999999997</v>
      </c>
      <c r="G64" s="147">
        <v>0</v>
      </c>
      <c r="H64" s="147">
        <v>0</v>
      </c>
      <c r="I64" s="147">
        <v>0</v>
      </c>
      <c r="J64" s="147"/>
      <c r="K64" s="147"/>
      <c r="L64" s="147">
        <v>0</v>
      </c>
      <c r="M64" s="147">
        <v>4.17</v>
      </c>
      <c r="N64" s="147">
        <v>3.5649999999999999</v>
      </c>
      <c r="O64" s="147">
        <v>0</v>
      </c>
      <c r="P64" s="85">
        <f>SUM(C64:O64)</f>
        <v>288.84100000000001</v>
      </c>
      <c r="Q64" s="147">
        <v>32.620000000000005</v>
      </c>
      <c r="R64" s="147">
        <v>0</v>
      </c>
      <c r="S64" s="147">
        <v>0</v>
      </c>
      <c r="T64" s="147">
        <v>26.85</v>
      </c>
      <c r="U64" s="147">
        <v>0</v>
      </c>
      <c r="V64" s="147">
        <v>0</v>
      </c>
      <c r="W64" s="147">
        <v>0</v>
      </c>
      <c r="X64" s="147">
        <v>182.25</v>
      </c>
      <c r="Y64" s="147">
        <v>0</v>
      </c>
      <c r="Z64" s="81">
        <v>0</v>
      </c>
      <c r="AA64" s="67"/>
      <c r="AB64" s="85">
        <f>SUM(Q64:AA64)</f>
        <v>241.72</v>
      </c>
      <c r="AC64" s="86">
        <f>P64+AB64</f>
        <v>530.56100000000004</v>
      </c>
      <c r="AD64" s="82"/>
      <c r="AE64" s="82"/>
      <c r="AF64" s="82"/>
      <c r="AG64" s="83"/>
      <c r="AH64" s="417"/>
      <c r="AI64" s="417"/>
      <c r="AJ64" s="417"/>
      <c r="AK64" s="417"/>
    </row>
    <row r="65" spans="1:37" ht="22.5">
      <c r="A65" s="412"/>
      <c r="B65" s="133" t="s">
        <v>227</v>
      </c>
      <c r="C65" s="141">
        <v>9252</v>
      </c>
      <c r="D65" s="141">
        <v>37456</v>
      </c>
      <c r="E65" s="141">
        <v>4675</v>
      </c>
      <c r="F65" s="141">
        <v>21619</v>
      </c>
      <c r="G65" s="141">
        <v>1710</v>
      </c>
      <c r="H65" s="141">
        <v>6490</v>
      </c>
      <c r="I65" s="141">
        <v>2553</v>
      </c>
      <c r="J65" s="141"/>
      <c r="K65" s="141"/>
      <c r="L65" s="141">
        <v>102</v>
      </c>
      <c r="M65" s="141">
        <v>876</v>
      </c>
      <c r="N65" s="141">
        <v>1147</v>
      </c>
      <c r="O65" s="141">
        <v>151</v>
      </c>
      <c r="P65" s="85">
        <f>SUM(C65:O65)</f>
        <v>86031</v>
      </c>
      <c r="Q65" s="141">
        <v>1262</v>
      </c>
      <c r="R65" s="141">
        <v>2766</v>
      </c>
      <c r="S65" s="141">
        <v>2020</v>
      </c>
      <c r="T65" s="56">
        <v>3192</v>
      </c>
      <c r="U65" s="141">
        <v>4086</v>
      </c>
      <c r="V65" s="56">
        <v>859</v>
      </c>
      <c r="W65" s="141">
        <v>292</v>
      </c>
      <c r="X65" s="141">
        <v>990</v>
      </c>
      <c r="Y65" s="141">
        <v>204</v>
      </c>
      <c r="Z65" s="141">
        <v>164</v>
      </c>
      <c r="AA65" s="67"/>
      <c r="AB65" s="85">
        <f>SUM(Q65:AA65)</f>
        <v>15835</v>
      </c>
      <c r="AC65" s="86">
        <f>P65+AB65</f>
        <v>101866</v>
      </c>
      <c r="AD65" s="68"/>
      <c r="AE65" s="68"/>
      <c r="AF65" s="68"/>
      <c r="AG65" s="68"/>
      <c r="AH65" s="417"/>
      <c r="AI65" s="417"/>
      <c r="AJ65" s="417"/>
      <c r="AK65" s="417"/>
    </row>
    <row r="66" spans="1:37" ht="22.5">
      <c r="A66" s="412"/>
      <c r="B66" s="133" t="s">
        <v>228</v>
      </c>
      <c r="C66" s="400">
        <f>C63+D63+E63+F63+C64+D64+E64+F64</f>
        <v>62749.106</v>
      </c>
      <c r="D66" s="414"/>
      <c r="E66" s="414"/>
      <c r="F66" s="415"/>
      <c r="G66" s="400">
        <f>G63+H63+I63+G64+H64+I64</f>
        <v>8865</v>
      </c>
      <c r="H66" s="414"/>
      <c r="I66" s="415"/>
      <c r="J66" s="268"/>
      <c r="K66" s="268"/>
      <c r="L66" s="400">
        <f>L63+M63+N63+L64+M64+N64</f>
        <v>1596.7350000000001</v>
      </c>
      <c r="M66" s="414"/>
      <c r="N66" s="415"/>
      <c r="O66" s="141"/>
      <c r="P66" s="85"/>
      <c r="Q66" s="400">
        <f>Q63+R63+S63+Q64+R64+S64</f>
        <v>5513.62</v>
      </c>
      <c r="R66" s="414"/>
      <c r="S66" s="415"/>
      <c r="T66" s="141"/>
      <c r="U66" s="141"/>
      <c r="V66" s="141"/>
      <c r="W66" s="141"/>
      <c r="X66" s="141"/>
      <c r="Y66" s="141"/>
      <c r="Z66" s="141"/>
      <c r="AA66" s="67"/>
      <c r="AB66" s="85"/>
      <c r="AC66" s="86"/>
      <c r="AD66" s="68"/>
      <c r="AE66" s="68"/>
      <c r="AF66" s="68"/>
      <c r="AG66" s="68"/>
      <c r="AH66" s="417"/>
      <c r="AI66" s="417"/>
      <c r="AJ66" s="417"/>
      <c r="AK66" s="417"/>
    </row>
    <row r="67" spans="1:37" ht="22.5">
      <c r="A67" s="412"/>
      <c r="B67" s="133" t="s">
        <v>229</v>
      </c>
      <c r="C67" s="400">
        <f>C65+D65+E65+F65</f>
        <v>73002</v>
      </c>
      <c r="D67" s="414"/>
      <c r="E67" s="414"/>
      <c r="F67" s="415"/>
      <c r="G67" s="400">
        <f>G65+H65+I65</f>
        <v>10753</v>
      </c>
      <c r="H67" s="414"/>
      <c r="I67" s="415"/>
      <c r="J67" s="268"/>
      <c r="K67" s="268"/>
      <c r="L67" s="400">
        <f>L65+M65+N65</f>
        <v>2125</v>
      </c>
      <c r="M67" s="414"/>
      <c r="N67" s="415"/>
      <c r="O67" s="141"/>
      <c r="P67" s="85"/>
      <c r="Q67" s="400">
        <f>Q65+R65+S65</f>
        <v>6048</v>
      </c>
      <c r="R67" s="414"/>
      <c r="S67" s="415"/>
      <c r="T67" s="141"/>
      <c r="U67" s="141"/>
      <c r="V67" s="141"/>
      <c r="W67" s="141"/>
      <c r="X67" s="141"/>
      <c r="Y67" s="141"/>
      <c r="Z67" s="141"/>
      <c r="AA67" s="67"/>
      <c r="AB67" s="85"/>
      <c r="AC67" s="86"/>
      <c r="AD67" s="68"/>
      <c r="AE67" s="68"/>
      <c r="AF67" s="68"/>
      <c r="AG67" s="68"/>
      <c r="AH67" s="417"/>
      <c r="AI67" s="417"/>
      <c r="AJ67" s="417"/>
      <c r="AK67" s="417"/>
    </row>
    <row r="68" spans="1:37" ht="22.5">
      <c r="A68" s="413"/>
      <c r="B68" s="93" t="s">
        <v>223</v>
      </c>
      <c r="C68" s="406">
        <f>C66/C67</f>
        <v>0.85955324511657216</v>
      </c>
      <c r="D68" s="409"/>
      <c r="E68" s="409"/>
      <c r="F68" s="410"/>
      <c r="G68" s="406">
        <f>G66/G67</f>
        <v>0.82442109178833811</v>
      </c>
      <c r="H68" s="409"/>
      <c r="I68" s="410"/>
      <c r="J68" s="267"/>
      <c r="K68" s="267"/>
      <c r="L68" s="406">
        <f>L66/L67</f>
        <v>0.75140470588235297</v>
      </c>
      <c r="M68" s="409"/>
      <c r="N68" s="410"/>
      <c r="O68" s="142">
        <f>(O63+O64)/O65</f>
        <v>1</v>
      </c>
      <c r="P68" s="87">
        <f>(P63+P64)/P65</f>
        <v>0.85273728074763744</v>
      </c>
      <c r="Q68" s="406">
        <f>Q66/Q67</f>
        <v>0.91164351851851855</v>
      </c>
      <c r="R68" s="409"/>
      <c r="S68" s="410"/>
      <c r="T68" s="142">
        <f t="shared" ref="T68:Z68" si="9">(T63+T64)/T65</f>
        <v>0.84957706766917296</v>
      </c>
      <c r="U68" s="142">
        <f t="shared" si="9"/>
        <v>0.51468428781204112</v>
      </c>
      <c r="V68" s="142">
        <f t="shared" si="9"/>
        <v>0.87077997671711294</v>
      </c>
      <c r="W68" s="142">
        <f t="shared" si="9"/>
        <v>0.9726027397260274</v>
      </c>
      <c r="X68" s="142">
        <f t="shared" si="9"/>
        <v>0.92045454545454541</v>
      </c>
      <c r="Y68" s="142">
        <f t="shared" si="9"/>
        <v>0.8529411764705882</v>
      </c>
      <c r="Z68" s="142">
        <f t="shared" si="9"/>
        <v>0.80487804878048785</v>
      </c>
      <c r="AA68" s="69"/>
      <c r="AB68" s="87">
        <f>(AB63+AB64)/AB65</f>
        <v>0.79429870539943159</v>
      </c>
      <c r="AC68" s="88">
        <f>(AC63+AC64)/AC65</f>
        <v>0.84365304419531539</v>
      </c>
      <c r="AD68" s="84" t="e">
        <f>AD63/$AG$102</f>
        <v>#DIV/0!</v>
      </c>
      <c r="AE68" s="84" t="e">
        <f>AE63/$AG$102</f>
        <v>#DIV/0!</v>
      </c>
      <c r="AF68" s="84" t="e">
        <f>AF63/$AG$102</f>
        <v>#DIV/0!</v>
      </c>
      <c r="AG68" s="134" t="e">
        <f>AG63/$AG$102</f>
        <v>#DIV/0!</v>
      </c>
      <c r="AH68" s="418"/>
      <c r="AI68" s="418"/>
      <c r="AJ68" s="418"/>
      <c r="AK68" s="418"/>
    </row>
    <row r="69" spans="1:37" ht="23.25">
      <c r="A69" s="411" t="s">
        <v>239</v>
      </c>
      <c r="B69" s="89" t="s">
        <v>225</v>
      </c>
      <c r="C69" s="147">
        <v>8158</v>
      </c>
      <c r="D69" s="147">
        <v>32420</v>
      </c>
      <c r="E69" s="147">
        <v>3771</v>
      </c>
      <c r="F69" s="147">
        <v>18417</v>
      </c>
      <c r="G69" s="147">
        <v>1551</v>
      </c>
      <c r="H69" s="147">
        <v>5163</v>
      </c>
      <c r="I69" s="147">
        <v>2273</v>
      </c>
      <c r="J69" s="147"/>
      <c r="K69" s="147"/>
      <c r="L69" s="147">
        <v>57</v>
      </c>
      <c r="M69" s="147">
        <v>836</v>
      </c>
      <c r="N69" s="147">
        <v>694</v>
      </c>
      <c r="O69" s="147">
        <v>151</v>
      </c>
      <c r="P69" s="85">
        <f>SUM(C69:O69)</f>
        <v>73491</v>
      </c>
      <c r="Q69" s="147">
        <v>1152</v>
      </c>
      <c r="R69" s="147">
        <v>2248</v>
      </c>
      <c r="S69" s="147">
        <v>1932</v>
      </c>
      <c r="T69" s="147">
        <v>2629</v>
      </c>
      <c r="U69" s="147">
        <v>2480</v>
      </c>
      <c r="V69" s="147">
        <v>755</v>
      </c>
      <c r="W69" s="147">
        <v>286</v>
      </c>
      <c r="X69" s="147">
        <v>738</v>
      </c>
      <c r="Y69" s="81">
        <v>175</v>
      </c>
      <c r="Z69" s="81">
        <v>133</v>
      </c>
      <c r="AA69" s="67"/>
      <c r="AB69" s="85">
        <f>SUM(Q69:AA69)</f>
        <v>12528</v>
      </c>
      <c r="AC69" s="86">
        <f>P69+AB69</f>
        <v>86019</v>
      </c>
      <c r="AD69" s="82">
        <v>11</v>
      </c>
      <c r="AE69" s="82">
        <v>7</v>
      </c>
      <c r="AF69" s="82">
        <v>3</v>
      </c>
      <c r="AG69" s="83">
        <f>SUM(AD69:AF69)</f>
        <v>21</v>
      </c>
      <c r="AH69" s="416">
        <v>1984</v>
      </c>
      <c r="AI69" s="416">
        <v>2680</v>
      </c>
      <c r="AJ69" s="416">
        <v>1317</v>
      </c>
      <c r="AK69" s="416">
        <f>SUM(AH69:AJ74)</f>
        <v>5981</v>
      </c>
    </row>
    <row r="70" spans="1:37" ht="23.25">
      <c r="A70" s="412"/>
      <c r="B70" s="89" t="s">
        <v>226</v>
      </c>
      <c r="C70" s="147">
        <v>36.710999999999999</v>
      </c>
      <c r="D70" s="147">
        <v>145.88999999999999</v>
      </c>
      <c r="E70" s="147">
        <v>16.9695</v>
      </c>
      <c r="F70" s="147">
        <v>82.876499999999993</v>
      </c>
      <c r="G70" s="147">
        <v>0</v>
      </c>
      <c r="H70" s="147">
        <v>0</v>
      </c>
      <c r="I70" s="147">
        <v>0</v>
      </c>
      <c r="J70" s="147"/>
      <c r="K70" s="147"/>
      <c r="L70" s="147">
        <v>0</v>
      </c>
      <c r="M70" s="147">
        <v>4.18</v>
      </c>
      <c r="N70" s="147">
        <v>3.47</v>
      </c>
      <c r="O70" s="147">
        <v>0</v>
      </c>
      <c r="P70" s="85">
        <f>SUM(C70:O70)</f>
        <v>290.09700000000004</v>
      </c>
      <c r="Q70" s="147">
        <v>32.519999999999996</v>
      </c>
      <c r="R70" s="147">
        <v>0</v>
      </c>
      <c r="S70" s="147">
        <v>0</v>
      </c>
      <c r="T70" s="147">
        <v>26.29</v>
      </c>
      <c r="U70" s="147">
        <v>0</v>
      </c>
      <c r="V70" s="147">
        <v>0</v>
      </c>
      <c r="W70" s="147">
        <v>0</v>
      </c>
      <c r="X70" s="147">
        <v>184.5</v>
      </c>
      <c r="Y70" s="147">
        <v>0</v>
      </c>
      <c r="Z70" s="81">
        <v>0</v>
      </c>
      <c r="AA70" s="67"/>
      <c r="AB70" s="85">
        <f>SUM(Q70:AA70)</f>
        <v>243.31</v>
      </c>
      <c r="AC70" s="86">
        <f>P70+AB70</f>
        <v>533.40700000000004</v>
      </c>
      <c r="AD70" s="82"/>
      <c r="AE70" s="82"/>
      <c r="AF70" s="82"/>
      <c r="AG70" s="83"/>
      <c r="AH70" s="417"/>
      <c r="AI70" s="417"/>
      <c r="AJ70" s="417"/>
      <c r="AK70" s="417"/>
    </row>
    <row r="71" spans="1:37" ht="22.5">
      <c r="A71" s="412"/>
      <c r="B71" s="133" t="s">
        <v>227</v>
      </c>
      <c r="C71" s="141">
        <v>9252</v>
      </c>
      <c r="D71" s="141">
        <v>37456</v>
      </c>
      <c r="E71" s="141">
        <v>4675</v>
      </c>
      <c r="F71" s="141">
        <v>21619</v>
      </c>
      <c r="G71" s="141">
        <v>1710</v>
      </c>
      <c r="H71" s="141">
        <v>6490</v>
      </c>
      <c r="I71" s="141">
        <v>2553</v>
      </c>
      <c r="J71" s="141"/>
      <c r="K71" s="141"/>
      <c r="L71" s="141">
        <v>102</v>
      </c>
      <c r="M71" s="141">
        <v>876</v>
      </c>
      <c r="N71" s="141">
        <v>1147</v>
      </c>
      <c r="O71" s="141">
        <v>151</v>
      </c>
      <c r="P71" s="85">
        <f>SUM(C71:O71)</f>
        <v>86031</v>
      </c>
      <c r="Q71" s="141">
        <v>1262</v>
      </c>
      <c r="R71" s="141">
        <v>2766</v>
      </c>
      <c r="S71" s="141">
        <v>2020</v>
      </c>
      <c r="T71" s="56">
        <v>3192</v>
      </c>
      <c r="U71" s="141">
        <v>4086</v>
      </c>
      <c r="V71" s="56">
        <v>859</v>
      </c>
      <c r="W71" s="141">
        <v>292</v>
      </c>
      <c r="X71" s="141">
        <v>990</v>
      </c>
      <c r="Y71" s="141">
        <v>204</v>
      </c>
      <c r="Z71" s="141">
        <v>164</v>
      </c>
      <c r="AA71" s="67"/>
      <c r="AB71" s="85">
        <f>SUM(Q71:AA71)</f>
        <v>15835</v>
      </c>
      <c r="AC71" s="86">
        <f>P71+AB71</f>
        <v>101866</v>
      </c>
      <c r="AD71" s="68"/>
      <c r="AE71" s="68"/>
      <c r="AF71" s="68"/>
      <c r="AG71" s="68"/>
      <c r="AH71" s="417"/>
      <c r="AI71" s="417"/>
      <c r="AJ71" s="417"/>
      <c r="AK71" s="417"/>
    </row>
    <row r="72" spans="1:37" ht="22.5">
      <c r="A72" s="412"/>
      <c r="B72" s="133" t="s">
        <v>228</v>
      </c>
      <c r="C72" s="400">
        <f>C69+D69+E69+F69+C70+D70+E70+F70</f>
        <v>63048.447</v>
      </c>
      <c r="D72" s="414"/>
      <c r="E72" s="414"/>
      <c r="F72" s="415"/>
      <c r="G72" s="400">
        <f>G69+H69+I69+G70+H70+I70</f>
        <v>8987</v>
      </c>
      <c r="H72" s="414"/>
      <c r="I72" s="415"/>
      <c r="J72" s="268"/>
      <c r="K72" s="268"/>
      <c r="L72" s="400">
        <f>L69+M69+N69+L70+M70+N70</f>
        <v>1594.65</v>
      </c>
      <c r="M72" s="414"/>
      <c r="N72" s="415"/>
      <c r="O72" s="141"/>
      <c r="P72" s="85"/>
      <c r="Q72" s="400">
        <f>Q69+R69+S69+Q70+R70+S70</f>
        <v>5364.52</v>
      </c>
      <c r="R72" s="414"/>
      <c r="S72" s="415"/>
      <c r="T72" s="141"/>
      <c r="U72" s="141"/>
      <c r="V72" s="141"/>
      <c r="W72" s="141"/>
      <c r="X72" s="141"/>
      <c r="Y72" s="141"/>
      <c r="Z72" s="141"/>
      <c r="AA72" s="67"/>
      <c r="AB72" s="85"/>
      <c r="AC72" s="86"/>
      <c r="AD72" s="68"/>
      <c r="AE72" s="68"/>
      <c r="AF72" s="68"/>
      <c r="AG72" s="68"/>
      <c r="AH72" s="417"/>
      <c r="AI72" s="417"/>
      <c r="AJ72" s="417"/>
      <c r="AK72" s="417"/>
    </row>
    <row r="73" spans="1:37" ht="22.5">
      <c r="A73" s="412"/>
      <c r="B73" s="133" t="s">
        <v>229</v>
      </c>
      <c r="C73" s="400">
        <f>C71+D71+E71+F71</f>
        <v>73002</v>
      </c>
      <c r="D73" s="414"/>
      <c r="E73" s="414"/>
      <c r="F73" s="415"/>
      <c r="G73" s="400">
        <f>G71+H71+I71</f>
        <v>10753</v>
      </c>
      <c r="H73" s="414"/>
      <c r="I73" s="415"/>
      <c r="J73" s="268"/>
      <c r="K73" s="268"/>
      <c r="L73" s="400">
        <f>L71+M71+N71</f>
        <v>2125</v>
      </c>
      <c r="M73" s="414"/>
      <c r="N73" s="415"/>
      <c r="O73" s="141"/>
      <c r="P73" s="85"/>
      <c r="Q73" s="400">
        <f>Q71+R71+S71</f>
        <v>6048</v>
      </c>
      <c r="R73" s="414"/>
      <c r="S73" s="415"/>
      <c r="T73" s="141"/>
      <c r="U73" s="141"/>
      <c r="V73" s="141"/>
      <c r="W73" s="141"/>
      <c r="X73" s="141"/>
      <c r="Y73" s="141"/>
      <c r="Z73" s="141"/>
      <c r="AA73" s="67"/>
      <c r="AB73" s="85"/>
      <c r="AC73" s="86"/>
      <c r="AD73" s="68"/>
      <c r="AE73" s="68"/>
      <c r="AF73" s="68"/>
      <c r="AG73" s="68"/>
      <c r="AH73" s="417"/>
      <c r="AI73" s="417"/>
      <c r="AJ73" s="417"/>
      <c r="AK73" s="417"/>
    </row>
    <row r="74" spans="1:37" ht="22.5">
      <c r="A74" s="413"/>
      <c r="B74" s="93" t="s">
        <v>223</v>
      </c>
      <c r="C74" s="406">
        <f>C72/C73</f>
        <v>0.86365369441933093</v>
      </c>
      <c r="D74" s="409"/>
      <c r="E74" s="409"/>
      <c r="F74" s="410"/>
      <c r="G74" s="406">
        <f>G72/G73</f>
        <v>0.83576676276387984</v>
      </c>
      <c r="H74" s="409"/>
      <c r="I74" s="410"/>
      <c r="J74" s="267"/>
      <c r="K74" s="267"/>
      <c r="L74" s="406">
        <f>L72/L73</f>
        <v>0.75042352941176471</v>
      </c>
      <c r="M74" s="409"/>
      <c r="N74" s="410"/>
      <c r="O74" s="142">
        <f>(O69+O70)/O71</f>
        <v>1</v>
      </c>
      <c r="P74" s="87">
        <f>(P69+P70)/P71</f>
        <v>0.85761059385570315</v>
      </c>
      <c r="Q74" s="406">
        <f>Q72/Q73</f>
        <v>0.8869907407407408</v>
      </c>
      <c r="R74" s="409"/>
      <c r="S74" s="410"/>
      <c r="T74" s="142">
        <f t="shared" ref="T74:Z74" si="10">(T69+T70)/T71</f>
        <v>0.83185776942355893</v>
      </c>
      <c r="U74" s="142">
        <f t="shared" si="10"/>
        <v>0.60695056289769944</v>
      </c>
      <c r="V74" s="142">
        <f t="shared" si="10"/>
        <v>0.87892898719441215</v>
      </c>
      <c r="W74" s="142">
        <f t="shared" si="10"/>
        <v>0.97945205479452058</v>
      </c>
      <c r="X74" s="142">
        <f t="shared" si="10"/>
        <v>0.93181818181818177</v>
      </c>
      <c r="Y74" s="142">
        <f t="shared" si="10"/>
        <v>0.85784313725490191</v>
      </c>
      <c r="Z74" s="142">
        <f t="shared" si="10"/>
        <v>0.81097560975609762</v>
      </c>
      <c r="AA74" s="69"/>
      <c r="AB74" s="87">
        <f>(AB69+AB70)/AB71</f>
        <v>0.80652415535206812</v>
      </c>
      <c r="AC74" s="88">
        <f>(AC69+AC70)/AC71</f>
        <v>0.8496692419453008</v>
      </c>
      <c r="AD74" s="84" t="e">
        <f>AD69/$AG$102</f>
        <v>#DIV/0!</v>
      </c>
      <c r="AE74" s="84" t="e">
        <f>AE69/$AG$102</f>
        <v>#DIV/0!</v>
      </c>
      <c r="AF74" s="84" t="e">
        <f>AF69/$AG$102</f>
        <v>#DIV/0!</v>
      </c>
      <c r="AG74" s="134" t="e">
        <f>AG69/$AG$102</f>
        <v>#DIV/0!</v>
      </c>
      <c r="AH74" s="418"/>
      <c r="AI74" s="418"/>
      <c r="AJ74" s="418"/>
      <c r="AK74" s="418"/>
    </row>
    <row r="75" spans="1:37" ht="23.25">
      <c r="A75" s="411" t="s">
        <v>240</v>
      </c>
      <c r="B75" s="89" t="s">
        <v>225</v>
      </c>
      <c r="C75" s="147">
        <v>8240</v>
      </c>
      <c r="D75" s="147">
        <v>32685</v>
      </c>
      <c r="E75" s="147">
        <v>3841</v>
      </c>
      <c r="F75" s="147">
        <v>18650</v>
      </c>
      <c r="G75" s="147">
        <v>1573</v>
      </c>
      <c r="H75" s="147">
        <v>5129</v>
      </c>
      <c r="I75" s="147">
        <v>2309</v>
      </c>
      <c r="J75" s="147"/>
      <c r="K75" s="147"/>
      <c r="L75" s="147">
        <v>59</v>
      </c>
      <c r="M75" s="147">
        <v>830</v>
      </c>
      <c r="N75" s="147">
        <v>706</v>
      </c>
      <c r="O75" s="147">
        <v>151</v>
      </c>
      <c r="P75" s="85">
        <f>SUM(C75:O75)</f>
        <v>74173</v>
      </c>
      <c r="Q75" s="147">
        <v>1145</v>
      </c>
      <c r="R75" s="147">
        <v>2289</v>
      </c>
      <c r="S75" s="147">
        <v>1965</v>
      </c>
      <c r="T75" s="147">
        <v>2629</v>
      </c>
      <c r="U75" s="147">
        <v>2558</v>
      </c>
      <c r="V75" s="147">
        <v>767</v>
      </c>
      <c r="W75" s="147">
        <v>286</v>
      </c>
      <c r="X75" s="147">
        <v>757</v>
      </c>
      <c r="Y75" s="81">
        <v>177</v>
      </c>
      <c r="Z75" s="81">
        <v>134</v>
      </c>
      <c r="AA75" s="67"/>
      <c r="AB75" s="85">
        <f>SUM(Q75:AA75)</f>
        <v>12707</v>
      </c>
      <c r="AC75" s="86">
        <f>P75+AB75</f>
        <v>86880</v>
      </c>
      <c r="AD75" s="82">
        <v>13</v>
      </c>
      <c r="AE75" s="82">
        <v>5</v>
      </c>
      <c r="AF75" s="82">
        <v>3</v>
      </c>
      <c r="AG75" s="83">
        <f>SUM(AD75:AF75)</f>
        <v>21</v>
      </c>
      <c r="AH75" s="416">
        <v>2147</v>
      </c>
      <c r="AI75" s="416">
        <v>1620</v>
      </c>
      <c r="AJ75" s="416">
        <v>417</v>
      </c>
      <c r="AK75" s="416">
        <f>SUM(AH75:AJ80)</f>
        <v>4184</v>
      </c>
    </row>
    <row r="76" spans="1:37" ht="23.25">
      <c r="A76" s="412"/>
      <c r="B76" s="89" t="s">
        <v>226</v>
      </c>
      <c r="C76" s="147">
        <v>37.08</v>
      </c>
      <c r="D76" s="147">
        <v>147.08249999999998</v>
      </c>
      <c r="E76" s="147">
        <v>17.284499999999998</v>
      </c>
      <c r="F76" s="147">
        <v>83.924999999999997</v>
      </c>
      <c r="G76" s="147">
        <v>0</v>
      </c>
      <c r="H76" s="147">
        <v>0</v>
      </c>
      <c r="I76" s="147">
        <v>0</v>
      </c>
      <c r="J76" s="147"/>
      <c r="K76" s="147"/>
      <c r="L76" s="147">
        <v>0</v>
      </c>
      <c r="M76" s="147">
        <v>4.1500000000000004</v>
      </c>
      <c r="N76" s="147">
        <v>3.5300000000000002</v>
      </c>
      <c r="O76" s="147">
        <v>0</v>
      </c>
      <c r="P76" s="85">
        <f>SUM(C76:O76)</f>
        <v>293.05199999999991</v>
      </c>
      <c r="Q76" s="147">
        <v>32.450000000000003</v>
      </c>
      <c r="R76" s="147">
        <v>0</v>
      </c>
      <c r="S76" s="147">
        <v>0</v>
      </c>
      <c r="T76" s="147">
        <v>26.29</v>
      </c>
      <c r="U76" s="147">
        <v>0</v>
      </c>
      <c r="V76" s="147">
        <v>0</v>
      </c>
      <c r="W76" s="147">
        <v>0</v>
      </c>
      <c r="X76" s="147">
        <v>189.25</v>
      </c>
      <c r="Y76" s="147">
        <v>0</v>
      </c>
      <c r="Z76" s="81">
        <v>0</v>
      </c>
      <c r="AA76" s="67"/>
      <c r="AB76" s="85">
        <f>SUM(Q76:AA76)</f>
        <v>247.99</v>
      </c>
      <c r="AC76" s="86">
        <f>P76+AB76</f>
        <v>541.04199999999992</v>
      </c>
      <c r="AD76" s="82"/>
      <c r="AE76" s="82"/>
      <c r="AF76" s="82"/>
      <c r="AG76" s="83"/>
      <c r="AH76" s="417"/>
      <c r="AI76" s="417"/>
      <c r="AJ76" s="417"/>
      <c r="AK76" s="417"/>
    </row>
    <row r="77" spans="1:37" ht="22.5">
      <c r="A77" s="412"/>
      <c r="B77" s="133" t="s">
        <v>227</v>
      </c>
      <c r="C77" s="141">
        <v>9252</v>
      </c>
      <c r="D77" s="141">
        <v>37456</v>
      </c>
      <c r="E77" s="141">
        <v>4675</v>
      </c>
      <c r="F77" s="141">
        <v>21619</v>
      </c>
      <c r="G77" s="141">
        <v>1710</v>
      </c>
      <c r="H77" s="141">
        <v>6490</v>
      </c>
      <c r="I77" s="141">
        <v>2553</v>
      </c>
      <c r="J77" s="141"/>
      <c r="K77" s="141"/>
      <c r="L77" s="141">
        <v>102</v>
      </c>
      <c r="M77" s="141">
        <v>876</v>
      </c>
      <c r="N77" s="141">
        <v>1147</v>
      </c>
      <c r="O77" s="141">
        <v>151</v>
      </c>
      <c r="P77" s="85">
        <f>SUM(C77:O77)</f>
        <v>86031</v>
      </c>
      <c r="Q77" s="141">
        <v>1262</v>
      </c>
      <c r="R77" s="141">
        <v>2766</v>
      </c>
      <c r="S77" s="141">
        <v>2020</v>
      </c>
      <c r="T77" s="56">
        <v>3192</v>
      </c>
      <c r="U77" s="141">
        <v>4086</v>
      </c>
      <c r="V77" s="56">
        <v>859</v>
      </c>
      <c r="W77" s="141">
        <v>292</v>
      </c>
      <c r="X77" s="141">
        <v>990</v>
      </c>
      <c r="Y77" s="141">
        <v>204</v>
      </c>
      <c r="Z77" s="141">
        <v>164</v>
      </c>
      <c r="AA77" s="67"/>
      <c r="AB77" s="85">
        <f>SUM(Q77:AA77)</f>
        <v>15835</v>
      </c>
      <c r="AC77" s="86">
        <f>P77+AB77</f>
        <v>101866</v>
      </c>
      <c r="AD77" s="68"/>
      <c r="AE77" s="68"/>
      <c r="AF77" s="68"/>
      <c r="AG77" s="68"/>
      <c r="AH77" s="417"/>
      <c r="AI77" s="417"/>
      <c r="AJ77" s="417"/>
      <c r="AK77" s="417"/>
    </row>
    <row r="78" spans="1:37" ht="22.5">
      <c r="A78" s="412"/>
      <c r="B78" s="133" t="s">
        <v>228</v>
      </c>
      <c r="C78" s="400">
        <f>C75+D75+E75+F75+C76+D76+E76+F76</f>
        <v>63701.372000000003</v>
      </c>
      <c r="D78" s="414"/>
      <c r="E78" s="414"/>
      <c r="F78" s="415"/>
      <c r="G78" s="400">
        <f>G75+H75+I75+G76+H76+I76</f>
        <v>9011</v>
      </c>
      <c r="H78" s="414"/>
      <c r="I78" s="415"/>
      <c r="J78" s="268"/>
      <c r="K78" s="268"/>
      <c r="L78" s="400">
        <f>L75+M75+N75+L76+M76+N76</f>
        <v>1602.68</v>
      </c>
      <c r="M78" s="414"/>
      <c r="N78" s="415"/>
      <c r="O78" s="141"/>
      <c r="P78" s="85"/>
      <c r="Q78" s="400">
        <f>Q75+R75+S75+Q76+R76+S76</f>
        <v>5431.45</v>
      </c>
      <c r="R78" s="414"/>
      <c r="S78" s="415"/>
      <c r="T78" s="141"/>
      <c r="U78" s="141"/>
      <c r="V78" s="141"/>
      <c r="W78" s="141"/>
      <c r="X78" s="141"/>
      <c r="Y78" s="141"/>
      <c r="Z78" s="141"/>
      <c r="AA78" s="67"/>
      <c r="AB78" s="85"/>
      <c r="AC78" s="86"/>
      <c r="AD78" s="68"/>
      <c r="AE78" s="68"/>
      <c r="AF78" s="68"/>
      <c r="AG78" s="68"/>
      <c r="AH78" s="417"/>
      <c r="AI78" s="417"/>
      <c r="AJ78" s="417"/>
      <c r="AK78" s="417"/>
    </row>
    <row r="79" spans="1:37" ht="22.5">
      <c r="A79" s="412"/>
      <c r="B79" s="133" t="s">
        <v>229</v>
      </c>
      <c r="C79" s="400">
        <f>C77+D77+E77+F77</f>
        <v>73002</v>
      </c>
      <c r="D79" s="414"/>
      <c r="E79" s="414"/>
      <c r="F79" s="415"/>
      <c r="G79" s="400">
        <f>G77+H77+I77</f>
        <v>10753</v>
      </c>
      <c r="H79" s="414"/>
      <c r="I79" s="415"/>
      <c r="J79" s="268"/>
      <c r="K79" s="268"/>
      <c r="L79" s="400">
        <f>L77+M77+N77</f>
        <v>2125</v>
      </c>
      <c r="M79" s="414"/>
      <c r="N79" s="415"/>
      <c r="O79" s="141"/>
      <c r="P79" s="85"/>
      <c r="Q79" s="400">
        <f>Q77+R77+S77</f>
        <v>6048</v>
      </c>
      <c r="R79" s="414"/>
      <c r="S79" s="415"/>
      <c r="T79" s="141"/>
      <c r="U79" s="141"/>
      <c r="V79" s="141"/>
      <c r="W79" s="141"/>
      <c r="X79" s="141"/>
      <c r="Y79" s="141"/>
      <c r="Z79" s="141"/>
      <c r="AA79" s="67"/>
      <c r="AB79" s="85"/>
      <c r="AC79" s="86"/>
      <c r="AD79" s="68"/>
      <c r="AE79" s="68"/>
      <c r="AF79" s="68"/>
      <c r="AG79" s="68"/>
      <c r="AH79" s="417"/>
      <c r="AI79" s="417"/>
      <c r="AJ79" s="417"/>
      <c r="AK79" s="417"/>
    </row>
    <row r="80" spans="1:37" ht="22.5">
      <c r="A80" s="413"/>
      <c r="B80" s="93" t="s">
        <v>223</v>
      </c>
      <c r="C80" s="406">
        <f>C78/C79</f>
        <v>0.87259762746226133</v>
      </c>
      <c r="D80" s="409"/>
      <c r="E80" s="409"/>
      <c r="F80" s="410"/>
      <c r="G80" s="406">
        <f>G78/G79</f>
        <v>0.83799869803775695</v>
      </c>
      <c r="H80" s="409"/>
      <c r="I80" s="410"/>
      <c r="J80" s="267"/>
      <c r="K80" s="267"/>
      <c r="L80" s="406">
        <f>L78/L79</f>
        <v>0.75420235294117655</v>
      </c>
      <c r="M80" s="409"/>
      <c r="N80" s="410"/>
      <c r="O80" s="142">
        <f>(O75+O76)/O77</f>
        <v>1</v>
      </c>
      <c r="P80" s="87">
        <f>(P75+P76)/P77</f>
        <v>0.86557231695551595</v>
      </c>
      <c r="Q80" s="406">
        <f>Q78/Q79</f>
        <v>0.89805720899470898</v>
      </c>
      <c r="R80" s="409"/>
      <c r="S80" s="410"/>
      <c r="T80" s="142">
        <f t="shared" ref="T80:Z80" si="11">(T75+T76)/T77</f>
        <v>0.83185776942355893</v>
      </c>
      <c r="U80" s="142">
        <f t="shared" si="11"/>
        <v>0.62604013705335293</v>
      </c>
      <c r="V80" s="142">
        <f t="shared" si="11"/>
        <v>0.89289871944121069</v>
      </c>
      <c r="W80" s="142">
        <f t="shared" si="11"/>
        <v>0.97945205479452058</v>
      </c>
      <c r="X80" s="142">
        <f t="shared" si="11"/>
        <v>0.95580808080808077</v>
      </c>
      <c r="Y80" s="142">
        <f t="shared" si="11"/>
        <v>0.86764705882352944</v>
      </c>
      <c r="Z80" s="142">
        <f t="shared" si="11"/>
        <v>0.81707317073170727</v>
      </c>
      <c r="AA80" s="69"/>
      <c r="AB80" s="87">
        <f>(AB75+AB76)/AB77</f>
        <v>0.81812377644458478</v>
      </c>
      <c r="AC80" s="88">
        <f>(AC75+AC76)/AC77</f>
        <v>0.85819647379891228</v>
      </c>
      <c r="AD80" s="84" t="e">
        <f>AD75/$AG$102</f>
        <v>#DIV/0!</v>
      </c>
      <c r="AE80" s="84" t="e">
        <f>AE75/$AG$102</f>
        <v>#DIV/0!</v>
      </c>
      <c r="AF80" s="84" t="e">
        <f>AF75/$AG$102</f>
        <v>#DIV/0!</v>
      </c>
      <c r="AG80" s="134" t="e">
        <f>AG75/$AG$102</f>
        <v>#DIV/0!</v>
      </c>
      <c r="AH80" s="418"/>
      <c r="AI80" s="418"/>
      <c r="AJ80" s="418"/>
      <c r="AK80" s="418"/>
    </row>
    <row r="81" spans="1:37" ht="23.25">
      <c r="A81" s="411" t="s">
        <v>241</v>
      </c>
      <c r="B81" s="89" t="s">
        <v>225</v>
      </c>
      <c r="C81" s="147">
        <v>8185</v>
      </c>
      <c r="D81" s="147">
        <v>32709</v>
      </c>
      <c r="E81" s="147">
        <v>3854</v>
      </c>
      <c r="F81" s="147">
        <v>18689</v>
      </c>
      <c r="G81" s="147">
        <v>1575</v>
      </c>
      <c r="H81" s="147">
        <v>5063</v>
      </c>
      <c r="I81" s="147">
        <v>2318</v>
      </c>
      <c r="J81" s="147"/>
      <c r="K81" s="147"/>
      <c r="L81" s="147">
        <v>60</v>
      </c>
      <c r="M81" s="147">
        <v>823</v>
      </c>
      <c r="N81" s="147">
        <v>708</v>
      </c>
      <c r="O81" s="147">
        <v>151</v>
      </c>
      <c r="P81" s="85">
        <f>SUM(C81:O81)</f>
        <v>74135</v>
      </c>
      <c r="Q81" s="147">
        <v>1212</v>
      </c>
      <c r="R81" s="147">
        <v>2315</v>
      </c>
      <c r="S81" s="147">
        <v>1955</v>
      </c>
      <c r="T81" s="147">
        <v>2657</v>
      </c>
      <c r="U81" s="147">
        <v>2537</v>
      </c>
      <c r="V81" s="147">
        <v>760</v>
      </c>
      <c r="W81" s="147">
        <v>288</v>
      </c>
      <c r="X81" s="147">
        <v>767</v>
      </c>
      <c r="Y81" s="81">
        <v>182</v>
      </c>
      <c r="Z81" s="81">
        <v>134</v>
      </c>
      <c r="AA81" s="67"/>
      <c r="AB81" s="85">
        <f>SUM(Q81:AA81)</f>
        <v>12807</v>
      </c>
      <c r="AC81" s="86">
        <f>P81+AB81</f>
        <v>86942</v>
      </c>
      <c r="AD81" s="82">
        <v>13</v>
      </c>
      <c r="AE81" s="82">
        <v>5</v>
      </c>
      <c r="AF81" s="82">
        <v>3</v>
      </c>
      <c r="AG81" s="83">
        <f>SUM(AD81:AF81)</f>
        <v>21</v>
      </c>
      <c r="AH81" s="416">
        <v>1551</v>
      </c>
      <c r="AI81" s="416">
        <v>1993</v>
      </c>
      <c r="AJ81" s="416">
        <v>611</v>
      </c>
      <c r="AK81" s="416">
        <f>SUM(AH81:AJ86)</f>
        <v>4155</v>
      </c>
    </row>
    <row r="82" spans="1:37" ht="23.25">
      <c r="A82" s="412"/>
      <c r="B82" s="89" t="s">
        <v>226</v>
      </c>
      <c r="C82" s="147">
        <v>37.08</v>
      </c>
      <c r="D82" s="147">
        <v>147.08249999999998</v>
      </c>
      <c r="E82" s="147">
        <v>17.284499999999998</v>
      </c>
      <c r="F82" s="147">
        <v>83.924999999999997</v>
      </c>
      <c r="G82" s="147">
        <v>0</v>
      </c>
      <c r="H82" s="147">
        <v>0</v>
      </c>
      <c r="I82" s="147">
        <v>0</v>
      </c>
      <c r="J82" s="147"/>
      <c r="K82" s="147"/>
      <c r="L82" s="147">
        <v>0</v>
      </c>
      <c r="M82" s="147">
        <v>4.1500000000000004</v>
      </c>
      <c r="N82" s="147">
        <v>3.5300000000000002</v>
      </c>
      <c r="O82" s="147">
        <v>0</v>
      </c>
      <c r="P82" s="85">
        <f>SUM(C82:O82)</f>
        <v>293.05199999999991</v>
      </c>
      <c r="Q82" s="147">
        <v>33.120000000000005</v>
      </c>
      <c r="R82" s="147">
        <v>0</v>
      </c>
      <c r="S82" s="147">
        <v>0</v>
      </c>
      <c r="T82" s="147">
        <v>26.57</v>
      </c>
      <c r="U82" s="147">
        <v>0</v>
      </c>
      <c r="V82" s="147">
        <v>0</v>
      </c>
      <c r="W82" s="147">
        <v>0</v>
      </c>
      <c r="X82" s="147">
        <v>191.75</v>
      </c>
      <c r="Y82" s="147">
        <v>0</v>
      </c>
      <c r="Z82" s="81">
        <v>0</v>
      </c>
      <c r="AA82" s="67"/>
      <c r="AB82" s="85">
        <f>SUM(Q82:AA82)</f>
        <v>251.44</v>
      </c>
      <c r="AC82" s="86">
        <f>P82+AB82</f>
        <v>544.49199999999996</v>
      </c>
      <c r="AD82" s="82"/>
      <c r="AE82" s="82"/>
      <c r="AF82" s="82"/>
      <c r="AG82" s="83"/>
      <c r="AH82" s="417"/>
      <c r="AI82" s="417"/>
      <c r="AJ82" s="417"/>
      <c r="AK82" s="417"/>
    </row>
    <row r="83" spans="1:37" ht="22.5">
      <c r="A83" s="412"/>
      <c r="B83" s="133" t="s">
        <v>227</v>
      </c>
      <c r="C83" s="141">
        <v>9252</v>
      </c>
      <c r="D83" s="141">
        <v>37456</v>
      </c>
      <c r="E83" s="141">
        <v>4675</v>
      </c>
      <c r="F83" s="141">
        <v>21619</v>
      </c>
      <c r="G83" s="141">
        <v>1710</v>
      </c>
      <c r="H83" s="141">
        <v>6490</v>
      </c>
      <c r="I83" s="141">
        <v>2553</v>
      </c>
      <c r="J83" s="141"/>
      <c r="K83" s="141"/>
      <c r="L83" s="141">
        <v>102</v>
      </c>
      <c r="M83" s="141">
        <v>876</v>
      </c>
      <c r="N83" s="141">
        <v>1147</v>
      </c>
      <c r="O83" s="141">
        <v>151</v>
      </c>
      <c r="P83" s="85">
        <f>SUM(C83:O83)</f>
        <v>86031</v>
      </c>
      <c r="Q83" s="141">
        <v>1262</v>
      </c>
      <c r="R83" s="141">
        <v>2766</v>
      </c>
      <c r="S83" s="141">
        <v>2020</v>
      </c>
      <c r="T83" s="56">
        <v>3192</v>
      </c>
      <c r="U83" s="141">
        <v>4086</v>
      </c>
      <c r="V83" s="56">
        <v>859</v>
      </c>
      <c r="W83" s="141">
        <v>292</v>
      </c>
      <c r="X83" s="141">
        <v>990</v>
      </c>
      <c r="Y83" s="141">
        <v>204</v>
      </c>
      <c r="Z83" s="141">
        <v>164</v>
      </c>
      <c r="AA83" s="67"/>
      <c r="AB83" s="85">
        <f>SUM(Q83:AA83)</f>
        <v>15835</v>
      </c>
      <c r="AC83" s="86">
        <f>P83+AB83</f>
        <v>101866</v>
      </c>
      <c r="AD83" s="68"/>
      <c r="AE83" s="68"/>
      <c r="AF83" s="68"/>
      <c r="AG83" s="68"/>
      <c r="AH83" s="417"/>
      <c r="AI83" s="417"/>
      <c r="AJ83" s="417"/>
      <c r="AK83" s="417"/>
    </row>
    <row r="84" spans="1:37" ht="22.5">
      <c r="A84" s="412"/>
      <c r="B84" s="133" t="s">
        <v>228</v>
      </c>
      <c r="C84" s="400">
        <f>C81+D81+E81+F81+C82+D82+E82+F82</f>
        <v>63722.372000000003</v>
      </c>
      <c r="D84" s="414"/>
      <c r="E84" s="414"/>
      <c r="F84" s="415"/>
      <c r="G84" s="400">
        <f>G81+H81+I81+G82+H82+I82</f>
        <v>8956</v>
      </c>
      <c r="H84" s="414"/>
      <c r="I84" s="415"/>
      <c r="J84" s="268"/>
      <c r="K84" s="268"/>
      <c r="L84" s="400">
        <f>L81+M81+N81+L82+M82+N82</f>
        <v>1598.68</v>
      </c>
      <c r="M84" s="414"/>
      <c r="N84" s="415"/>
      <c r="O84" s="141"/>
      <c r="P84" s="85"/>
      <c r="Q84" s="400">
        <f>Q81+R81+S81+Q82+R82+S82</f>
        <v>5515.12</v>
      </c>
      <c r="R84" s="414"/>
      <c r="S84" s="415"/>
      <c r="T84" s="141"/>
      <c r="U84" s="141"/>
      <c r="V84" s="141"/>
      <c r="W84" s="141"/>
      <c r="X84" s="141"/>
      <c r="Y84" s="141"/>
      <c r="Z84" s="141"/>
      <c r="AA84" s="67"/>
      <c r="AB84" s="85"/>
      <c r="AC84" s="86"/>
      <c r="AD84" s="68"/>
      <c r="AE84" s="68"/>
      <c r="AF84" s="68"/>
      <c r="AG84" s="68"/>
      <c r="AH84" s="417"/>
      <c r="AI84" s="417"/>
      <c r="AJ84" s="417"/>
      <c r="AK84" s="417"/>
    </row>
    <row r="85" spans="1:37" ht="22.5">
      <c r="A85" s="412"/>
      <c r="B85" s="133" t="s">
        <v>229</v>
      </c>
      <c r="C85" s="400">
        <f>C83+D83+E83+F83</f>
        <v>73002</v>
      </c>
      <c r="D85" s="414"/>
      <c r="E85" s="414"/>
      <c r="F85" s="415"/>
      <c r="G85" s="400">
        <f>G83+H83+I83</f>
        <v>10753</v>
      </c>
      <c r="H85" s="414"/>
      <c r="I85" s="415"/>
      <c r="J85" s="268"/>
      <c r="K85" s="268"/>
      <c r="L85" s="400">
        <f>L83+M83+N83</f>
        <v>2125</v>
      </c>
      <c r="M85" s="414"/>
      <c r="N85" s="415"/>
      <c r="O85" s="141"/>
      <c r="P85" s="85"/>
      <c r="Q85" s="400">
        <f>Q83+R83+S83</f>
        <v>6048</v>
      </c>
      <c r="R85" s="414"/>
      <c r="S85" s="415"/>
      <c r="T85" s="141"/>
      <c r="U85" s="141"/>
      <c r="V85" s="141"/>
      <c r="W85" s="141"/>
      <c r="X85" s="141"/>
      <c r="Y85" s="141"/>
      <c r="Z85" s="141"/>
      <c r="AA85" s="67"/>
      <c r="AB85" s="85"/>
      <c r="AC85" s="86"/>
      <c r="AD85" s="68"/>
      <c r="AE85" s="68"/>
      <c r="AF85" s="68"/>
      <c r="AG85" s="68"/>
      <c r="AH85" s="417"/>
      <c r="AI85" s="417"/>
      <c r="AJ85" s="417"/>
      <c r="AK85" s="417"/>
    </row>
    <row r="86" spans="1:37" ht="22.5">
      <c r="A86" s="413"/>
      <c r="B86" s="93" t="s">
        <v>223</v>
      </c>
      <c r="C86" s="406">
        <f>C84/C85</f>
        <v>0.87288529081395039</v>
      </c>
      <c r="D86" s="409"/>
      <c r="E86" s="409"/>
      <c r="F86" s="410"/>
      <c r="G86" s="406">
        <f>G84/G85</f>
        <v>0.83288384636845536</v>
      </c>
      <c r="H86" s="409"/>
      <c r="I86" s="410"/>
      <c r="J86" s="267"/>
      <c r="K86" s="267"/>
      <c r="L86" s="406">
        <f>L84/L85</f>
        <v>0.75231999999999999</v>
      </c>
      <c r="M86" s="409"/>
      <c r="N86" s="410"/>
      <c r="O86" s="142">
        <f>(O81+O82)/O83</f>
        <v>1</v>
      </c>
      <c r="P86" s="87">
        <f>(P81+P82)/P83</f>
        <v>0.8651306157082912</v>
      </c>
      <c r="Q86" s="406">
        <f>Q84/Q85</f>
        <v>0.91189153439153436</v>
      </c>
      <c r="R86" s="409"/>
      <c r="S86" s="410"/>
      <c r="T86" s="142">
        <f t="shared" ref="T86:Z86" si="12">(T81+T82)/T83</f>
        <v>0.84071741854636595</v>
      </c>
      <c r="U86" s="142">
        <f t="shared" si="12"/>
        <v>0.6209006363191385</v>
      </c>
      <c r="V86" s="142">
        <f t="shared" si="12"/>
        <v>0.88474970896391147</v>
      </c>
      <c r="W86" s="142">
        <f t="shared" si="12"/>
        <v>0.98630136986301364</v>
      </c>
      <c r="X86" s="142">
        <f t="shared" si="12"/>
        <v>0.96843434343434343</v>
      </c>
      <c r="Y86" s="142">
        <f t="shared" si="12"/>
        <v>0.89215686274509809</v>
      </c>
      <c r="Z86" s="142">
        <f t="shared" si="12"/>
        <v>0.81707317073170727</v>
      </c>
      <c r="AA86" s="69"/>
      <c r="AB86" s="87">
        <f>(AB81+AB82)/AB83</f>
        <v>0.82465677297126616</v>
      </c>
      <c r="AC86" s="88">
        <f>(AC81+AC82)/AC83</f>
        <v>0.85883898454832819</v>
      </c>
      <c r="AD86" s="84" t="e">
        <f>AD81/$AG$173</f>
        <v>#DIV/0!</v>
      </c>
      <c r="AE86" s="84" t="e">
        <f>AE81/$AG$173</f>
        <v>#DIV/0!</v>
      </c>
      <c r="AF86" s="84" t="e">
        <f>AF81/$AG$173</f>
        <v>#DIV/0!</v>
      </c>
      <c r="AG86" s="134" t="e">
        <f>AG81/$AG$173</f>
        <v>#DIV/0!</v>
      </c>
      <c r="AH86" s="418"/>
      <c r="AI86" s="418"/>
      <c r="AJ86" s="418"/>
      <c r="AK86" s="418"/>
    </row>
    <row r="87" spans="1:37" ht="23.25">
      <c r="A87" s="411" t="s">
        <v>242</v>
      </c>
      <c r="B87" s="89" t="s">
        <v>225</v>
      </c>
      <c r="C87" s="147">
        <v>8044</v>
      </c>
      <c r="D87" s="147">
        <v>32692</v>
      </c>
      <c r="E87" s="147">
        <v>3717</v>
      </c>
      <c r="F87" s="147">
        <v>18893</v>
      </c>
      <c r="G87" s="147">
        <v>1581</v>
      </c>
      <c r="H87" s="147">
        <v>5059</v>
      </c>
      <c r="I87" s="147">
        <v>2282</v>
      </c>
      <c r="J87" s="147"/>
      <c r="K87" s="147"/>
      <c r="L87" s="147">
        <v>52</v>
      </c>
      <c r="M87" s="147">
        <v>829</v>
      </c>
      <c r="N87" s="147">
        <v>708</v>
      </c>
      <c r="O87" s="147">
        <v>151</v>
      </c>
      <c r="P87" s="85">
        <f>SUM(C87:O87)</f>
        <v>74008</v>
      </c>
      <c r="Q87" s="147">
        <v>1220</v>
      </c>
      <c r="R87" s="147">
        <v>2320</v>
      </c>
      <c r="S87" s="147">
        <v>1964</v>
      </c>
      <c r="T87" s="147">
        <v>2679</v>
      </c>
      <c r="U87" s="147">
        <v>2582</v>
      </c>
      <c r="V87" s="147">
        <v>771</v>
      </c>
      <c r="W87" s="147">
        <v>290</v>
      </c>
      <c r="X87" s="147">
        <v>777</v>
      </c>
      <c r="Y87" s="81">
        <v>185</v>
      </c>
      <c r="Z87" s="81">
        <v>134</v>
      </c>
      <c r="AA87" s="67"/>
      <c r="AB87" s="85">
        <f>SUM(Q87:AA87)</f>
        <v>12922</v>
      </c>
      <c r="AC87" s="86">
        <f>P87+AB87</f>
        <v>86930</v>
      </c>
      <c r="AD87" s="82">
        <v>13</v>
      </c>
      <c r="AE87" s="82">
        <v>5</v>
      </c>
      <c r="AF87" s="82">
        <v>3</v>
      </c>
      <c r="AG87" s="83">
        <f>SUM(AD87:AF87)</f>
        <v>21</v>
      </c>
      <c r="AH87" s="416">
        <v>1667</v>
      </c>
      <c r="AI87" s="416">
        <v>2350</v>
      </c>
      <c r="AJ87" s="416">
        <v>761</v>
      </c>
      <c r="AK87" s="416">
        <f>SUM(AH87:AJ92)</f>
        <v>4778</v>
      </c>
    </row>
    <row r="88" spans="1:37" ht="23.25">
      <c r="A88" s="412"/>
      <c r="B88" s="89" t="s">
        <v>226</v>
      </c>
      <c r="C88" s="147">
        <v>36.198</v>
      </c>
      <c r="D88" s="147">
        <v>147.11399999999998</v>
      </c>
      <c r="E88" s="147">
        <v>16.726499999999998</v>
      </c>
      <c r="F88" s="147">
        <v>85.018499999999989</v>
      </c>
      <c r="G88" s="147">
        <v>0</v>
      </c>
      <c r="H88" s="147">
        <v>0</v>
      </c>
      <c r="I88" s="147">
        <v>0</v>
      </c>
      <c r="J88" s="147"/>
      <c r="K88" s="147"/>
      <c r="L88" s="147">
        <v>0</v>
      </c>
      <c r="M88" s="147">
        <v>4.1450000000000005</v>
      </c>
      <c r="N88" s="147">
        <v>3.54</v>
      </c>
      <c r="O88" s="147">
        <v>0</v>
      </c>
      <c r="P88" s="85">
        <f>SUM(C88:O88)</f>
        <v>292.74199999999996</v>
      </c>
      <c r="Q88" s="147">
        <v>33.200000000000003</v>
      </c>
      <c r="R88" s="147">
        <v>0</v>
      </c>
      <c r="S88" s="147">
        <v>0</v>
      </c>
      <c r="T88" s="147">
        <v>26.79</v>
      </c>
      <c r="U88" s="147">
        <v>0</v>
      </c>
      <c r="V88" s="147">
        <v>0</v>
      </c>
      <c r="W88" s="147">
        <v>0</v>
      </c>
      <c r="X88" s="147">
        <v>194.25</v>
      </c>
      <c r="Y88" s="147">
        <v>0</v>
      </c>
      <c r="Z88" s="81">
        <v>0</v>
      </c>
      <c r="AA88" s="67"/>
      <c r="AB88" s="85">
        <f>SUM(Q88:AA88)</f>
        <v>254.24</v>
      </c>
      <c r="AC88" s="86">
        <f>P88+AB88</f>
        <v>546.98199999999997</v>
      </c>
      <c r="AD88" s="82"/>
      <c r="AE88" s="82"/>
      <c r="AF88" s="82"/>
      <c r="AG88" s="83"/>
      <c r="AH88" s="417"/>
      <c r="AI88" s="417"/>
      <c r="AJ88" s="417"/>
      <c r="AK88" s="417"/>
    </row>
    <row r="89" spans="1:37" ht="22.5">
      <c r="A89" s="412"/>
      <c r="B89" s="133" t="s">
        <v>227</v>
      </c>
      <c r="C89" s="141">
        <v>9252</v>
      </c>
      <c r="D89" s="141">
        <v>37456</v>
      </c>
      <c r="E89" s="141">
        <v>4675</v>
      </c>
      <c r="F89" s="141">
        <v>21619</v>
      </c>
      <c r="G89" s="141">
        <v>1710</v>
      </c>
      <c r="H89" s="141">
        <v>6490</v>
      </c>
      <c r="I89" s="141">
        <v>2553</v>
      </c>
      <c r="J89" s="141"/>
      <c r="K89" s="141"/>
      <c r="L89" s="141">
        <v>102</v>
      </c>
      <c r="M89" s="141">
        <v>876</v>
      </c>
      <c r="N89" s="141">
        <v>1147</v>
      </c>
      <c r="O89" s="141">
        <v>151</v>
      </c>
      <c r="P89" s="85">
        <f>SUM(C89:O89)</f>
        <v>86031</v>
      </c>
      <c r="Q89" s="141">
        <v>1262</v>
      </c>
      <c r="R89" s="141">
        <v>2766</v>
      </c>
      <c r="S89" s="141">
        <v>2020</v>
      </c>
      <c r="T89" s="141">
        <v>3192</v>
      </c>
      <c r="U89" s="141">
        <v>4086</v>
      </c>
      <c r="V89" s="141">
        <v>859</v>
      </c>
      <c r="W89" s="141">
        <v>292</v>
      </c>
      <c r="X89" s="141">
        <v>990</v>
      </c>
      <c r="Y89" s="141">
        <v>204</v>
      </c>
      <c r="Z89" s="141">
        <v>164</v>
      </c>
      <c r="AA89" s="67"/>
      <c r="AB89" s="85">
        <f>SUM(Q89:AA89)</f>
        <v>15835</v>
      </c>
      <c r="AC89" s="86">
        <f>P89+AB89</f>
        <v>101866</v>
      </c>
      <c r="AD89" s="68"/>
      <c r="AE89" s="68"/>
      <c r="AF89" s="68"/>
      <c r="AG89" s="68"/>
      <c r="AH89" s="417"/>
      <c r="AI89" s="417"/>
      <c r="AJ89" s="417"/>
      <c r="AK89" s="417"/>
    </row>
    <row r="90" spans="1:37" ht="22.5">
      <c r="A90" s="412"/>
      <c r="B90" s="133" t="s">
        <v>228</v>
      </c>
      <c r="C90" s="400">
        <f>C87+D87+E87+F87+C88+D88+E88+F88</f>
        <v>63631.056999999993</v>
      </c>
      <c r="D90" s="414"/>
      <c r="E90" s="414"/>
      <c r="F90" s="415"/>
      <c r="G90" s="400">
        <f>G87+H87+I87+G88+H88+I88</f>
        <v>8922</v>
      </c>
      <c r="H90" s="414"/>
      <c r="I90" s="415"/>
      <c r="J90" s="268"/>
      <c r="K90" s="268"/>
      <c r="L90" s="400">
        <f>L87+M87+N87+L88+M88+N88</f>
        <v>1596.6849999999999</v>
      </c>
      <c r="M90" s="414"/>
      <c r="N90" s="415"/>
      <c r="O90" s="141"/>
      <c r="P90" s="85"/>
      <c r="Q90" s="400">
        <f>Q87+R87+S87+Q88+R88+S88</f>
        <v>5537.2</v>
      </c>
      <c r="R90" s="414"/>
      <c r="S90" s="415"/>
      <c r="T90" s="141"/>
      <c r="U90" s="141"/>
      <c r="V90" s="141"/>
      <c r="W90" s="141"/>
      <c r="X90" s="141"/>
      <c r="Y90" s="141"/>
      <c r="Z90" s="141"/>
      <c r="AA90" s="67"/>
      <c r="AB90" s="85"/>
      <c r="AC90" s="86"/>
      <c r="AD90" s="68"/>
      <c r="AE90" s="68"/>
      <c r="AF90" s="68"/>
      <c r="AG90" s="68"/>
      <c r="AH90" s="417"/>
      <c r="AI90" s="417"/>
      <c r="AJ90" s="417"/>
      <c r="AK90" s="417"/>
    </row>
    <row r="91" spans="1:37" ht="22.5">
      <c r="A91" s="412"/>
      <c r="B91" s="133" t="s">
        <v>229</v>
      </c>
      <c r="C91" s="400">
        <f>C89+D89+E89+F89</f>
        <v>73002</v>
      </c>
      <c r="D91" s="414"/>
      <c r="E91" s="414"/>
      <c r="F91" s="415"/>
      <c r="G91" s="400">
        <f>G89+H89+I89</f>
        <v>10753</v>
      </c>
      <c r="H91" s="414"/>
      <c r="I91" s="415"/>
      <c r="J91" s="268"/>
      <c r="K91" s="268"/>
      <c r="L91" s="400">
        <f>L89+M89+N89</f>
        <v>2125</v>
      </c>
      <c r="M91" s="414"/>
      <c r="N91" s="415"/>
      <c r="O91" s="141"/>
      <c r="P91" s="85"/>
      <c r="Q91" s="400">
        <f>Q89+R89+S89</f>
        <v>6048</v>
      </c>
      <c r="R91" s="414"/>
      <c r="S91" s="415"/>
      <c r="T91" s="141"/>
      <c r="U91" s="141"/>
      <c r="V91" s="141"/>
      <c r="W91" s="141"/>
      <c r="X91" s="141"/>
      <c r="Y91" s="141"/>
      <c r="Z91" s="141"/>
      <c r="AA91" s="67"/>
      <c r="AB91" s="85"/>
      <c r="AC91" s="86"/>
      <c r="AD91" s="68"/>
      <c r="AE91" s="68"/>
      <c r="AF91" s="68"/>
      <c r="AG91" s="68"/>
      <c r="AH91" s="417"/>
      <c r="AI91" s="417"/>
      <c r="AJ91" s="417"/>
      <c r="AK91" s="417"/>
    </row>
    <row r="92" spans="1:37" ht="22.5">
      <c r="A92" s="413"/>
      <c r="B92" s="93" t="s">
        <v>223</v>
      </c>
      <c r="C92" s="406">
        <f>C90/C91</f>
        <v>0.8716344346730226</v>
      </c>
      <c r="D92" s="409"/>
      <c r="E92" s="409"/>
      <c r="F92" s="410"/>
      <c r="G92" s="406">
        <f>G90/G91</f>
        <v>0.82972193806379613</v>
      </c>
      <c r="H92" s="409"/>
      <c r="I92" s="410"/>
      <c r="J92" s="267"/>
      <c r="K92" s="267"/>
      <c r="L92" s="406">
        <f>L90/L91</f>
        <v>0.75138117647058822</v>
      </c>
      <c r="M92" s="409"/>
      <c r="N92" s="410"/>
      <c r="O92" s="142">
        <f>(O87+O88)/O89</f>
        <v>1</v>
      </c>
      <c r="P92" s="87">
        <f>(P87+P88)/P89</f>
        <v>0.86365080029291763</v>
      </c>
      <c r="Q92" s="406">
        <f>Q90/Q91</f>
        <v>0.91554232804232805</v>
      </c>
      <c r="R92" s="409"/>
      <c r="S92" s="410"/>
      <c r="T92" s="142">
        <f t="shared" ref="T92:Z92" si="13">(T87+T88)/T89</f>
        <v>0.84767857142857139</v>
      </c>
      <c r="U92" s="142">
        <f t="shared" si="13"/>
        <v>0.63191385217816931</v>
      </c>
      <c r="V92" s="142">
        <f t="shared" si="13"/>
        <v>0.89755529685681024</v>
      </c>
      <c r="W92" s="142">
        <f t="shared" si="13"/>
        <v>0.99315068493150682</v>
      </c>
      <c r="X92" s="142">
        <f t="shared" si="13"/>
        <v>0.98106060606060608</v>
      </c>
      <c r="Y92" s="142">
        <f t="shared" si="13"/>
        <v>0.90686274509803921</v>
      </c>
      <c r="Z92" s="142">
        <f t="shared" si="13"/>
        <v>0.81707317073170727</v>
      </c>
      <c r="AA92" s="69"/>
      <c r="AB92" s="87">
        <f>(AB87+AB88)/AB89</f>
        <v>0.83209598989580047</v>
      </c>
      <c r="AC92" s="88">
        <f>(AC87+AC88)/AC89</f>
        <v>0.85874562660750398</v>
      </c>
      <c r="AD92" s="84" t="e">
        <f>AD87/$AG$173</f>
        <v>#DIV/0!</v>
      </c>
      <c r="AE92" s="84" t="e">
        <f>AE87/$AG$173</f>
        <v>#DIV/0!</v>
      </c>
      <c r="AF92" s="84" t="e">
        <f>AF87/$AG$173</f>
        <v>#DIV/0!</v>
      </c>
      <c r="AG92" s="134" t="e">
        <f>AG87/$AG$173</f>
        <v>#DIV/0!</v>
      </c>
      <c r="AH92" s="418"/>
      <c r="AI92" s="418"/>
      <c r="AJ92" s="418"/>
      <c r="AK92" s="418"/>
    </row>
    <row r="93" spans="1:37" ht="23.25">
      <c r="A93" s="411" t="s">
        <v>243</v>
      </c>
      <c r="B93" s="89" t="s">
        <v>225</v>
      </c>
      <c r="C93" s="147">
        <v>8004</v>
      </c>
      <c r="D93" s="147">
        <v>32835</v>
      </c>
      <c r="E93" s="147">
        <v>3842</v>
      </c>
      <c r="F93" s="147">
        <v>19124</v>
      </c>
      <c r="G93" s="147">
        <v>1602</v>
      </c>
      <c r="H93" s="147">
        <v>5042</v>
      </c>
      <c r="I93" s="147">
        <v>2363</v>
      </c>
      <c r="J93" s="147"/>
      <c r="K93" s="147"/>
      <c r="L93" s="147">
        <v>86</v>
      </c>
      <c r="M93" s="147">
        <v>826</v>
      </c>
      <c r="N93" s="147">
        <v>710</v>
      </c>
      <c r="O93" s="147">
        <v>151</v>
      </c>
      <c r="P93" s="85">
        <f>SUM(C93:O93)</f>
        <v>74585</v>
      </c>
      <c r="Q93" s="147">
        <v>1146</v>
      </c>
      <c r="R93" s="147">
        <v>2366</v>
      </c>
      <c r="S93" s="147">
        <v>1985</v>
      </c>
      <c r="T93" s="147">
        <v>2733</v>
      </c>
      <c r="U93" s="147">
        <v>2537</v>
      </c>
      <c r="V93" s="147">
        <v>770</v>
      </c>
      <c r="W93" s="147">
        <v>290</v>
      </c>
      <c r="X93" s="147">
        <v>784</v>
      </c>
      <c r="Y93" s="81">
        <v>184</v>
      </c>
      <c r="Z93" s="81">
        <v>134</v>
      </c>
      <c r="AA93" s="67"/>
      <c r="AB93" s="85">
        <f>SUM(Q93:AA93)</f>
        <v>12929</v>
      </c>
      <c r="AC93" s="86">
        <f>P93+AB93</f>
        <v>87514</v>
      </c>
      <c r="AD93" s="82">
        <v>14</v>
      </c>
      <c r="AE93" s="82">
        <v>5</v>
      </c>
      <c r="AF93" s="82">
        <v>2</v>
      </c>
      <c r="AG93" s="83">
        <f>SUM(AD93:AF93)</f>
        <v>21</v>
      </c>
      <c r="AH93" s="416">
        <v>2086</v>
      </c>
      <c r="AI93" s="416">
        <v>2329</v>
      </c>
      <c r="AJ93" s="416">
        <v>824</v>
      </c>
      <c r="AK93" s="416">
        <f>SUM(AH93:AJ98)</f>
        <v>5239</v>
      </c>
    </row>
    <row r="94" spans="1:37" ht="23.25">
      <c r="A94" s="412"/>
      <c r="B94" s="89" t="s">
        <v>226</v>
      </c>
      <c r="C94" s="147">
        <v>36.018000000000001</v>
      </c>
      <c r="D94" s="147">
        <v>147.75749999999999</v>
      </c>
      <c r="E94" s="147">
        <v>17.288999999999998</v>
      </c>
      <c r="F94" s="147">
        <v>86.057999999999993</v>
      </c>
      <c r="G94" s="147">
        <v>0</v>
      </c>
      <c r="H94" s="147">
        <v>0</v>
      </c>
      <c r="I94" s="147">
        <v>0</v>
      </c>
      <c r="J94" s="147"/>
      <c r="K94" s="147"/>
      <c r="L94" s="147">
        <v>0</v>
      </c>
      <c r="M94" s="147">
        <v>3.7169999999999996</v>
      </c>
      <c r="N94" s="147">
        <v>3.1949999999999998</v>
      </c>
      <c r="O94" s="147">
        <v>0</v>
      </c>
      <c r="P94" s="85">
        <f>SUM(C94:O94)</f>
        <v>294.03449999999992</v>
      </c>
      <c r="Q94" s="147">
        <v>32.46</v>
      </c>
      <c r="R94" s="147">
        <v>0</v>
      </c>
      <c r="S94" s="147">
        <v>0</v>
      </c>
      <c r="T94" s="147">
        <v>27.330000000000002</v>
      </c>
      <c r="U94" s="147">
        <v>0</v>
      </c>
      <c r="V94" s="147">
        <v>0</v>
      </c>
      <c r="W94" s="147">
        <v>0</v>
      </c>
      <c r="X94" s="147">
        <v>156.80000000000001</v>
      </c>
      <c r="Y94" s="147">
        <v>0</v>
      </c>
      <c r="Z94" s="81">
        <v>0</v>
      </c>
      <c r="AA94" s="67"/>
      <c r="AB94" s="85">
        <f>SUM(Q94:AA94)</f>
        <v>216.59000000000003</v>
      </c>
      <c r="AC94" s="86">
        <f>P94+AB94</f>
        <v>510.62449999999995</v>
      </c>
      <c r="AD94" s="82"/>
      <c r="AE94" s="82"/>
      <c r="AF94" s="82"/>
      <c r="AG94" s="83"/>
      <c r="AH94" s="417"/>
      <c r="AI94" s="417"/>
      <c r="AJ94" s="417"/>
      <c r="AK94" s="417"/>
    </row>
    <row r="95" spans="1:37" ht="22.5">
      <c r="A95" s="412"/>
      <c r="B95" s="133" t="s">
        <v>227</v>
      </c>
      <c r="C95" s="141">
        <v>9252</v>
      </c>
      <c r="D95" s="141">
        <v>37456</v>
      </c>
      <c r="E95" s="141">
        <v>4675</v>
      </c>
      <c r="F95" s="141">
        <v>21619</v>
      </c>
      <c r="G95" s="141">
        <v>1710</v>
      </c>
      <c r="H95" s="141">
        <v>6490</v>
      </c>
      <c r="I95" s="141">
        <v>2553</v>
      </c>
      <c r="J95" s="141"/>
      <c r="K95" s="141"/>
      <c r="L95" s="141">
        <v>102</v>
      </c>
      <c r="M95" s="141">
        <v>876</v>
      </c>
      <c r="N95" s="141">
        <v>1147</v>
      </c>
      <c r="O95" s="141">
        <v>151</v>
      </c>
      <c r="P95" s="85">
        <f>SUM(C95:O95)</f>
        <v>86031</v>
      </c>
      <c r="Q95" s="141">
        <v>1262</v>
      </c>
      <c r="R95" s="141">
        <v>2766</v>
      </c>
      <c r="S95" s="141">
        <v>2020</v>
      </c>
      <c r="T95" s="141">
        <v>3192</v>
      </c>
      <c r="U95" s="141">
        <v>4086</v>
      </c>
      <c r="V95" s="141">
        <v>859</v>
      </c>
      <c r="W95" s="141">
        <v>292</v>
      </c>
      <c r="X95" s="141">
        <v>990</v>
      </c>
      <c r="Y95" s="141">
        <v>204</v>
      </c>
      <c r="Z95" s="141">
        <v>164</v>
      </c>
      <c r="AA95" s="67"/>
      <c r="AB95" s="85">
        <f>SUM(Q95:AA95)</f>
        <v>15835</v>
      </c>
      <c r="AC95" s="86">
        <f>P95+AB95</f>
        <v>101866</v>
      </c>
      <c r="AD95" s="68"/>
      <c r="AE95" s="68"/>
      <c r="AF95" s="68"/>
      <c r="AG95" s="68"/>
      <c r="AH95" s="417"/>
      <c r="AI95" s="417"/>
      <c r="AJ95" s="417"/>
      <c r="AK95" s="417"/>
    </row>
    <row r="96" spans="1:37" ht="22.5">
      <c r="A96" s="412"/>
      <c r="B96" s="133" t="s">
        <v>228</v>
      </c>
      <c r="C96" s="400">
        <f>C93+D93+E93+F93+C94+D94+E94+F94</f>
        <v>64092.12249999999</v>
      </c>
      <c r="D96" s="414"/>
      <c r="E96" s="414"/>
      <c r="F96" s="415"/>
      <c r="G96" s="400">
        <f>G93+H93+I93+G94+H94+I94</f>
        <v>9007</v>
      </c>
      <c r="H96" s="414"/>
      <c r="I96" s="415"/>
      <c r="J96" s="268"/>
      <c r="K96" s="268"/>
      <c r="L96" s="400">
        <f>L93+M93+N93+L94+M94+N94</f>
        <v>1628.912</v>
      </c>
      <c r="M96" s="414"/>
      <c r="N96" s="415"/>
      <c r="O96" s="141"/>
      <c r="P96" s="85"/>
      <c r="Q96" s="400">
        <f>Q93+R93+S93+Q94+R94+S94</f>
        <v>5529.46</v>
      </c>
      <c r="R96" s="414"/>
      <c r="S96" s="415"/>
      <c r="T96" s="141"/>
      <c r="U96" s="141"/>
      <c r="V96" s="141"/>
      <c r="W96" s="141"/>
      <c r="X96" s="141"/>
      <c r="Y96" s="141"/>
      <c r="Z96" s="141"/>
      <c r="AA96" s="67"/>
      <c r="AB96" s="85"/>
      <c r="AC96" s="86"/>
      <c r="AD96" s="68"/>
      <c r="AE96" s="68"/>
      <c r="AF96" s="68"/>
      <c r="AG96" s="68"/>
      <c r="AH96" s="417"/>
      <c r="AI96" s="417"/>
      <c r="AJ96" s="417"/>
      <c r="AK96" s="417"/>
    </row>
    <row r="97" spans="1:37" ht="22.5">
      <c r="A97" s="412"/>
      <c r="B97" s="133" t="s">
        <v>229</v>
      </c>
      <c r="C97" s="400">
        <f>C95+D95+E95+F95</f>
        <v>73002</v>
      </c>
      <c r="D97" s="414"/>
      <c r="E97" s="414"/>
      <c r="F97" s="415"/>
      <c r="G97" s="400">
        <f>G95+H95+I95</f>
        <v>10753</v>
      </c>
      <c r="H97" s="414"/>
      <c r="I97" s="415"/>
      <c r="J97" s="268"/>
      <c r="K97" s="268"/>
      <c r="L97" s="400">
        <f>L95+M95+N95</f>
        <v>2125</v>
      </c>
      <c r="M97" s="414"/>
      <c r="N97" s="415"/>
      <c r="O97" s="141"/>
      <c r="P97" s="85"/>
      <c r="Q97" s="400">
        <f>Q95+R95+S95</f>
        <v>6048</v>
      </c>
      <c r="R97" s="414"/>
      <c r="S97" s="415"/>
      <c r="T97" s="141"/>
      <c r="U97" s="141"/>
      <c r="V97" s="141"/>
      <c r="W97" s="141"/>
      <c r="X97" s="141"/>
      <c r="Y97" s="141"/>
      <c r="Z97" s="141"/>
      <c r="AA97" s="67"/>
      <c r="AB97" s="85"/>
      <c r="AC97" s="86"/>
      <c r="AD97" s="68"/>
      <c r="AE97" s="68"/>
      <c r="AF97" s="68"/>
      <c r="AG97" s="68"/>
      <c r="AH97" s="417"/>
      <c r="AI97" s="417"/>
      <c r="AJ97" s="417"/>
      <c r="AK97" s="417"/>
    </row>
    <row r="98" spans="1:37" ht="22.5">
      <c r="A98" s="413"/>
      <c r="B98" s="93" t="s">
        <v>223</v>
      </c>
      <c r="C98" s="406">
        <f>C96/C97</f>
        <v>0.87795022739103024</v>
      </c>
      <c r="D98" s="409"/>
      <c r="E98" s="409"/>
      <c r="F98" s="410"/>
      <c r="G98" s="406">
        <f>G96/G97</f>
        <v>0.8376267088254441</v>
      </c>
      <c r="H98" s="409"/>
      <c r="I98" s="410"/>
      <c r="J98" s="267"/>
      <c r="K98" s="267"/>
      <c r="L98" s="406">
        <f>L96/L97</f>
        <v>0.76654682352941184</v>
      </c>
      <c r="M98" s="409"/>
      <c r="N98" s="410"/>
      <c r="O98" s="142">
        <f>(O93+O94)/O95</f>
        <v>1</v>
      </c>
      <c r="P98" s="87">
        <f>(P93+P94)/P95</f>
        <v>0.87037270867478</v>
      </c>
      <c r="Q98" s="406">
        <f>Q96/Q97</f>
        <v>0.91426256613756618</v>
      </c>
      <c r="R98" s="409"/>
      <c r="S98" s="410"/>
      <c r="T98" s="142">
        <f t="shared" ref="T98:Z98" si="14">(T93+T94)/T95</f>
        <v>0.86476503759398493</v>
      </c>
      <c r="U98" s="142">
        <f t="shared" si="14"/>
        <v>0.6209006363191385</v>
      </c>
      <c r="V98" s="142">
        <f t="shared" si="14"/>
        <v>0.89639115250291035</v>
      </c>
      <c r="W98" s="142">
        <f t="shared" si="14"/>
        <v>0.99315068493150682</v>
      </c>
      <c r="X98" s="142">
        <f t="shared" si="14"/>
        <v>0.95030303030303021</v>
      </c>
      <c r="Y98" s="142">
        <f t="shared" si="14"/>
        <v>0.90196078431372551</v>
      </c>
      <c r="Z98" s="142">
        <f t="shared" si="14"/>
        <v>0.81707317073170727</v>
      </c>
      <c r="AA98" s="69"/>
      <c r="AB98" s="87">
        <f>(AB93+AB94)/AB95</f>
        <v>0.83016040416798231</v>
      </c>
      <c r="AC98" s="88">
        <f>(AC93+AC94)/AC95</f>
        <v>0.86412173345375298</v>
      </c>
      <c r="AD98" s="84" t="e">
        <f>AD93/$AG$173</f>
        <v>#DIV/0!</v>
      </c>
      <c r="AE98" s="84" t="e">
        <f>AE93/$AG$173</f>
        <v>#DIV/0!</v>
      </c>
      <c r="AF98" s="84" t="e">
        <f>AF93/$AG$173</f>
        <v>#DIV/0!</v>
      </c>
      <c r="AG98" s="134" t="e">
        <f>AG93/$AG$173</f>
        <v>#DIV/0!</v>
      </c>
      <c r="AH98" s="418"/>
      <c r="AI98" s="418"/>
      <c r="AJ98" s="418"/>
      <c r="AK98" s="418"/>
    </row>
    <row r="99" spans="1:37" ht="23.25">
      <c r="A99" s="411" t="s">
        <v>244</v>
      </c>
      <c r="B99" s="89" t="s">
        <v>225</v>
      </c>
      <c r="C99" s="147">
        <v>7907</v>
      </c>
      <c r="D99" s="147">
        <v>32886</v>
      </c>
      <c r="E99" s="147">
        <v>3872</v>
      </c>
      <c r="F99" s="147">
        <v>19430</v>
      </c>
      <c r="G99" s="147">
        <v>1609</v>
      </c>
      <c r="H99" s="147">
        <v>5214</v>
      </c>
      <c r="I99" s="147">
        <v>2410</v>
      </c>
      <c r="J99" s="147"/>
      <c r="K99" s="147"/>
      <c r="L99" s="147">
        <v>86</v>
      </c>
      <c r="M99" s="147">
        <v>828</v>
      </c>
      <c r="N99" s="147">
        <v>711</v>
      </c>
      <c r="O99" s="147">
        <v>151</v>
      </c>
      <c r="P99" s="85">
        <f>SUM(C99:O99)</f>
        <v>75104</v>
      </c>
      <c r="Q99" s="147">
        <v>1166</v>
      </c>
      <c r="R99" s="147">
        <v>2373</v>
      </c>
      <c r="S99" s="147">
        <v>1994</v>
      </c>
      <c r="T99" s="147">
        <v>2779</v>
      </c>
      <c r="U99" s="147">
        <v>2537</v>
      </c>
      <c r="V99" s="147">
        <v>782</v>
      </c>
      <c r="W99" s="147">
        <v>288</v>
      </c>
      <c r="X99" s="147">
        <v>787</v>
      </c>
      <c r="Y99" s="81">
        <v>184</v>
      </c>
      <c r="Z99" s="81">
        <v>134</v>
      </c>
      <c r="AA99" s="67"/>
      <c r="AB99" s="85">
        <f>SUM(Q99:AA99)</f>
        <v>13024</v>
      </c>
      <c r="AC99" s="86">
        <f>P99+AB99</f>
        <v>88128</v>
      </c>
      <c r="AD99" s="82">
        <v>15</v>
      </c>
      <c r="AE99" s="82">
        <v>5</v>
      </c>
      <c r="AF99" s="82">
        <v>1</v>
      </c>
      <c r="AG99" s="83">
        <f>SUM(AD99:AF99)</f>
        <v>21</v>
      </c>
      <c r="AH99" s="416">
        <v>1695</v>
      </c>
      <c r="AI99" s="416">
        <v>1848</v>
      </c>
      <c r="AJ99" s="416">
        <v>794</v>
      </c>
      <c r="AK99" s="416">
        <f>SUM(AH99:AJ104)</f>
        <v>4337</v>
      </c>
    </row>
    <row r="100" spans="1:37" ht="23.25">
      <c r="A100" s="412"/>
      <c r="B100" s="89" t="s">
        <v>226</v>
      </c>
      <c r="C100" s="147">
        <v>35.581499999999998</v>
      </c>
      <c r="D100" s="147">
        <v>147.98699999999999</v>
      </c>
      <c r="E100" s="147">
        <v>17.423999999999999</v>
      </c>
      <c r="F100" s="147">
        <v>87.434999999999988</v>
      </c>
      <c r="G100" s="147">
        <v>0</v>
      </c>
      <c r="H100" s="147">
        <v>0</v>
      </c>
      <c r="I100" s="147">
        <v>0</v>
      </c>
      <c r="J100" s="147"/>
      <c r="K100" s="147"/>
      <c r="L100" s="147">
        <v>0</v>
      </c>
      <c r="M100" s="147">
        <v>3.7259999999999995</v>
      </c>
      <c r="N100" s="147">
        <v>3.1994999999999996</v>
      </c>
      <c r="O100" s="147">
        <v>0</v>
      </c>
      <c r="P100" s="85">
        <f>SUM(C100:O100)</f>
        <v>295.35300000000001</v>
      </c>
      <c r="Q100" s="147">
        <v>32.659999999999997</v>
      </c>
      <c r="R100" s="147">
        <v>0</v>
      </c>
      <c r="S100" s="147">
        <v>0</v>
      </c>
      <c r="T100" s="147">
        <v>27.79</v>
      </c>
      <c r="U100" s="147">
        <v>0</v>
      </c>
      <c r="V100" s="147">
        <v>0</v>
      </c>
      <c r="W100" s="147">
        <v>0</v>
      </c>
      <c r="X100" s="147">
        <v>157.4</v>
      </c>
      <c r="Y100" s="147">
        <v>0</v>
      </c>
      <c r="Z100" s="81">
        <v>0</v>
      </c>
      <c r="AA100" s="67"/>
      <c r="AB100" s="85">
        <f>SUM(Q100:AA100)</f>
        <v>217.85</v>
      </c>
      <c r="AC100" s="86">
        <f>P100+AB100</f>
        <v>513.20299999999997</v>
      </c>
      <c r="AD100" s="82"/>
      <c r="AE100" s="82"/>
      <c r="AF100" s="82"/>
      <c r="AG100" s="83"/>
      <c r="AH100" s="417"/>
      <c r="AI100" s="417"/>
      <c r="AJ100" s="417"/>
      <c r="AK100" s="417"/>
    </row>
    <row r="101" spans="1:37" ht="22.5">
      <c r="A101" s="412"/>
      <c r="B101" s="133" t="s">
        <v>227</v>
      </c>
      <c r="C101" s="141">
        <v>9252</v>
      </c>
      <c r="D101" s="141">
        <v>37456</v>
      </c>
      <c r="E101" s="141">
        <v>4675</v>
      </c>
      <c r="F101" s="141">
        <v>21619</v>
      </c>
      <c r="G101" s="141">
        <v>1710</v>
      </c>
      <c r="H101" s="155">
        <v>763</v>
      </c>
      <c r="I101" s="141">
        <v>2553</v>
      </c>
      <c r="J101" s="141"/>
      <c r="K101" s="141"/>
      <c r="L101" s="141">
        <v>102</v>
      </c>
      <c r="M101" s="141">
        <v>876</v>
      </c>
      <c r="N101" s="141">
        <v>1147</v>
      </c>
      <c r="O101" s="141">
        <v>151</v>
      </c>
      <c r="P101" s="85">
        <f>SUM(C101:O101)</f>
        <v>80304</v>
      </c>
      <c r="Q101" s="141">
        <v>1262</v>
      </c>
      <c r="R101" s="141">
        <v>2766</v>
      </c>
      <c r="S101" s="141">
        <v>2020</v>
      </c>
      <c r="T101" s="141">
        <v>3192</v>
      </c>
      <c r="U101" s="155">
        <v>1132</v>
      </c>
      <c r="V101" s="141">
        <v>859</v>
      </c>
      <c r="W101" s="141">
        <v>292</v>
      </c>
      <c r="X101" s="141">
        <v>990</v>
      </c>
      <c r="Y101" s="141">
        <v>204</v>
      </c>
      <c r="Z101" s="141">
        <v>164</v>
      </c>
      <c r="AA101" s="67"/>
      <c r="AB101" s="85">
        <f>SUM(Q101:AA101)</f>
        <v>12881</v>
      </c>
      <c r="AC101" s="86">
        <f>P101+AB101</f>
        <v>93185</v>
      </c>
      <c r="AD101" s="68"/>
      <c r="AE101" s="68"/>
      <c r="AF101" s="68"/>
      <c r="AG101" s="68"/>
      <c r="AH101" s="417"/>
      <c r="AI101" s="417"/>
      <c r="AJ101" s="417"/>
      <c r="AK101" s="417"/>
    </row>
    <row r="102" spans="1:37" ht="22.5">
      <c r="A102" s="412"/>
      <c r="B102" s="133" t="s">
        <v>228</v>
      </c>
      <c r="C102" s="400">
        <f>C99+D99+E99+F99+C100+D100+E100+F100</f>
        <v>64383.427499999998</v>
      </c>
      <c r="D102" s="414"/>
      <c r="E102" s="414"/>
      <c r="F102" s="415"/>
      <c r="G102" s="400">
        <f>G99+H99+I99+G100+H100+I100</f>
        <v>9233</v>
      </c>
      <c r="H102" s="414"/>
      <c r="I102" s="415"/>
      <c r="J102" s="268"/>
      <c r="K102" s="268"/>
      <c r="L102" s="400">
        <f>L99+M99+N99+L100+M100+N100</f>
        <v>1631.9255000000001</v>
      </c>
      <c r="M102" s="414"/>
      <c r="N102" s="415"/>
      <c r="O102" s="141"/>
      <c r="P102" s="85"/>
      <c r="Q102" s="400">
        <f>Q99+R99+S99+Q100+R100+S100</f>
        <v>5565.66</v>
      </c>
      <c r="R102" s="414"/>
      <c r="S102" s="415"/>
      <c r="T102" s="141"/>
      <c r="U102" s="141"/>
      <c r="V102" s="141"/>
      <c r="W102" s="141"/>
      <c r="X102" s="141"/>
      <c r="Y102" s="141"/>
      <c r="Z102" s="141"/>
      <c r="AA102" s="67"/>
      <c r="AB102" s="85"/>
      <c r="AC102" s="86"/>
      <c r="AD102" s="68"/>
      <c r="AE102" s="68"/>
      <c r="AF102" s="68"/>
      <c r="AG102" s="68"/>
      <c r="AH102" s="417"/>
      <c r="AI102" s="417"/>
      <c r="AJ102" s="417"/>
      <c r="AK102" s="417"/>
    </row>
    <row r="103" spans="1:37" ht="22.5">
      <c r="A103" s="412"/>
      <c r="B103" s="133" t="s">
        <v>229</v>
      </c>
      <c r="C103" s="400">
        <f>C101+D101+E101+F101</f>
        <v>73002</v>
      </c>
      <c r="D103" s="414"/>
      <c r="E103" s="414"/>
      <c r="F103" s="415"/>
      <c r="G103" s="400">
        <f>G101+H101+I101</f>
        <v>5026</v>
      </c>
      <c r="H103" s="414"/>
      <c r="I103" s="415"/>
      <c r="J103" s="268"/>
      <c r="K103" s="268"/>
      <c r="L103" s="400">
        <f>L101+M101+N101</f>
        <v>2125</v>
      </c>
      <c r="M103" s="414"/>
      <c r="N103" s="415"/>
      <c r="O103" s="141"/>
      <c r="P103" s="85"/>
      <c r="Q103" s="400">
        <f>Q101+R101+S101</f>
        <v>6048</v>
      </c>
      <c r="R103" s="414"/>
      <c r="S103" s="415"/>
      <c r="T103" s="141"/>
      <c r="U103" s="141"/>
      <c r="V103" s="141"/>
      <c r="W103" s="141"/>
      <c r="X103" s="141"/>
      <c r="Y103" s="141"/>
      <c r="Z103" s="141"/>
      <c r="AA103" s="67"/>
      <c r="AB103" s="85"/>
      <c r="AC103" s="86"/>
      <c r="AD103" s="68"/>
      <c r="AE103" s="68"/>
      <c r="AF103" s="68"/>
      <c r="AG103" s="68"/>
      <c r="AH103" s="417"/>
      <c r="AI103" s="417"/>
      <c r="AJ103" s="417"/>
      <c r="AK103" s="417"/>
    </row>
    <row r="104" spans="1:37" ht="22.5">
      <c r="A104" s="413"/>
      <c r="B104" s="93" t="s">
        <v>223</v>
      </c>
      <c r="C104" s="406">
        <f>C102/C103</f>
        <v>0.88194059751787623</v>
      </c>
      <c r="D104" s="409"/>
      <c r="E104" s="409"/>
      <c r="F104" s="410"/>
      <c r="G104" s="406">
        <f>G102/G103</f>
        <v>1.8370473537604457</v>
      </c>
      <c r="H104" s="409"/>
      <c r="I104" s="410"/>
      <c r="J104" s="267"/>
      <c r="K104" s="267"/>
      <c r="L104" s="406">
        <f>L102/L103</f>
        <v>0.76796494117647063</v>
      </c>
      <c r="M104" s="409"/>
      <c r="N104" s="410"/>
      <c r="O104" s="142">
        <f>(O99+O100)/O101</f>
        <v>1</v>
      </c>
      <c r="P104" s="87">
        <f>(P99+P100)/P101</f>
        <v>0.93892400129507869</v>
      </c>
      <c r="Q104" s="406">
        <f>Q102/Q103</f>
        <v>0.92024801587301586</v>
      </c>
      <c r="R104" s="409"/>
      <c r="S104" s="410"/>
      <c r="T104" s="142">
        <f t="shared" ref="T104:Z104" si="15">(T99+T100)/T101</f>
        <v>0.87932017543859653</v>
      </c>
      <c r="U104" s="142">
        <f t="shared" si="15"/>
        <v>2.2411660777385158</v>
      </c>
      <c r="V104" s="142">
        <f t="shared" si="15"/>
        <v>0.910360884749709</v>
      </c>
      <c r="W104" s="142">
        <f t="shared" si="15"/>
        <v>0.98630136986301364</v>
      </c>
      <c r="X104" s="142">
        <f t="shared" si="15"/>
        <v>0.95393939393939386</v>
      </c>
      <c r="Y104" s="142">
        <f t="shared" si="15"/>
        <v>0.90196078431372551</v>
      </c>
      <c r="Z104" s="142">
        <f t="shared" si="15"/>
        <v>0.81707317073170727</v>
      </c>
      <c r="AA104" s="69"/>
      <c r="AB104" s="87">
        <f>(AB99+AB100)/AB101</f>
        <v>1.0280141293377845</v>
      </c>
      <c r="AC104" s="88">
        <f>(AC99+AC100)/AC101</f>
        <v>0.95123896549873899</v>
      </c>
      <c r="AD104" s="84" t="e">
        <f>AD99/$AG$173</f>
        <v>#DIV/0!</v>
      </c>
      <c r="AE104" s="84" t="e">
        <f>AE99/$AG$173</f>
        <v>#DIV/0!</v>
      </c>
      <c r="AF104" s="84" t="e">
        <f>AF99/$AG$173</f>
        <v>#DIV/0!</v>
      </c>
      <c r="AG104" s="134" t="e">
        <f>AG99/$AG$173</f>
        <v>#DIV/0!</v>
      </c>
      <c r="AH104" s="418"/>
      <c r="AI104" s="418"/>
      <c r="AJ104" s="418"/>
      <c r="AK104" s="418"/>
    </row>
    <row r="105" spans="1:37" ht="23.25">
      <c r="A105" s="411" t="s">
        <v>245</v>
      </c>
      <c r="B105" s="89" t="s">
        <v>225</v>
      </c>
      <c r="C105" s="147">
        <v>7788</v>
      </c>
      <c r="D105" s="147">
        <v>33121</v>
      </c>
      <c r="E105" s="147">
        <v>3962</v>
      </c>
      <c r="F105" s="147">
        <v>19352</v>
      </c>
      <c r="G105" s="147">
        <v>1600</v>
      </c>
      <c r="H105" s="147">
        <v>5185</v>
      </c>
      <c r="I105" s="147">
        <v>2439</v>
      </c>
      <c r="J105" s="147"/>
      <c r="K105" s="147"/>
      <c r="L105" s="147">
        <v>64</v>
      </c>
      <c r="M105" s="147">
        <v>837</v>
      </c>
      <c r="N105" s="147">
        <v>724</v>
      </c>
      <c r="O105" s="147">
        <v>151</v>
      </c>
      <c r="P105" s="85">
        <f>SUM(C105:O105)</f>
        <v>75223</v>
      </c>
      <c r="Q105" s="147">
        <v>1185</v>
      </c>
      <c r="R105" s="147">
        <v>2404</v>
      </c>
      <c r="S105" s="147">
        <v>1991</v>
      </c>
      <c r="T105" s="147">
        <v>2769</v>
      </c>
      <c r="U105" s="147">
        <v>2541</v>
      </c>
      <c r="V105" s="147">
        <v>785</v>
      </c>
      <c r="W105" s="147">
        <v>285</v>
      </c>
      <c r="X105" s="147">
        <v>789</v>
      </c>
      <c r="Y105" s="81">
        <v>186</v>
      </c>
      <c r="Z105" s="81">
        <v>135</v>
      </c>
      <c r="AA105" s="67"/>
      <c r="AB105" s="85">
        <f>SUM(Q105:AA105)</f>
        <v>13070</v>
      </c>
      <c r="AC105" s="86">
        <f>P105+AB105</f>
        <v>88293</v>
      </c>
      <c r="AD105" s="82">
        <v>16</v>
      </c>
      <c r="AE105" s="82">
        <v>3</v>
      </c>
      <c r="AF105" s="82">
        <v>2</v>
      </c>
      <c r="AG105" s="83">
        <f>SUM(AD105:AF105)</f>
        <v>21</v>
      </c>
      <c r="AH105" s="416">
        <v>1926</v>
      </c>
      <c r="AI105" s="416">
        <v>2996</v>
      </c>
      <c r="AJ105" s="416">
        <v>1238</v>
      </c>
      <c r="AK105" s="416">
        <f>SUM(AH105:AJ110)</f>
        <v>6160</v>
      </c>
    </row>
    <row r="106" spans="1:37" ht="23.25">
      <c r="A106" s="412"/>
      <c r="B106" s="89" t="s">
        <v>226</v>
      </c>
      <c r="C106" s="147">
        <v>35.045999999999999</v>
      </c>
      <c r="D106" s="147">
        <v>149.0445</v>
      </c>
      <c r="E106" s="147">
        <v>17.828999999999997</v>
      </c>
      <c r="F106" s="147">
        <v>87.083999999999989</v>
      </c>
      <c r="G106" s="147">
        <v>0</v>
      </c>
      <c r="H106" s="147">
        <v>0</v>
      </c>
      <c r="I106" s="147">
        <v>0</v>
      </c>
      <c r="J106" s="147"/>
      <c r="K106" s="147"/>
      <c r="L106" s="147">
        <v>0</v>
      </c>
      <c r="M106" s="147">
        <v>3.7664999999999997</v>
      </c>
      <c r="N106" s="147">
        <v>3.2579999999999996</v>
      </c>
      <c r="O106" s="147">
        <v>0</v>
      </c>
      <c r="P106" s="85">
        <f>SUM(C106:O106)</f>
        <v>296.02799999999996</v>
      </c>
      <c r="Q106" s="147">
        <v>32.85</v>
      </c>
      <c r="R106" s="147">
        <v>0</v>
      </c>
      <c r="S106" s="147">
        <v>0</v>
      </c>
      <c r="T106" s="147">
        <v>27.69</v>
      </c>
      <c r="U106" s="147">
        <v>0</v>
      </c>
      <c r="V106" s="147">
        <v>0</v>
      </c>
      <c r="W106" s="147">
        <v>0</v>
      </c>
      <c r="X106" s="147">
        <v>157.80000000000001</v>
      </c>
      <c r="Y106" s="147">
        <v>0</v>
      </c>
      <c r="Z106" s="81">
        <v>0</v>
      </c>
      <c r="AA106" s="67"/>
      <c r="AB106" s="85">
        <f>SUM(Q106:AA106)</f>
        <v>218.34000000000003</v>
      </c>
      <c r="AC106" s="86">
        <f>P106+AB106</f>
        <v>514.36799999999994</v>
      </c>
      <c r="AD106" s="82"/>
      <c r="AE106" s="82"/>
      <c r="AF106" s="82"/>
      <c r="AG106" s="83"/>
      <c r="AH106" s="417"/>
      <c r="AI106" s="417"/>
      <c r="AJ106" s="417"/>
      <c r="AK106" s="417"/>
    </row>
    <row r="107" spans="1:37" ht="22.5">
      <c r="A107" s="412"/>
      <c r="B107" s="133" t="s">
        <v>227</v>
      </c>
      <c r="C107" s="141">
        <v>9252</v>
      </c>
      <c r="D107" s="141">
        <v>37456</v>
      </c>
      <c r="E107" s="141">
        <v>4675</v>
      </c>
      <c r="F107" s="141">
        <v>21619</v>
      </c>
      <c r="G107" s="141">
        <v>1710</v>
      </c>
      <c r="H107" s="155">
        <v>763</v>
      </c>
      <c r="I107" s="141">
        <v>2553</v>
      </c>
      <c r="J107" s="141"/>
      <c r="K107" s="141"/>
      <c r="L107" s="141">
        <v>102</v>
      </c>
      <c r="M107" s="141">
        <v>876</v>
      </c>
      <c r="N107" s="141">
        <v>1147</v>
      </c>
      <c r="O107" s="141">
        <v>151</v>
      </c>
      <c r="P107" s="85">
        <f>SUM(C107:O107)</f>
        <v>80304</v>
      </c>
      <c r="Q107" s="141">
        <v>1262</v>
      </c>
      <c r="R107" s="141">
        <v>2766</v>
      </c>
      <c r="S107" s="141">
        <v>2020</v>
      </c>
      <c r="T107" s="141">
        <v>3192</v>
      </c>
      <c r="U107" s="155">
        <v>1132</v>
      </c>
      <c r="V107" s="141">
        <v>859</v>
      </c>
      <c r="W107" s="141">
        <v>292</v>
      </c>
      <c r="X107" s="141">
        <v>990</v>
      </c>
      <c r="Y107" s="141">
        <v>204</v>
      </c>
      <c r="Z107" s="141">
        <v>164</v>
      </c>
      <c r="AA107" s="67"/>
      <c r="AB107" s="85">
        <f>SUM(Q107:AA107)</f>
        <v>12881</v>
      </c>
      <c r="AC107" s="86">
        <f>P107+AB107</f>
        <v>93185</v>
      </c>
      <c r="AD107" s="68"/>
      <c r="AE107" s="68"/>
      <c r="AF107" s="68"/>
      <c r="AG107" s="68"/>
      <c r="AH107" s="417"/>
      <c r="AI107" s="417"/>
      <c r="AJ107" s="417"/>
      <c r="AK107" s="417"/>
    </row>
    <row r="108" spans="1:37" ht="22.5">
      <c r="A108" s="412"/>
      <c r="B108" s="133" t="s">
        <v>228</v>
      </c>
      <c r="C108" s="400">
        <f>C105+D105+E105+F105+C106+D106+E106+F106</f>
        <v>64512.003500000006</v>
      </c>
      <c r="D108" s="414"/>
      <c r="E108" s="414"/>
      <c r="F108" s="415"/>
      <c r="G108" s="400">
        <f>G105+H105+I105+G106+H106+I106</f>
        <v>9224</v>
      </c>
      <c r="H108" s="414"/>
      <c r="I108" s="415"/>
      <c r="J108" s="268"/>
      <c r="K108" s="268"/>
      <c r="L108" s="400">
        <f>L105+M105+N105+L106+M106+N106</f>
        <v>1632.0245</v>
      </c>
      <c r="M108" s="414"/>
      <c r="N108" s="415"/>
      <c r="O108" s="141"/>
      <c r="P108" s="85"/>
      <c r="Q108" s="400">
        <f>Q105+R105+S105+Q106+R106+S106</f>
        <v>5612.85</v>
      </c>
      <c r="R108" s="414"/>
      <c r="S108" s="415"/>
      <c r="T108" s="141"/>
      <c r="U108" s="141"/>
      <c r="V108" s="141"/>
      <c r="W108" s="141"/>
      <c r="X108" s="141"/>
      <c r="Y108" s="141"/>
      <c r="Z108" s="141"/>
      <c r="AA108" s="67"/>
      <c r="AB108" s="85"/>
      <c r="AC108" s="86"/>
      <c r="AD108" s="68"/>
      <c r="AE108" s="68"/>
      <c r="AF108" s="68"/>
      <c r="AG108" s="68"/>
      <c r="AH108" s="417"/>
      <c r="AI108" s="417"/>
      <c r="AJ108" s="417"/>
      <c r="AK108" s="417"/>
    </row>
    <row r="109" spans="1:37" ht="22.5">
      <c r="A109" s="412"/>
      <c r="B109" s="133" t="s">
        <v>229</v>
      </c>
      <c r="C109" s="400">
        <f>C107+D107+E107+F107</f>
        <v>73002</v>
      </c>
      <c r="D109" s="414"/>
      <c r="E109" s="414"/>
      <c r="F109" s="415"/>
      <c r="G109" s="400">
        <f>G107+H107+I107</f>
        <v>5026</v>
      </c>
      <c r="H109" s="414"/>
      <c r="I109" s="415"/>
      <c r="J109" s="268"/>
      <c r="K109" s="268"/>
      <c r="L109" s="400">
        <f>L107+M107+N107</f>
        <v>2125</v>
      </c>
      <c r="M109" s="414"/>
      <c r="N109" s="415"/>
      <c r="O109" s="141"/>
      <c r="P109" s="85"/>
      <c r="Q109" s="400">
        <f>Q107+R107+S107</f>
        <v>6048</v>
      </c>
      <c r="R109" s="414"/>
      <c r="S109" s="415"/>
      <c r="T109" s="141"/>
      <c r="U109" s="141"/>
      <c r="V109" s="141"/>
      <c r="W109" s="141"/>
      <c r="X109" s="141"/>
      <c r="Y109" s="141"/>
      <c r="Z109" s="141"/>
      <c r="AA109" s="67"/>
      <c r="AB109" s="85"/>
      <c r="AC109" s="86"/>
      <c r="AD109" s="68"/>
      <c r="AE109" s="68"/>
      <c r="AF109" s="68"/>
      <c r="AG109" s="68"/>
      <c r="AH109" s="417"/>
      <c r="AI109" s="417"/>
      <c r="AJ109" s="417"/>
      <c r="AK109" s="417"/>
    </row>
    <row r="110" spans="1:37" ht="22.5">
      <c r="A110" s="413"/>
      <c r="B110" s="93" t="s">
        <v>223</v>
      </c>
      <c r="C110" s="406">
        <f>C108/C109</f>
        <v>0.8837018643324841</v>
      </c>
      <c r="D110" s="409"/>
      <c r="E110" s="409"/>
      <c r="F110" s="410"/>
      <c r="G110" s="406">
        <f>G108/G109</f>
        <v>1.8352566653402309</v>
      </c>
      <c r="H110" s="409"/>
      <c r="I110" s="410"/>
      <c r="J110" s="267"/>
      <c r="K110" s="267"/>
      <c r="L110" s="406">
        <f>L108/L109</f>
        <v>0.76801152941176465</v>
      </c>
      <c r="M110" s="409"/>
      <c r="N110" s="410"/>
      <c r="O110" s="142">
        <f>(O105+O106)/O107</f>
        <v>1</v>
      </c>
      <c r="P110" s="87">
        <f>(P105+P106)/P107</f>
        <v>0.94041427575214198</v>
      </c>
      <c r="Q110" s="406">
        <f>Q108/Q109</f>
        <v>0.9280505952380953</v>
      </c>
      <c r="R110" s="409"/>
      <c r="S110" s="410"/>
      <c r="T110" s="142">
        <f t="shared" ref="T110:Z110" si="16">(T105+T106)/T107</f>
        <v>0.87615601503759399</v>
      </c>
      <c r="U110" s="142">
        <f t="shared" si="16"/>
        <v>2.2446996466431095</v>
      </c>
      <c r="V110" s="142">
        <f t="shared" si="16"/>
        <v>0.91385331781140866</v>
      </c>
      <c r="W110" s="142">
        <f t="shared" si="16"/>
        <v>0.97602739726027399</v>
      </c>
      <c r="X110" s="142">
        <f t="shared" si="16"/>
        <v>0.9563636363636363</v>
      </c>
      <c r="Y110" s="142">
        <f t="shared" si="16"/>
        <v>0.91176470588235292</v>
      </c>
      <c r="Z110" s="142">
        <f t="shared" si="16"/>
        <v>0.82317073170731703</v>
      </c>
      <c r="AA110" s="69"/>
      <c r="AB110" s="87">
        <f>(AB105+AB106)/AB107</f>
        <v>1.0316233211707166</v>
      </c>
      <c r="AC110" s="88">
        <f>(AC105+AC106)/AC107</f>
        <v>0.95302213875623765</v>
      </c>
      <c r="AD110" s="84" t="e">
        <f>AD105/$AG$173</f>
        <v>#DIV/0!</v>
      </c>
      <c r="AE110" s="84" t="e">
        <f>AE105/$AG$173</f>
        <v>#DIV/0!</v>
      </c>
      <c r="AF110" s="84" t="e">
        <f>AF105/$AG$173</f>
        <v>#DIV/0!</v>
      </c>
      <c r="AG110" s="134" t="e">
        <f>AG105/$AG$173</f>
        <v>#DIV/0!</v>
      </c>
      <c r="AH110" s="418"/>
      <c r="AI110" s="418"/>
      <c r="AJ110" s="418"/>
      <c r="AK110" s="418"/>
    </row>
    <row r="111" spans="1:37" ht="23.25">
      <c r="A111" s="411" t="s">
        <v>246</v>
      </c>
      <c r="B111" s="89" t="s">
        <v>225</v>
      </c>
      <c r="C111" s="147">
        <v>7811</v>
      </c>
      <c r="D111" s="147">
        <v>33172</v>
      </c>
      <c r="E111" s="147">
        <v>3718</v>
      </c>
      <c r="F111" s="147">
        <v>19196</v>
      </c>
      <c r="G111" s="147">
        <v>1617</v>
      </c>
      <c r="H111" s="147">
        <v>5221</v>
      </c>
      <c r="I111" s="147">
        <v>2447</v>
      </c>
      <c r="J111" s="147"/>
      <c r="K111" s="147"/>
      <c r="L111" s="147">
        <v>77</v>
      </c>
      <c r="M111" s="147">
        <v>835</v>
      </c>
      <c r="N111" s="147">
        <v>727</v>
      </c>
      <c r="O111" s="147">
        <v>151</v>
      </c>
      <c r="P111" s="85">
        <f>SUM(C111:O111)</f>
        <v>74972</v>
      </c>
      <c r="Q111" s="147">
        <v>1187</v>
      </c>
      <c r="R111" s="147">
        <v>2413</v>
      </c>
      <c r="S111" s="147">
        <v>2001</v>
      </c>
      <c r="T111" s="147">
        <v>2778</v>
      </c>
      <c r="U111" s="147">
        <v>2365</v>
      </c>
      <c r="V111" s="147">
        <v>778</v>
      </c>
      <c r="W111" s="147">
        <v>286</v>
      </c>
      <c r="X111" s="147">
        <v>785</v>
      </c>
      <c r="Y111" s="81">
        <v>192</v>
      </c>
      <c r="Z111" s="81">
        <v>135</v>
      </c>
      <c r="AA111" s="67"/>
      <c r="AB111" s="85">
        <f>SUM(Q111:AA111)</f>
        <v>12920</v>
      </c>
      <c r="AC111" s="86">
        <f>P111+AB111</f>
        <v>87892</v>
      </c>
      <c r="AD111" s="82">
        <v>16</v>
      </c>
      <c r="AE111" s="82">
        <v>4</v>
      </c>
      <c r="AF111" s="82">
        <v>1</v>
      </c>
      <c r="AG111" s="83">
        <f>SUM(AD111:AF111)</f>
        <v>21</v>
      </c>
      <c r="AH111" s="416">
        <v>2060</v>
      </c>
      <c r="AI111" s="416">
        <v>3260</v>
      </c>
      <c r="AJ111" s="416">
        <v>806</v>
      </c>
      <c r="AK111" s="416">
        <f>SUM(AH111:AJ116)</f>
        <v>6126</v>
      </c>
    </row>
    <row r="112" spans="1:37" ht="23.25">
      <c r="A112" s="412"/>
      <c r="B112" s="89" t="s">
        <v>226</v>
      </c>
      <c r="C112" s="147">
        <v>35.149499999999996</v>
      </c>
      <c r="D112" s="147">
        <v>149.274</v>
      </c>
      <c r="E112" s="147">
        <v>16.730999999999998</v>
      </c>
      <c r="F112" s="147">
        <v>86.381999999999991</v>
      </c>
      <c r="G112" s="147">
        <v>0</v>
      </c>
      <c r="H112" s="147">
        <v>0</v>
      </c>
      <c r="I112" s="147">
        <v>0</v>
      </c>
      <c r="J112" s="147"/>
      <c r="K112" s="147"/>
      <c r="L112" s="147">
        <v>0</v>
      </c>
      <c r="M112" s="147">
        <v>3.7574999999999998</v>
      </c>
      <c r="N112" s="147">
        <v>3.2714999999999996</v>
      </c>
      <c r="O112" s="147">
        <v>0</v>
      </c>
      <c r="P112" s="85">
        <f>SUM(C112:O112)</f>
        <v>294.56549999999999</v>
      </c>
      <c r="Q112" s="147">
        <v>32.870000000000005</v>
      </c>
      <c r="R112" s="147">
        <v>0</v>
      </c>
      <c r="S112" s="147">
        <v>0</v>
      </c>
      <c r="T112" s="147">
        <v>27.78</v>
      </c>
      <c r="U112" s="147">
        <v>0</v>
      </c>
      <c r="V112" s="147">
        <v>0</v>
      </c>
      <c r="W112" s="147">
        <v>0</v>
      </c>
      <c r="X112" s="147">
        <v>157</v>
      </c>
      <c r="Y112" s="147">
        <v>0</v>
      </c>
      <c r="Z112" s="81">
        <v>0</v>
      </c>
      <c r="AA112" s="67"/>
      <c r="AB112" s="85">
        <f>SUM(Q112:AA112)</f>
        <v>217.65</v>
      </c>
      <c r="AC112" s="86">
        <f>P112+AB112</f>
        <v>512.21550000000002</v>
      </c>
      <c r="AD112" s="82"/>
      <c r="AE112" s="82"/>
      <c r="AF112" s="82"/>
      <c r="AG112" s="83"/>
      <c r="AH112" s="417"/>
      <c r="AI112" s="417"/>
      <c r="AJ112" s="417"/>
      <c r="AK112" s="417"/>
    </row>
    <row r="113" spans="1:37" ht="22.5">
      <c r="A113" s="412"/>
      <c r="B113" s="133" t="s">
        <v>227</v>
      </c>
      <c r="C113" s="141">
        <v>9252</v>
      </c>
      <c r="D113" s="141">
        <v>37456</v>
      </c>
      <c r="E113" s="141">
        <v>4675</v>
      </c>
      <c r="F113" s="141">
        <v>21619</v>
      </c>
      <c r="G113" s="141">
        <v>1710</v>
      </c>
      <c r="H113" s="155">
        <v>763</v>
      </c>
      <c r="I113" s="141">
        <v>2553</v>
      </c>
      <c r="J113" s="141"/>
      <c r="K113" s="141"/>
      <c r="L113" s="141">
        <v>102</v>
      </c>
      <c r="M113" s="141">
        <v>876</v>
      </c>
      <c r="N113" s="141">
        <v>1147</v>
      </c>
      <c r="O113" s="141">
        <v>151</v>
      </c>
      <c r="P113" s="85">
        <f>SUM(C113:O113)</f>
        <v>80304</v>
      </c>
      <c r="Q113" s="141">
        <v>1262</v>
      </c>
      <c r="R113" s="141">
        <v>2766</v>
      </c>
      <c r="S113" s="141">
        <v>2020</v>
      </c>
      <c r="T113" s="141">
        <v>3192</v>
      </c>
      <c r="U113" s="155">
        <v>1132</v>
      </c>
      <c r="V113" s="141">
        <v>859</v>
      </c>
      <c r="W113" s="141">
        <v>292</v>
      </c>
      <c r="X113" s="141">
        <v>990</v>
      </c>
      <c r="Y113" s="141">
        <v>204</v>
      </c>
      <c r="Z113" s="141">
        <v>164</v>
      </c>
      <c r="AA113" s="67"/>
      <c r="AB113" s="85">
        <f>SUM(Q113:AA113)</f>
        <v>12881</v>
      </c>
      <c r="AC113" s="86">
        <f>P113+AB113</f>
        <v>93185</v>
      </c>
      <c r="AD113" s="68"/>
      <c r="AE113" s="68"/>
      <c r="AF113" s="68"/>
      <c r="AG113" s="68"/>
      <c r="AH113" s="417"/>
      <c r="AI113" s="417"/>
      <c r="AJ113" s="417"/>
      <c r="AK113" s="417"/>
    </row>
    <row r="114" spans="1:37" ht="22.5">
      <c r="A114" s="412"/>
      <c r="B114" s="133" t="s">
        <v>228</v>
      </c>
      <c r="C114" s="400">
        <f>C111+D111+E111+F111+C112+D112+E112+F112</f>
        <v>64184.536499999995</v>
      </c>
      <c r="D114" s="414"/>
      <c r="E114" s="414"/>
      <c r="F114" s="415"/>
      <c r="G114" s="400">
        <f>G111+H111+I111+G112+H112+I112</f>
        <v>9285</v>
      </c>
      <c r="H114" s="414"/>
      <c r="I114" s="415"/>
      <c r="J114" s="268"/>
      <c r="K114" s="268"/>
      <c r="L114" s="400">
        <f>L111+M111+N111+L112+M112+N112</f>
        <v>1646.029</v>
      </c>
      <c r="M114" s="414"/>
      <c r="N114" s="415"/>
      <c r="O114" s="141"/>
      <c r="P114" s="85"/>
      <c r="Q114" s="400">
        <f>Q111+R111+S111+Q112+R112+S112</f>
        <v>5633.87</v>
      </c>
      <c r="R114" s="414"/>
      <c r="S114" s="415"/>
      <c r="T114" s="141"/>
      <c r="U114" s="141"/>
      <c r="V114" s="141"/>
      <c r="W114" s="141"/>
      <c r="X114" s="141"/>
      <c r="Y114" s="141"/>
      <c r="Z114" s="141"/>
      <c r="AA114" s="67"/>
      <c r="AB114" s="85"/>
      <c r="AC114" s="86"/>
      <c r="AD114" s="68"/>
      <c r="AE114" s="68"/>
      <c r="AF114" s="68"/>
      <c r="AG114" s="68"/>
      <c r="AH114" s="417"/>
      <c r="AI114" s="417"/>
      <c r="AJ114" s="417"/>
      <c r="AK114" s="417"/>
    </row>
    <row r="115" spans="1:37" ht="22.5">
      <c r="A115" s="412"/>
      <c r="B115" s="133" t="s">
        <v>229</v>
      </c>
      <c r="C115" s="400">
        <f>C113+D113+E113+F113</f>
        <v>73002</v>
      </c>
      <c r="D115" s="414"/>
      <c r="E115" s="414"/>
      <c r="F115" s="415"/>
      <c r="G115" s="400">
        <f>G113+H113+I113</f>
        <v>5026</v>
      </c>
      <c r="H115" s="414"/>
      <c r="I115" s="415"/>
      <c r="J115" s="268"/>
      <c r="K115" s="268"/>
      <c r="L115" s="400">
        <f>L113+M113+N113</f>
        <v>2125</v>
      </c>
      <c r="M115" s="414"/>
      <c r="N115" s="415"/>
      <c r="O115" s="141"/>
      <c r="P115" s="85"/>
      <c r="Q115" s="400">
        <f>Q113+R113+S113</f>
        <v>6048</v>
      </c>
      <c r="R115" s="414"/>
      <c r="S115" s="415"/>
      <c r="T115" s="141"/>
      <c r="U115" s="141"/>
      <c r="V115" s="141"/>
      <c r="W115" s="141"/>
      <c r="X115" s="141"/>
      <c r="Y115" s="141"/>
      <c r="Z115" s="141"/>
      <c r="AA115" s="67"/>
      <c r="AB115" s="85"/>
      <c r="AC115" s="86"/>
      <c r="AD115" s="68"/>
      <c r="AE115" s="68"/>
      <c r="AF115" s="68"/>
      <c r="AG115" s="68"/>
      <c r="AH115" s="417"/>
      <c r="AI115" s="417"/>
      <c r="AJ115" s="417"/>
      <c r="AK115" s="417"/>
    </row>
    <row r="116" spans="1:37" ht="22.5">
      <c r="A116" s="413"/>
      <c r="B116" s="93" t="s">
        <v>223</v>
      </c>
      <c r="C116" s="406">
        <f>C114/C115</f>
        <v>0.87921613791402964</v>
      </c>
      <c r="D116" s="409"/>
      <c r="E116" s="409"/>
      <c r="F116" s="410"/>
      <c r="G116" s="406">
        <f>G114/G115</f>
        <v>1.8473935535216872</v>
      </c>
      <c r="H116" s="409"/>
      <c r="I116" s="410"/>
      <c r="J116" s="267"/>
      <c r="K116" s="267"/>
      <c r="L116" s="406">
        <f>L114/L115</f>
        <v>0.77460188235294114</v>
      </c>
      <c r="M116" s="409"/>
      <c r="N116" s="410"/>
      <c r="O116" s="142">
        <f>(O111+O112)/O113</f>
        <v>1</v>
      </c>
      <c r="P116" s="87">
        <f>(P111+P112)/P113</f>
        <v>0.9372704410739191</v>
      </c>
      <c r="Q116" s="406">
        <f>Q114/Q115</f>
        <v>0.93152612433862436</v>
      </c>
      <c r="R116" s="409"/>
      <c r="S116" s="410"/>
      <c r="T116" s="142">
        <f t="shared" ref="T116:Z116" si="17">(T111+T112)/T113</f>
        <v>0.87900375939849629</v>
      </c>
      <c r="U116" s="142">
        <f t="shared" si="17"/>
        <v>2.0892226148409896</v>
      </c>
      <c r="V116" s="142">
        <f t="shared" si="17"/>
        <v>0.90570430733410945</v>
      </c>
      <c r="W116" s="142">
        <f t="shared" si="17"/>
        <v>0.97945205479452058</v>
      </c>
      <c r="X116" s="142">
        <f t="shared" si="17"/>
        <v>0.95151515151515154</v>
      </c>
      <c r="Y116" s="142">
        <f t="shared" si="17"/>
        <v>0.94117647058823528</v>
      </c>
      <c r="Z116" s="142">
        <f t="shared" si="17"/>
        <v>0.82317073170731703</v>
      </c>
      <c r="AA116" s="69"/>
      <c r="AB116" s="87">
        <f>(AB111+AB112)/AB113</f>
        <v>1.0199246952876329</v>
      </c>
      <c r="AC116" s="88">
        <f>(AC111+AC112)/AC113</f>
        <v>0.94869577185169296</v>
      </c>
      <c r="AD116" s="84" t="e">
        <f>AD111/$AG$173</f>
        <v>#DIV/0!</v>
      </c>
      <c r="AE116" s="84" t="e">
        <f>AE111/$AG$173</f>
        <v>#DIV/0!</v>
      </c>
      <c r="AF116" s="84" t="e">
        <f>AF111/$AG$173</f>
        <v>#DIV/0!</v>
      </c>
      <c r="AG116" s="134" t="e">
        <f>AG111/$AG$173</f>
        <v>#DIV/0!</v>
      </c>
      <c r="AH116" s="418"/>
      <c r="AI116" s="418"/>
      <c r="AJ116" s="418"/>
      <c r="AK116" s="418"/>
    </row>
    <row r="117" spans="1:37" ht="23.25">
      <c r="A117" s="411" t="s">
        <v>247</v>
      </c>
      <c r="B117" s="89" t="s">
        <v>225</v>
      </c>
      <c r="C117" s="147">
        <v>7854</v>
      </c>
      <c r="D117" s="147">
        <v>33502</v>
      </c>
      <c r="E117" s="147">
        <v>3777</v>
      </c>
      <c r="F117" s="147">
        <v>19369</v>
      </c>
      <c r="G117" s="147">
        <v>1620</v>
      </c>
      <c r="H117" s="147">
        <v>5227</v>
      </c>
      <c r="I117" s="147">
        <v>2418</v>
      </c>
      <c r="J117" s="147"/>
      <c r="K117" s="147"/>
      <c r="L117" s="147">
        <v>85</v>
      </c>
      <c r="M117" s="147">
        <v>829</v>
      </c>
      <c r="N117" s="147">
        <v>648</v>
      </c>
      <c r="O117" s="147">
        <v>151</v>
      </c>
      <c r="P117" s="85">
        <f>SUM(C117:O117)</f>
        <v>75480</v>
      </c>
      <c r="Q117" s="147">
        <v>1172</v>
      </c>
      <c r="R117" s="147">
        <v>2419</v>
      </c>
      <c r="S117" s="147">
        <v>2001</v>
      </c>
      <c r="T117" s="147">
        <v>2810</v>
      </c>
      <c r="U117" s="147">
        <v>2437</v>
      </c>
      <c r="V117" s="147">
        <v>780</v>
      </c>
      <c r="W117" s="147">
        <v>287</v>
      </c>
      <c r="X117" s="147">
        <v>792</v>
      </c>
      <c r="Y117" s="81">
        <v>197</v>
      </c>
      <c r="Z117" s="81">
        <v>135</v>
      </c>
      <c r="AA117" s="67"/>
      <c r="AB117" s="85">
        <f>SUM(Q117:AA117)</f>
        <v>13030</v>
      </c>
      <c r="AC117" s="86">
        <f>P117+AB117</f>
        <v>88510</v>
      </c>
      <c r="AD117" s="82">
        <v>16</v>
      </c>
      <c r="AE117" s="82">
        <v>4</v>
      </c>
      <c r="AF117" s="82">
        <v>1</v>
      </c>
      <c r="AG117" s="83">
        <f>SUM(AD117:AF117)</f>
        <v>21</v>
      </c>
      <c r="AH117" s="416">
        <v>2287</v>
      </c>
      <c r="AI117" s="416">
        <v>2214</v>
      </c>
      <c r="AJ117" s="416">
        <v>545</v>
      </c>
      <c r="AK117" s="416">
        <f>SUM(AH117:AJ122)</f>
        <v>5046</v>
      </c>
    </row>
    <row r="118" spans="1:37" ht="23.25">
      <c r="A118" s="412"/>
      <c r="B118" s="89" t="s">
        <v>226</v>
      </c>
      <c r="C118" s="147">
        <v>35.342999999999996</v>
      </c>
      <c r="D118" s="147">
        <v>150.75899999999999</v>
      </c>
      <c r="E118" s="147">
        <v>16.996499999999997</v>
      </c>
      <c r="F118" s="147">
        <v>87.160499999999999</v>
      </c>
      <c r="G118" s="147">
        <v>0</v>
      </c>
      <c r="H118" s="147">
        <v>0</v>
      </c>
      <c r="I118" s="147">
        <v>0</v>
      </c>
      <c r="J118" s="147"/>
      <c r="K118" s="147"/>
      <c r="L118" s="147">
        <v>0</v>
      </c>
      <c r="M118" s="147">
        <v>3.7304999999999997</v>
      </c>
      <c r="N118" s="147">
        <v>2.9159999999999999</v>
      </c>
      <c r="O118" s="147">
        <v>0</v>
      </c>
      <c r="P118" s="85">
        <f>SUM(C118:O118)</f>
        <v>296.90549999999996</v>
      </c>
      <c r="Q118" s="147">
        <v>32.72</v>
      </c>
      <c r="R118" s="147">
        <v>0</v>
      </c>
      <c r="S118" s="147">
        <v>0</v>
      </c>
      <c r="T118" s="147">
        <v>28.1</v>
      </c>
      <c r="U118" s="147">
        <v>0</v>
      </c>
      <c r="V118" s="147">
        <v>0</v>
      </c>
      <c r="W118" s="147">
        <v>0</v>
      </c>
      <c r="X118" s="147">
        <v>158.4</v>
      </c>
      <c r="Y118" s="147">
        <v>0</v>
      </c>
      <c r="Z118" s="81">
        <v>0</v>
      </c>
      <c r="AA118" s="67"/>
      <c r="AB118" s="85">
        <f>SUM(Q118:AA118)</f>
        <v>219.22</v>
      </c>
      <c r="AC118" s="86">
        <f>P118+AB118</f>
        <v>516.12549999999999</v>
      </c>
      <c r="AD118" s="82"/>
      <c r="AE118" s="82"/>
      <c r="AF118" s="82"/>
      <c r="AG118" s="83"/>
      <c r="AH118" s="417"/>
      <c r="AI118" s="417"/>
      <c r="AJ118" s="417"/>
      <c r="AK118" s="417"/>
    </row>
    <row r="119" spans="1:37" ht="22.5">
      <c r="A119" s="412"/>
      <c r="B119" s="133" t="s">
        <v>227</v>
      </c>
      <c r="C119" s="141">
        <v>9252</v>
      </c>
      <c r="D119" s="141">
        <v>37456</v>
      </c>
      <c r="E119" s="141">
        <v>4675</v>
      </c>
      <c r="F119" s="141">
        <v>21619</v>
      </c>
      <c r="G119" s="141">
        <v>1710</v>
      </c>
      <c r="H119" s="155">
        <v>763</v>
      </c>
      <c r="I119" s="141">
        <v>2553</v>
      </c>
      <c r="J119" s="141"/>
      <c r="K119" s="141"/>
      <c r="L119" s="141">
        <v>102</v>
      </c>
      <c r="M119" s="141">
        <v>876</v>
      </c>
      <c r="N119" s="141">
        <v>1147</v>
      </c>
      <c r="O119" s="141">
        <v>151</v>
      </c>
      <c r="P119" s="85">
        <f>SUM(C119:O119)</f>
        <v>80304</v>
      </c>
      <c r="Q119" s="141">
        <v>1262</v>
      </c>
      <c r="R119" s="141">
        <v>2766</v>
      </c>
      <c r="S119" s="141">
        <v>2020</v>
      </c>
      <c r="T119" s="141">
        <v>3192</v>
      </c>
      <c r="U119" s="155">
        <v>1132</v>
      </c>
      <c r="V119" s="141">
        <v>859</v>
      </c>
      <c r="W119" s="141">
        <v>292</v>
      </c>
      <c r="X119" s="141">
        <v>990</v>
      </c>
      <c r="Y119" s="141">
        <v>204</v>
      </c>
      <c r="Z119" s="141">
        <v>164</v>
      </c>
      <c r="AA119" s="67"/>
      <c r="AB119" s="85">
        <f>SUM(Q119:AA119)</f>
        <v>12881</v>
      </c>
      <c r="AC119" s="86">
        <f>P119+AB119</f>
        <v>93185</v>
      </c>
      <c r="AD119" s="68"/>
      <c r="AE119" s="68"/>
      <c r="AF119" s="68"/>
      <c r="AG119" s="68"/>
      <c r="AH119" s="417"/>
      <c r="AI119" s="417"/>
      <c r="AJ119" s="417"/>
      <c r="AK119" s="417"/>
    </row>
    <row r="120" spans="1:37" ht="22.5">
      <c r="A120" s="412"/>
      <c r="B120" s="133" t="s">
        <v>228</v>
      </c>
      <c r="C120" s="400">
        <f>C117+D117+E117+F117+C118+D118+E118+F118</f>
        <v>64792.258999999998</v>
      </c>
      <c r="D120" s="414"/>
      <c r="E120" s="414"/>
      <c r="F120" s="415"/>
      <c r="G120" s="400">
        <f>G117+H117+I117+G118+H118+I118</f>
        <v>9265</v>
      </c>
      <c r="H120" s="414"/>
      <c r="I120" s="415"/>
      <c r="J120" s="268"/>
      <c r="K120" s="268"/>
      <c r="L120" s="400">
        <f>L117+M117+N117+L118+M118+N118</f>
        <v>1568.6464999999998</v>
      </c>
      <c r="M120" s="414"/>
      <c r="N120" s="415"/>
      <c r="O120" s="141"/>
      <c r="P120" s="85"/>
      <c r="Q120" s="400">
        <f>Q117+R117+S117+Q118+R118+S118</f>
        <v>5624.72</v>
      </c>
      <c r="R120" s="414"/>
      <c r="S120" s="415"/>
      <c r="T120" s="141"/>
      <c r="U120" s="141"/>
      <c r="V120" s="141"/>
      <c r="W120" s="141"/>
      <c r="X120" s="141"/>
      <c r="Y120" s="141"/>
      <c r="Z120" s="141"/>
      <c r="AA120" s="67"/>
      <c r="AB120" s="85"/>
      <c r="AC120" s="86"/>
      <c r="AD120" s="68"/>
      <c r="AE120" s="68"/>
      <c r="AF120" s="68"/>
      <c r="AG120" s="68"/>
      <c r="AH120" s="417"/>
      <c r="AI120" s="417"/>
      <c r="AJ120" s="417"/>
      <c r="AK120" s="417"/>
    </row>
    <row r="121" spans="1:37" ht="22.5">
      <c r="A121" s="412"/>
      <c r="B121" s="133" t="s">
        <v>229</v>
      </c>
      <c r="C121" s="400">
        <f>C119+D119+E119+F119</f>
        <v>73002</v>
      </c>
      <c r="D121" s="414"/>
      <c r="E121" s="414"/>
      <c r="F121" s="415"/>
      <c r="G121" s="400">
        <f>G119+H119+I119</f>
        <v>5026</v>
      </c>
      <c r="H121" s="414"/>
      <c r="I121" s="415"/>
      <c r="J121" s="268"/>
      <c r="K121" s="268"/>
      <c r="L121" s="400">
        <f>L119+M119+N119</f>
        <v>2125</v>
      </c>
      <c r="M121" s="414"/>
      <c r="N121" s="415"/>
      <c r="O121" s="141"/>
      <c r="P121" s="85"/>
      <c r="Q121" s="400">
        <f>Q119+R119+S119</f>
        <v>6048</v>
      </c>
      <c r="R121" s="414"/>
      <c r="S121" s="415"/>
      <c r="T121" s="141"/>
      <c r="U121" s="141"/>
      <c r="V121" s="141"/>
      <c r="W121" s="141"/>
      <c r="X121" s="141"/>
      <c r="Y121" s="141"/>
      <c r="Z121" s="141"/>
      <c r="AA121" s="67"/>
      <c r="AB121" s="85"/>
      <c r="AC121" s="86"/>
      <c r="AD121" s="68"/>
      <c r="AE121" s="68"/>
      <c r="AF121" s="68"/>
      <c r="AG121" s="68"/>
      <c r="AH121" s="417"/>
      <c r="AI121" s="417"/>
      <c r="AJ121" s="417"/>
      <c r="AK121" s="417"/>
    </row>
    <row r="122" spans="1:37" ht="22.5">
      <c r="A122" s="413"/>
      <c r="B122" s="93" t="s">
        <v>223</v>
      </c>
      <c r="C122" s="406">
        <f>C120/C121</f>
        <v>0.88754087559244954</v>
      </c>
      <c r="D122" s="409"/>
      <c r="E122" s="409"/>
      <c r="F122" s="410"/>
      <c r="G122" s="406">
        <f>G120/G121</f>
        <v>1.8434142459212097</v>
      </c>
      <c r="H122" s="409"/>
      <c r="I122" s="410"/>
      <c r="J122" s="267"/>
      <c r="K122" s="267"/>
      <c r="L122" s="406">
        <f>L120/L121</f>
        <v>0.73818658823529404</v>
      </c>
      <c r="M122" s="409"/>
      <c r="N122" s="410"/>
      <c r="O122" s="142">
        <f>(O117+O118)/O119</f>
        <v>1</v>
      </c>
      <c r="P122" s="87">
        <f>(P117+P118)/P119</f>
        <v>0.94362554169157198</v>
      </c>
      <c r="Q122" s="406">
        <f>Q120/Q121</f>
        <v>0.93001322751322757</v>
      </c>
      <c r="R122" s="409"/>
      <c r="S122" s="410"/>
      <c r="T122" s="142">
        <f t="shared" ref="T122:Z122" si="18">(T117+T118)/T119</f>
        <v>0.88912907268170427</v>
      </c>
      <c r="U122" s="142">
        <f t="shared" si="18"/>
        <v>2.1528268551236751</v>
      </c>
      <c r="V122" s="142">
        <f t="shared" si="18"/>
        <v>0.90803259604190922</v>
      </c>
      <c r="W122" s="142">
        <f t="shared" si="18"/>
        <v>0.98287671232876717</v>
      </c>
      <c r="X122" s="142">
        <f t="shared" si="18"/>
        <v>0.96</v>
      </c>
      <c r="Y122" s="142">
        <f t="shared" si="18"/>
        <v>0.96568627450980393</v>
      </c>
      <c r="Z122" s="142">
        <f t="shared" si="18"/>
        <v>0.82317073170731703</v>
      </c>
      <c r="AA122" s="69"/>
      <c r="AB122" s="87">
        <f>(AB117+AB118)/AB119</f>
        <v>1.0285862898843257</v>
      </c>
      <c r="AC122" s="88">
        <f>(AC117+AC118)/AC119</f>
        <v>0.95536970005902233</v>
      </c>
      <c r="AD122" s="84" t="e">
        <f>AD117/$AG$173</f>
        <v>#DIV/0!</v>
      </c>
      <c r="AE122" s="84" t="e">
        <f>AE117/$AG$173</f>
        <v>#DIV/0!</v>
      </c>
      <c r="AF122" s="84" t="e">
        <f>AF117/$AG$173</f>
        <v>#DIV/0!</v>
      </c>
      <c r="AG122" s="134" t="e">
        <f>AG117/$AG$173</f>
        <v>#DIV/0!</v>
      </c>
      <c r="AH122" s="418"/>
      <c r="AI122" s="418"/>
      <c r="AJ122" s="418"/>
      <c r="AK122" s="418"/>
    </row>
    <row r="123" spans="1:37" ht="23.25">
      <c r="A123" s="411" t="s">
        <v>248</v>
      </c>
      <c r="B123" s="89" t="s">
        <v>225</v>
      </c>
      <c r="C123" s="147">
        <v>8016</v>
      </c>
      <c r="D123" s="147">
        <v>33774</v>
      </c>
      <c r="E123" s="147">
        <v>3742</v>
      </c>
      <c r="F123" s="147">
        <v>19307</v>
      </c>
      <c r="G123" s="147">
        <v>1628</v>
      </c>
      <c r="H123" s="147">
        <v>5179</v>
      </c>
      <c r="I123" s="147">
        <v>2431</v>
      </c>
      <c r="J123" s="147"/>
      <c r="K123" s="147"/>
      <c r="L123" s="147">
        <v>81</v>
      </c>
      <c r="M123" s="147">
        <v>836</v>
      </c>
      <c r="N123" s="147">
        <v>652</v>
      </c>
      <c r="O123" s="147">
        <v>151</v>
      </c>
      <c r="P123" s="85">
        <f>SUM(C123:O123)</f>
        <v>75797</v>
      </c>
      <c r="Q123" s="147">
        <v>1158</v>
      </c>
      <c r="R123" s="147">
        <v>2477</v>
      </c>
      <c r="S123" s="147">
        <v>1981</v>
      </c>
      <c r="T123" s="147">
        <v>2605</v>
      </c>
      <c r="U123" s="147">
        <v>2657</v>
      </c>
      <c r="V123" s="147">
        <v>789</v>
      </c>
      <c r="W123" s="147">
        <v>287</v>
      </c>
      <c r="X123" s="147">
        <v>794</v>
      </c>
      <c r="Y123" s="81">
        <v>202</v>
      </c>
      <c r="Z123" s="81">
        <v>136</v>
      </c>
      <c r="AA123" s="67"/>
      <c r="AB123" s="85">
        <f>SUM(Q123:AA123)</f>
        <v>13086</v>
      </c>
      <c r="AC123" s="86">
        <f>P123+AB123</f>
        <v>88883</v>
      </c>
      <c r="AD123" s="82">
        <v>16</v>
      </c>
      <c r="AE123" s="82">
        <v>4</v>
      </c>
      <c r="AF123" s="82">
        <v>1</v>
      </c>
      <c r="AG123" s="83">
        <f>SUM(AD123:AF123)</f>
        <v>21</v>
      </c>
      <c r="AH123" s="416">
        <v>2274</v>
      </c>
      <c r="AI123" s="416">
        <v>2608</v>
      </c>
      <c r="AJ123" s="416">
        <v>715</v>
      </c>
      <c r="AK123" s="416">
        <f>SUM(AH123:AJ128)</f>
        <v>5597</v>
      </c>
    </row>
    <row r="124" spans="1:37" ht="23.25">
      <c r="A124" s="412"/>
      <c r="B124" s="89" t="s">
        <v>226</v>
      </c>
      <c r="C124" s="147">
        <v>36.071999999999996</v>
      </c>
      <c r="D124" s="147">
        <v>151.98299999999998</v>
      </c>
      <c r="E124" s="147">
        <v>16.838999999999999</v>
      </c>
      <c r="F124" s="147">
        <v>86.881499999999988</v>
      </c>
      <c r="G124" s="147">
        <v>0</v>
      </c>
      <c r="H124" s="147">
        <v>0</v>
      </c>
      <c r="I124" s="147">
        <v>0</v>
      </c>
      <c r="J124" s="147"/>
      <c r="K124" s="147"/>
      <c r="L124" s="147">
        <v>0</v>
      </c>
      <c r="M124" s="147">
        <v>3.7619999999999996</v>
      </c>
      <c r="N124" s="147">
        <v>2.9339999999999997</v>
      </c>
      <c r="O124" s="147">
        <v>0</v>
      </c>
      <c r="P124" s="85">
        <f>SUM(C124:O124)</f>
        <v>298.47149999999999</v>
      </c>
      <c r="Q124" s="147">
        <v>32.58</v>
      </c>
      <c r="R124" s="147">
        <v>0</v>
      </c>
      <c r="S124" s="147">
        <v>0</v>
      </c>
      <c r="T124" s="147">
        <v>26.05</v>
      </c>
      <c r="U124" s="147">
        <v>0</v>
      </c>
      <c r="V124" s="147">
        <v>0</v>
      </c>
      <c r="W124" s="147">
        <v>0</v>
      </c>
      <c r="X124" s="147">
        <v>158.80000000000001</v>
      </c>
      <c r="Y124" s="147">
        <v>0</v>
      </c>
      <c r="Z124" s="81">
        <v>0</v>
      </c>
      <c r="AA124" s="67"/>
      <c r="AB124" s="85">
        <f>SUM(Q124:AA124)</f>
        <v>217.43</v>
      </c>
      <c r="AC124" s="86">
        <f>P124+AB124</f>
        <v>515.90149999999994</v>
      </c>
      <c r="AD124" s="82"/>
      <c r="AE124" s="82"/>
      <c r="AF124" s="82"/>
      <c r="AG124" s="83"/>
      <c r="AH124" s="417"/>
      <c r="AI124" s="417"/>
      <c r="AJ124" s="417"/>
      <c r="AK124" s="417"/>
    </row>
    <row r="125" spans="1:37" ht="22.5">
      <c r="A125" s="412"/>
      <c r="B125" s="133" t="s">
        <v>227</v>
      </c>
      <c r="C125" s="141">
        <v>9252</v>
      </c>
      <c r="D125" s="141">
        <v>37456</v>
      </c>
      <c r="E125" s="141">
        <v>4675</v>
      </c>
      <c r="F125" s="141">
        <v>21619</v>
      </c>
      <c r="G125" s="141">
        <v>1710</v>
      </c>
      <c r="H125" s="155">
        <v>763</v>
      </c>
      <c r="I125" s="141">
        <v>2553</v>
      </c>
      <c r="J125" s="141"/>
      <c r="K125" s="141"/>
      <c r="L125" s="141">
        <v>102</v>
      </c>
      <c r="M125" s="141">
        <v>876</v>
      </c>
      <c r="N125" s="141">
        <v>1147</v>
      </c>
      <c r="O125" s="141">
        <v>151</v>
      </c>
      <c r="P125" s="85">
        <f>SUM(C125:O125)</f>
        <v>80304</v>
      </c>
      <c r="Q125" s="141">
        <v>1262</v>
      </c>
      <c r="R125" s="141">
        <v>2766</v>
      </c>
      <c r="S125" s="141">
        <v>2020</v>
      </c>
      <c r="T125" s="141">
        <v>3192</v>
      </c>
      <c r="U125" s="155">
        <v>1132</v>
      </c>
      <c r="V125" s="141">
        <v>859</v>
      </c>
      <c r="W125" s="141">
        <v>292</v>
      </c>
      <c r="X125" s="141">
        <v>990</v>
      </c>
      <c r="Y125" s="141">
        <v>204</v>
      </c>
      <c r="Z125" s="141">
        <v>164</v>
      </c>
      <c r="AA125" s="67"/>
      <c r="AB125" s="85">
        <f>SUM(Q125:AA125)</f>
        <v>12881</v>
      </c>
      <c r="AC125" s="86">
        <f>P125+AB125</f>
        <v>93185</v>
      </c>
      <c r="AD125" s="68"/>
      <c r="AE125" s="68"/>
      <c r="AF125" s="68"/>
      <c r="AG125" s="68"/>
      <c r="AH125" s="417"/>
      <c r="AI125" s="417"/>
      <c r="AJ125" s="417"/>
      <c r="AK125" s="417"/>
    </row>
    <row r="126" spans="1:37" ht="22.5">
      <c r="A126" s="412"/>
      <c r="B126" s="133" t="s">
        <v>228</v>
      </c>
      <c r="C126" s="400">
        <f>C123+D123+E123+F123+C124+D124+E124+F124</f>
        <v>65130.775500000003</v>
      </c>
      <c r="D126" s="414"/>
      <c r="E126" s="414"/>
      <c r="F126" s="415"/>
      <c r="G126" s="400">
        <f>G123+H123+I123+G124+H124+I124</f>
        <v>9238</v>
      </c>
      <c r="H126" s="414"/>
      <c r="I126" s="415"/>
      <c r="J126" s="268"/>
      <c r="K126" s="268"/>
      <c r="L126" s="400">
        <f>L123+M123+N123+L124+M124+N124</f>
        <v>1575.6959999999999</v>
      </c>
      <c r="M126" s="414"/>
      <c r="N126" s="415"/>
      <c r="O126" s="141"/>
      <c r="P126" s="85"/>
      <c r="Q126" s="400">
        <f>Q123+R123+S123+Q124+R124+S124</f>
        <v>5648.58</v>
      </c>
      <c r="R126" s="414"/>
      <c r="S126" s="415"/>
      <c r="T126" s="141"/>
      <c r="U126" s="141"/>
      <c r="V126" s="141"/>
      <c r="W126" s="141"/>
      <c r="X126" s="141"/>
      <c r="Y126" s="141"/>
      <c r="Z126" s="141"/>
      <c r="AA126" s="67"/>
      <c r="AB126" s="85"/>
      <c r="AC126" s="86"/>
      <c r="AD126" s="68"/>
      <c r="AE126" s="68"/>
      <c r="AF126" s="68"/>
      <c r="AG126" s="68"/>
      <c r="AH126" s="417"/>
      <c r="AI126" s="417"/>
      <c r="AJ126" s="417"/>
      <c r="AK126" s="417"/>
    </row>
    <row r="127" spans="1:37" ht="22.5">
      <c r="A127" s="412"/>
      <c r="B127" s="133" t="s">
        <v>229</v>
      </c>
      <c r="C127" s="400">
        <f>C125+D125+E125+F125</f>
        <v>73002</v>
      </c>
      <c r="D127" s="414"/>
      <c r="E127" s="414"/>
      <c r="F127" s="415"/>
      <c r="G127" s="400">
        <f>G125+H125+I125</f>
        <v>5026</v>
      </c>
      <c r="H127" s="414"/>
      <c r="I127" s="415"/>
      <c r="J127" s="268"/>
      <c r="K127" s="268"/>
      <c r="L127" s="400">
        <f>L125+M125+N125</f>
        <v>2125</v>
      </c>
      <c r="M127" s="414"/>
      <c r="N127" s="415"/>
      <c r="O127" s="141"/>
      <c r="P127" s="85"/>
      <c r="Q127" s="400">
        <f>Q125+R125+S125</f>
        <v>6048</v>
      </c>
      <c r="R127" s="414"/>
      <c r="S127" s="415"/>
      <c r="T127" s="141"/>
      <c r="U127" s="141"/>
      <c r="V127" s="141"/>
      <c r="W127" s="141"/>
      <c r="X127" s="141"/>
      <c r="Y127" s="141"/>
      <c r="Z127" s="141"/>
      <c r="AA127" s="67"/>
      <c r="AB127" s="85"/>
      <c r="AC127" s="86"/>
      <c r="AD127" s="68"/>
      <c r="AE127" s="68"/>
      <c r="AF127" s="68"/>
      <c r="AG127" s="68"/>
      <c r="AH127" s="417"/>
      <c r="AI127" s="417"/>
      <c r="AJ127" s="417"/>
      <c r="AK127" s="417"/>
    </row>
    <row r="128" spans="1:37" ht="22.5">
      <c r="A128" s="413"/>
      <c r="B128" s="93" t="s">
        <v>223</v>
      </c>
      <c r="C128" s="406">
        <f>C126/C127</f>
        <v>0.89217796087778423</v>
      </c>
      <c r="D128" s="409"/>
      <c r="E128" s="409"/>
      <c r="F128" s="410"/>
      <c r="G128" s="406">
        <f>G126/G127</f>
        <v>1.8380421806605651</v>
      </c>
      <c r="H128" s="409"/>
      <c r="I128" s="410"/>
      <c r="J128" s="267"/>
      <c r="K128" s="267"/>
      <c r="L128" s="406">
        <f>L126/L127</f>
        <v>0.74150399999999994</v>
      </c>
      <c r="M128" s="409"/>
      <c r="N128" s="410"/>
      <c r="O128" s="142">
        <f>(O123+O124)/O125</f>
        <v>1</v>
      </c>
      <c r="P128" s="87">
        <f>(P123+P124)/P125</f>
        <v>0.94759254209005772</v>
      </c>
      <c r="Q128" s="406">
        <f>Q126/Q127</f>
        <v>0.93395833333333333</v>
      </c>
      <c r="R128" s="409"/>
      <c r="S128" s="410"/>
      <c r="T128" s="142">
        <f t="shared" ref="T128:Z128" si="19">(T123+T124)/T125</f>
        <v>0.82426378446115289</v>
      </c>
      <c r="U128" s="142">
        <f t="shared" si="19"/>
        <v>2.3471731448763249</v>
      </c>
      <c r="V128" s="142">
        <f t="shared" si="19"/>
        <v>0.9185098952270081</v>
      </c>
      <c r="W128" s="142">
        <f t="shared" si="19"/>
        <v>0.98287671232876717</v>
      </c>
      <c r="X128" s="142">
        <f t="shared" si="19"/>
        <v>0.9624242424242424</v>
      </c>
      <c r="Y128" s="142">
        <f t="shared" si="19"/>
        <v>0.99019607843137258</v>
      </c>
      <c r="Z128" s="142">
        <f t="shared" si="19"/>
        <v>0.82926829268292679</v>
      </c>
      <c r="AA128" s="69"/>
      <c r="AB128" s="87">
        <f>(AB123+AB124)/AB125</f>
        <v>1.0327948140672307</v>
      </c>
      <c r="AC128" s="88">
        <f>(AC123+AC124)/AC125</f>
        <v>0.95937008638729415</v>
      </c>
      <c r="AD128" s="84" t="e">
        <f>AD123/$AG$173</f>
        <v>#DIV/0!</v>
      </c>
      <c r="AE128" s="84" t="e">
        <f>AE123/$AG$173</f>
        <v>#DIV/0!</v>
      </c>
      <c r="AF128" s="84" t="e">
        <f>AF123/$AG$173</f>
        <v>#DIV/0!</v>
      </c>
      <c r="AG128" s="134" t="e">
        <f>AG123/$AG$173</f>
        <v>#DIV/0!</v>
      </c>
      <c r="AH128" s="418"/>
      <c r="AI128" s="418"/>
      <c r="AJ128" s="418"/>
      <c r="AK128" s="418"/>
    </row>
    <row r="129" spans="1:37" ht="23.25">
      <c r="A129" s="411" t="s">
        <v>249</v>
      </c>
      <c r="B129" s="89" t="s">
        <v>225</v>
      </c>
      <c r="C129" s="147">
        <v>8126</v>
      </c>
      <c r="D129" s="147">
        <v>34198</v>
      </c>
      <c r="E129" s="147">
        <v>3783</v>
      </c>
      <c r="F129" s="147">
        <v>19654</v>
      </c>
      <c r="G129" s="147">
        <v>1631</v>
      </c>
      <c r="H129" s="147">
        <v>5101</v>
      </c>
      <c r="I129" s="147">
        <v>2440</v>
      </c>
      <c r="J129" s="147"/>
      <c r="K129" s="147"/>
      <c r="L129" s="147">
        <v>82</v>
      </c>
      <c r="M129" s="147">
        <v>422</v>
      </c>
      <c r="N129" s="147">
        <v>655</v>
      </c>
      <c r="O129" s="147">
        <v>151</v>
      </c>
      <c r="P129" s="85">
        <f>SUM(C129:O129)</f>
        <v>76243</v>
      </c>
      <c r="Q129" s="147">
        <v>1171</v>
      </c>
      <c r="R129" s="147">
        <v>2474</v>
      </c>
      <c r="S129" s="147">
        <v>1952</v>
      </c>
      <c r="T129" s="147">
        <v>2610</v>
      </c>
      <c r="U129" s="147">
        <v>2737</v>
      </c>
      <c r="V129" s="147">
        <v>785</v>
      </c>
      <c r="W129" s="147">
        <v>288</v>
      </c>
      <c r="X129" s="147">
        <v>794</v>
      </c>
      <c r="Y129" s="81">
        <v>204</v>
      </c>
      <c r="Z129" s="81">
        <v>137</v>
      </c>
      <c r="AA129" s="67"/>
      <c r="AB129" s="85">
        <f>SUM(Q129:AA129)</f>
        <v>13152</v>
      </c>
      <c r="AC129" s="86">
        <f>P129+AB129</f>
        <v>89395</v>
      </c>
      <c r="AD129" s="82">
        <v>15</v>
      </c>
      <c r="AE129" s="82">
        <v>4</v>
      </c>
      <c r="AF129" s="82">
        <v>2</v>
      </c>
      <c r="AG129" s="83">
        <f>SUM(AD129:AF129)</f>
        <v>21</v>
      </c>
      <c r="AH129" s="416">
        <v>2157</v>
      </c>
      <c r="AI129" s="416">
        <v>2401</v>
      </c>
      <c r="AJ129" s="416">
        <v>767</v>
      </c>
      <c r="AK129" s="416">
        <f>SUM(AH129:AJ134)</f>
        <v>5325</v>
      </c>
    </row>
    <row r="130" spans="1:37" ht="23.25">
      <c r="A130" s="412"/>
      <c r="B130" s="89" t="s">
        <v>226</v>
      </c>
      <c r="C130" s="147">
        <v>36.567</v>
      </c>
      <c r="D130" s="147">
        <v>153.89099999999999</v>
      </c>
      <c r="E130" s="147">
        <v>17.023499999999999</v>
      </c>
      <c r="F130" s="147">
        <v>88.442999999999998</v>
      </c>
      <c r="G130" s="147">
        <v>0</v>
      </c>
      <c r="H130" s="147">
        <v>0</v>
      </c>
      <c r="I130" s="147">
        <v>0</v>
      </c>
      <c r="J130" s="147"/>
      <c r="K130" s="147"/>
      <c r="L130" s="147">
        <v>0</v>
      </c>
      <c r="M130" s="147">
        <v>1.8989999999999998</v>
      </c>
      <c r="N130" s="147">
        <v>2.9474999999999998</v>
      </c>
      <c r="O130" s="147">
        <v>0</v>
      </c>
      <c r="P130" s="85">
        <f>SUM(C130:O130)</f>
        <v>300.77099999999996</v>
      </c>
      <c r="Q130" s="147">
        <v>32.71</v>
      </c>
      <c r="R130" s="147">
        <v>0</v>
      </c>
      <c r="S130" s="147">
        <v>0</v>
      </c>
      <c r="T130" s="147">
        <v>26.1</v>
      </c>
      <c r="U130" s="147">
        <v>0</v>
      </c>
      <c r="V130" s="147">
        <v>0</v>
      </c>
      <c r="W130" s="147">
        <v>0</v>
      </c>
      <c r="X130" s="147">
        <v>158.80000000000001</v>
      </c>
      <c r="Y130" s="147">
        <v>0</v>
      </c>
      <c r="Z130" s="81">
        <v>0</v>
      </c>
      <c r="AA130" s="67"/>
      <c r="AB130" s="85">
        <f>SUM(Q130:AA130)</f>
        <v>217.61</v>
      </c>
      <c r="AC130" s="86">
        <f>P130+AB130</f>
        <v>518.38099999999997</v>
      </c>
      <c r="AD130" s="82"/>
      <c r="AE130" s="82"/>
      <c r="AF130" s="82"/>
      <c r="AG130" s="83"/>
      <c r="AH130" s="417"/>
      <c r="AI130" s="417"/>
      <c r="AJ130" s="417"/>
      <c r="AK130" s="417"/>
    </row>
    <row r="131" spans="1:37" ht="22.5">
      <c r="A131" s="412"/>
      <c r="B131" s="133" t="s">
        <v>227</v>
      </c>
      <c r="C131" s="141">
        <v>9252</v>
      </c>
      <c r="D131" s="141">
        <v>37456</v>
      </c>
      <c r="E131" s="141">
        <v>4675</v>
      </c>
      <c r="F131" s="141">
        <v>21619</v>
      </c>
      <c r="G131" s="141">
        <v>1710</v>
      </c>
      <c r="H131" s="155">
        <v>763</v>
      </c>
      <c r="I131" s="141">
        <v>2553</v>
      </c>
      <c r="J131" s="141"/>
      <c r="K131" s="141"/>
      <c r="L131" s="141">
        <v>102</v>
      </c>
      <c r="M131" s="141">
        <v>876</v>
      </c>
      <c r="N131" s="141">
        <v>1147</v>
      </c>
      <c r="O131" s="141">
        <v>151</v>
      </c>
      <c r="P131" s="85">
        <f>SUM(C131:O131)</f>
        <v>80304</v>
      </c>
      <c r="Q131" s="141">
        <v>1262</v>
      </c>
      <c r="R131" s="141">
        <v>2766</v>
      </c>
      <c r="S131" s="141">
        <v>2020</v>
      </c>
      <c r="T131" s="141">
        <v>3192</v>
      </c>
      <c r="U131" s="155">
        <v>1132</v>
      </c>
      <c r="V131" s="141">
        <v>859</v>
      </c>
      <c r="W131" s="141">
        <v>292</v>
      </c>
      <c r="X131" s="141">
        <v>990</v>
      </c>
      <c r="Y131" s="141">
        <v>204</v>
      </c>
      <c r="Z131" s="141">
        <v>164</v>
      </c>
      <c r="AA131" s="67"/>
      <c r="AB131" s="85">
        <f>SUM(Q131:AA131)</f>
        <v>12881</v>
      </c>
      <c r="AC131" s="86">
        <f>P131+AB131</f>
        <v>93185</v>
      </c>
      <c r="AD131" s="68"/>
      <c r="AE131" s="68"/>
      <c r="AF131" s="68"/>
      <c r="AG131" s="68"/>
      <c r="AH131" s="417"/>
      <c r="AI131" s="417"/>
      <c r="AJ131" s="417"/>
      <c r="AK131" s="417"/>
    </row>
    <row r="132" spans="1:37" ht="22.5">
      <c r="A132" s="412"/>
      <c r="B132" s="133" t="s">
        <v>228</v>
      </c>
      <c r="C132" s="400">
        <f>C129+D129+E129+F129+C130+D130+E130+F130</f>
        <v>66056.924499999994</v>
      </c>
      <c r="D132" s="414"/>
      <c r="E132" s="414"/>
      <c r="F132" s="415"/>
      <c r="G132" s="400">
        <f>G129+H129+I129+G130+H130+I130</f>
        <v>9172</v>
      </c>
      <c r="H132" s="414"/>
      <c r="I132" s="415"/>
      <c r="J132" s="268"/>
      <c r="K132" s="268"/>
      <c r="L132" s="400">
        <f>L129+M129+N129+L130+M130+N130</f>
        <v>1163.8464999999999</v>
      </c>
      <c r="M132" s="414"/>
      <c r="N132" s="415"/>
      <c r="O132" s="141"/>
      <c r="P132" s="85"/>
      <c r="Q132" s="400">
        <f>Q129+R129+S129+Q130+R130+S130</f>
        <v>5629.71</v>
      </c>
      <c r="R132" s="414"/>
      <c r="S132" s="415"/>
      <c r="T132" s="141"/>
      <c r="U132" s="141"/>
      <c r="V132" s="141"/>
      <c r="W132" s="141"/>
      <c r="X132" s="141"/>
      <c r="Y132" s="141"/>
      <c r="Z132" s="141"/>
      <c r="AA132" s="67"/>
      <c r="AB132" s="85"/>
      <c r="AC132" s="86"/>
      <c r="AD132" s="68"/>
      <c r="AE132" s="68"/>
      <c r="AF132" s="68"/>
      <c r="AG132" s="68"/>
      <c r="AH132" s="417"/>
      <c r="AI132" s="417"/>
      <c r="AJ132" s="417"/>
      <c r="AK132" s="417"/>
    </row>
    <row r="133" spans="1:37" ht="22.5">
      <c r="A133" s="412"/>
      <c r="B133" s="133" t="s">
        <v>229</v>
      </c>
      <c r="C133" s="400">
        <f>C131+D131+E131+F131</f>
        <v>73002</v>
      </c>
      <c r="D133" s="414"/>
      <c r="E133" s="414"/>
      <c r="F133" s="415"/>
      <c r="G133" s="400">
        <f>G131+H131+I131</f>
        <v>5026</v>
      </c>
      <c r="H133" s="414"/>
      <c r="I133" s="415"/>
      <c r="J133" s="268"/>
      <c r="K133" s="268"/>
      <c r="L133" s="400">
        <f>L131+M131+N131</f>
        <v>2125</v>
      </c>
      <c r="M133" s="414"/>
      <c r="N133" s="415"/>
      <c r="O133" s="141"/>
      <c r="P133" s="85"/>
      <c r="Q133" s="400">
        <f>Q131+R131+S131</f>
        <v>6048</v>
      </c>
      <c r="R133" s="414"/>
      <c r="S133" s="415"/>
      <c r="T133" s="141"/>
      <c r="U133" s="141"/>
      <c r="V133" s="141"/>
      <c r="W133" s="141"/>
      <c r="X133" s="141"/>
      <c r="Y133" s="141"/>
      <c r="Z133" s="141"/>
      <c r="AA133" s="67"/>
      <c r="AB133" s="85"/>
      <c r="AC133" s="86"/>
      <c r="AD133" s="68"/>
      <c r="AE133" s="68"/>
      <c r="AF133" s="68"/>
      <c r="AG133" s="68"/>
      <c r="AH133" s="417"/>
      <c r="AI133" s="417"/>
      <c r="AJ133" s="417"/>
      <c r="AK133" s="417"/>
    </row>
    <row r="134" spans="1:37" ht="22.5">
      <c r="A134" s="413"/>
      <c r="B134" s="93" t="s">
        <v>223</v>
      </c>
      <c r="C134" s="406">
        <f>C132/C133</f>
        <v>0.904864585901756</v>
      </c>
      <c r="D134" s="409"/>
      <c r="E134" s="409"/>
      <c r="F134" s="410"/>
      <c r="G134" s="406">
        <f>G132/G133</f>
        <v>1.8249104655789892</v>
      </c>
      <c r="H134" s="409"/>
      <c r="I134" s="410"/>
      <c r="J134" s="267"/>
      <c r="K134" s="267"/>
      <c r="L134" s="406">
        <f>L132/L133</f>
        <v>0.54769247058823523</v>
      </c>
      <c r="M134" s="409"/>
      <c r="N134" s="410"/>
      <c r="O134" s="142">
        <f>(O129+O130)/O131</f>
        <v>1</v>
      </c>
      <c r="P134" s="87">
        <f>(P129+P130)/P131</f>
        <v>0.95317507222554287</v>
      </c>
      <c r="Q134" s="406">
        <f>Q132/Q133</f>
        <v>0.93083829365079362</v>
      </c>
      <c r="R134" s="409"/>
      <c r="S134" s="410"/>
      <c r="T134" s="142">
        <f t="shared" ref="T134:Z134" si="20">(T129+T130)/T131</f>
        <v>0.82584586466165411</v>
      </c>
      <c r="U134" s="142">
        <f t="shared" si="20"/>
        <v>2.4178445229681977</v>
      </c>
      <c r="V134" s="142">
        <f t="shared" si="20"/>
        <v>0.91385331781140866</v>
      </c>
      <c r="W134" s="142">
        <f t="shared" si="20"/>
        <v>0.98630136986301364</v>
      </c>
      <c r="X134" s="142">
        <f t="shared" si="20"/>
        <v>0.9624242424242424</v>
      </c>
      <c r="Y134" s="142">
        <f t="shared" si="20"/>
        <v>1</v>
      </c>
      <c r="Z134" s="142">
        <f t="shared" si="20"/>
        <v>0.83536585365853655</v>
      </c>
      <c r="AA134" s="69"/>
      <c r="AB134" s="87">
        <f>(AB129+AB130)/AB131</f>
        <v>1.0379326139274903</v>
      </c>
      <c r="AC134" s="88">
        <f>(AC129+AC130)/AC131</f>
        <v>0.9648911412781026</v>
      </c>
      <c r="AD134" s="84" t="e">
        <f>AD129/$AG$173</f>
        <v>#DIV/0!</v>
      </c>
      <c r="AE134" s="84" t="e">
        <f>AE129/$AG$173</f>
        <v>#DIV/0!</v>
      </c>
      <c r="AF134" s="84" t="e">
        <f>AF129/$AG$173</f>
        <v>#DIV/0!</v>
      </c>
      <c r="AG134" s="134" t="e">
        <f>AG129/$AG$173</f>
        <v>#DIV/0!</v>
      </c>
      <c r="AH134" s="418"/>
      <c r="AI134" s="418"/>
      <c r="AJ134" s="418"/>
      <c r="AK134" s="418"/>
    </row>
    <row r="135" spans="1:37" ht="23.25">
      <c r="A135" s="411" t="s">
        <v>250</v>
      </c>
      <c r="B135" s="89" t="s">
        <v>225</v>
      </c>
      <c r="C135" s="147">
        <v>8175</v>
      </c>
      <c r="D135" s="147">
        <v>34379</v>
      </c>
      <c r="E135" s="147">
        <v>3909</v>
      </c>
      <c r="F135" s="147">
        <v>19900</v>
      </c>
      <c r="G135" s="147">
        <v>1636</v>
      </c>
      <c r="H135" s="147">
        <v>5035</v>
      </c>
      <c r="I135" s="147">
        <v>2464</v>
      </c>
      <c r="J135" s="147"/>
      <c r="K135" s="147"/>
      <c r="L135" s="147">
        <v>94</v>
      </c>
      <c r="M135" s="147">
        <v>417</v>
      </c>
      <c r="N135" s="147">
        <v>658</v>
      </c>
      <c r="O135" s="147">
        <v>151</v>
      </c>
      <c r="P135" s="85">
        <f>SUM(C135:O135)</f>
        <v>76818</v>
      </c>
      <c r="Q135" s="147">
        <v>1203</v>
      </c>
      <c r="R135" s="147">
        <v>2507</v>
      </c>
      <c r="S135" s="147">
        <v>1969</v>
      </c>
      <c r="T135" s="147">
        <v>2697</v>
      </c>
      <c r="U135" s="147">
        <v>2742</v>
      </c>
      <c r="V135" s="147">
        <v>794</v>
      </c>
      <c r="W135" s="147">
        <v>289</v>
      </c>
      <c r="X135" s="147">
        <v>795</v>
      </c>
      <c r="Y135" s="81">
        <v>203</v>
      </c>
      <c r="Z135" s="81">
        <v>137</v>
      </c>
      <c r="AA135" s="67"/>
      <c r="AB135" s="85">
        <f>SUM(Q135:AA135)</f>
        <v>13336</v>
      </c>
      <c r="AC135" s="86">
        <f>P135+AB135</f>
        <v>90154</v>
      </c>
      <c r="AD135" s="82">
        <v>16</v>
      </c>
      <c r="AE135" s="82">
        <v>3</v>
      </c>
      <c r="AF135" s="82">
        <v>2</v>
      </c>
      <c r="AG135" s="83">
        <f>SUM(AD135:AF135)</f>
        <v>21</v>
      </c>
      <c r="AH135" s="416">
        <v>2420</v>
      </c>
      <c r="AI135" s="416">
        <v>2472</v>
      </c>
      <c r="AJ135" s="416">
        <v>817</v>
      </c>
      <c r="AK135" s="416">
        <f>SUM(AH135:AJ140)</f>
        <v>5709</v>
      </c>
    </row>
    <row r="136" spans="1:37" ht="23.25">
      <c r="A136" s="412"/>
      <c r="B136" s="89" t="s">
        <v>226</v>
      </c>
      <c r="C136" s="147">
        <v>36.787499999999994</v>
      </c>
      <c r="D136" s="147">
        <v>154.7055</v>
      </c>
      <c r="E136" s="147">
        <v>17.590499999999999</v>
      </c>
      <c r="F136" s="147">
        <v>89.55</v>
      </c>
      <c r="G136" s="147">
        <v>0</v>
      </c>
      <c r="H136" s="147">
        <v>0</v>
      </c>
      <c r="I136" s="147">
        <v>0</v>
      </c>
      <c r="J136" s="147"/>
      <c r="K136" s="147"/>
      <c r="L136" s="147">
        <v>0</v>
      </c>
      <c r="M136" s="147">
        <v>1.8764999999999998</v>
      </c>
      <c r="N136" s="147">
        <v>2.9609999999999999</v>
      </c>
      <c r="O136" s="147">
        <v>0</v>
      </c>
      <c r="P136" s="85">
        <f>SUM(C136:O136)</f>
        <v>303.471</v>
      </c>
      <c r="Q136" s="147">
        <v>12.030000000000001</v>
      </c>
      <c r="R136" s="147">
        <v>0</v>
      </c>
      <c r="S136" s="147">
        <v>0</v>
      </c>
      <c r="T136" s="147">
        <v>26.97</v>
      </c>
      <c r="U136" s="147">
        <v>0</v>
      </c>
      <c r="V136" s="147">
        <v>0</v>
      </c>
      <c r="W136" s="147">
        <v>0</v>
      </c>
      <c r="X136" s="147">
        <v>159</v>
      </c>
      <c r="Y136" s="147">
        <v>0</v>
      </c>
      <c r="Z136" s="81">
        <v>0</v>
      </c>
      <c r="AA136" s="67"/>
      <c r="AB136" s="85">
        <f>SUM(Q136:AA136)</f>
        <v>198</v>
      </c>
      <c r="AC136" s="86">
        <f>P136+AB136</f>
        <v>501.471</v>
      </c>
      <c r="AD136" s="82"/>
      <c r="AE136" s="82"/>
      <c r="AF136" s="82"/>
      <c r="AG136" s="83"/>
      <c r="AH136" s="417"/>
      <c r="AI136" s="417"/>
      <c r="AJ136" s="417"/>
      <c r="AK136" s="417"/>
    </row>
    <row r="137" spans="1:37" ht="22.5">
      <c r="A137" s="412"/>
      <c r="B137" s="133" t="s">
        <v>227</v>
      </c>
      <c r="C137" s="141">
        <v>9252</v>
      </c>
      <c r="D137" s="141">
        <v>37456</v>
      </c>
      <c r="E137" s="141">
        <v>4675</v>
      </c>
      <c r="F137" s="141">
        <v>21619</v>
      </c>
      <c r="G137" s="141">
        <v>1710</v>
      </c>
      <c r="H137" s="155">
        <v>763</v>
      </c>
      <c r="I137" s="141">
        <v>2553</v>
      </c>
      <c r="J137" s="141"/>
      <c r="K137" s="141"/>
      <c r="L137" s="141">
        <v>102</v>
      </c>
      <c r="M137" s="141">
        <v>876</v>
      </c>
      <c r="N137" s="141">
        <v>1147</v>
      </c>
      <c r="O137" s="141">
        <v>151</v>
      </c>
      <c r="P137" s="85">
        <f>SUM(C137:O137)</f>
        <v>80304</v>
      </c>
      <c r="Q137" s="141">
        <v>1262</v>
      </c>
      <c r="R137" s="141">
        <v>2766</v>
      </c>
      <c r="S137" s="141">
        <v>2020</v>
      </c>
      <c r="T137" s="141">
        <v>3192</v>
      </c>
      <c r="U137" s="155">
        <v>1132</v>
      </c>
      <c r="V137" s="141">
        <v>859</v>
      </c>
      <c r="W137" s="141">
        <v>292</v>
      </c>
      <c r="X137" s="141">
        <v>990</v>
      </c>
      <c r="Y137" s="141">
        <v>204</v>
      </c>
      <c r="Z137" s="141">
        <v>164</v>
      </c>
      <c r="AA137" s="67"/>
      <c r="AB137" s="85">
        <f>SUM(Q137:AA137)</f>
        <v>12881</v>
      </c>
      <c r="AC137" s="86">
        <f>P137+AB137</f>
        <v>93185</v>
      </c>
      <c r="AD137" s="68"/>
      <c r="AE137" s="68"/>
      <c r="AF137" s="68"/>
      <c r="AG137" s="68"/>
      <c r="AH137" s="417"/>
      <c r="AI137" s="417"/>
      <c r="AJ137" s="417"/>
      <c r="AK137" s="417"/>
    </row>
    <row r="138" spans="1:37" ht="22.5">
      <c r="A138" s="412"/>
      <c r="B138" s="133" t="s">
        <v>228</v>
      </c>
      <c r="C138" s="400">
        <f>C135+D135+E135+F135+C136+D136+E136+F136</f>
        <v>66661.633500000011</v>
      </c>
      <c r="D138" s="414"/>
      <c r="E138" s="414"/>
      <c r="F138" s="415"/>
      <c r="G138" s="400">
        <f>G135+H135+I135+G136+H136+I136</f>
        <v>9135</v>
      </c>
      <c r="H138" s="414"/>
      <c r="I138" s="415"/>
      <c r="J138" s="268"/>
      <c r="K138" s="268"/>
      <c r="L138" s="400">
        <f>L135+M135+N135+L136+M136+N136</f>
        <v>1173.8375000000001</v>
      </c>
      <c r="M138" s="414"/>
      <c r="N138" s="415"/>
      <c r="O138" s="141"/>
      <c r="P138" s="85"/>
      <c r="Q138" s="400">
        <f>Q135+R135+S135+Q136+R136+S136</f>
        <v>5691.03</v>
      </c>
      <c r="R138" s="414"/>
      <c r="S138" s="415"/>
      <c r="T138" s="141"/>
      <c r="U138" s="141"/>
      <c r="V138" s="141"/>
      <c r="W138" s="141"/>
      <c r="X138" s="141"/>
      <c r="Y138" s="141"/>
      <c r="Z138" s="141"/>
      <c r="AA138" s="67"/>
      <c r="AB138" s="85"/>
      <c r="AC138" s="86"/>
      <c r="AD138" s="68"/>
      <c r="AE138" s="68"/>
      <c r="AF138" s="68"/>
      <c r="AG138" s="68"/>
      <c r="AH138" s="417"/>
      <c r="AI138" s="417"/>
      <c r="AJ138" s="417"/>
      <c r="AK138" s="417"/>
    </row>
    <row r="139" spans="1:37" ht="22.5">
      <c r="A139" s="412"/>
      <c r="B139" s="133" t="s">
        <v>229</v>
      </c>
      <c r="C139" s="400">
        <f>C137+D137+E137+F137</f>
        <v>73002</v>
      </c>
      <c r="D139" s="414"/>
      <c r="E139" s="414"/>
      <c r="F139" s="415"/>
      <c r="G139" s="400">
        <f>G137+H137+I137</f>
        <v>5026</v>
      </c>
      <c r="H139" s="414"/>
      <c r="I139" s="415"/>
      <c r="J139" s="268"/>
      <c r="K139" s="268"/>
      <c r="L139" s="400">
        <f>L137+M137+N137</f>
        <v>2125</v>
      </c>
      <c r="M139" s="414"/>
      <c r="N139" s="415"/>
      <c r="O139" s="141"/>
      <c r="P139" s="85"/>
      <c r="Q139" s="400">
        <f>Q137+R137+S137</f>
        <v>6048</v>
      </c>
      <c r="R139" s="414"/>
      <c r="S139" s="415"/>
      <c r="T139" s="141"/>
      <c r="U139" s="141"/>
      <c r="V139" s="141"/>
      <c r="W139" s="141"/>
      <c r="X139" s="141"/>
      <c r="Y139" s="141"/>
      <c r="Z139" s="141"/>
      <c r="AA139" s="67"/>
      <c r="AB139" s="85"/>
      <c r="AC139" s="86"/>
      <c r="AD139" s="68"/>
      <c r="AE139" s="68"/>
      <c r="AF139" s="68"/>
      <c r="AG139" s="68"/>
      <c r="AH139" s="417"/>
      <c r="AI139" s="417"/>
      <c r="AJ139" s="417"/>
      <c r="AK139" s="417"/>
    </row>
    <row r="140" spans="1:37" ht="22.5">
      <c r="A140" s="413"/>
      <c r="B140" s="93" t="s">
        <v>223</v>
      </c>
      <c r="C140" s="406">
        <f>C138/C139</f>
        <v>0.91314804388920867</v>
      </c>
      <c r="D140" s="409"/>
      <c r="E140" s="409"/>
      <c r="F140" s="410"/>
      <c r="G140" s="406">
        <f>G138/G139</f>
        <v>1.8175487465181059</v>
      </c>
      <c r="H140" s="409"/>
      <c r="I140" s="410"/>
      <c r="J140" s="267"/>
      <c r="K140" s="267"/>
      <c r="L140" s="406">
        <f>L138/L139</f>
        <v>0.55239411764705881</v>
      </c>
      <c r="M140" s="409"/>
      <c r="N140" s="410"/>
      <c r="O140" s="142">
        <f>(O135+O136)/O137</f>
        <v>1</v>
      </c>
      <c r="P140" s="87">
        <f>(P135+P136)/P137</f>
        <v>0.96036898535564863</v>
      </c>
      <c r="Q140" s="406">
        <f>Q138/Q139</f>
        <v>0.94097718253968254</v>
      </c>
      <c r="R140" s="409"/>
      <c r="S140" s="410"/>
      <c r="T140" s="142">
        <f t="shared" ref="T140:Z140" si="21">(T135+T136)/T137</f>
        <v>0.85337406015037587</v>
      </c>
      <c r="U140" s="142">
        <f t="shared" si="21"/>
        <v>2.4222614840989398</v>
      </c>
      <c r="V140" s="142">
        <f t="shared" si="21"/>
        <v>0.92433061699650754</v>
      </c>
      <c r="W140" s="142">
        <f t="shared" si="21"/>
        <v>0.98972602739726023</v>
      </c>
      <c r="X140" s="142">
        <f t="shared" si="21"/>
        <v>0.96363636363636362</v>
      </c>
      <c r="Y140" s="142">
        <f t="shared" si="21"/>
        <v>0.99509803921568629</v>
      </c>
      <c r="Z140" s="142">
        <f t="shared" si="21"/>
        <v>0.83536585365853655</v>
      </c>
      <c r="AA140" s="69"/>
      <c r="AB140" s="87">
        <f>(AB135+AB136)/AB137</f>
        <v>1.0506948218306031</v>
      </c>
      <c r="AC140" s="88">
        <f>(AC135+AC136)/AC137</f>
        <v>0.97285476203251597</v>
      </c>
      <c r="AD140" s="84" t="e">
        <f>AD135/$AG$173</f>
        <v>#DIV/0!</v>
      </c>
      <c r="AE140" s="84" t="e">
        <f>AE135/$AG$173</f>
        <v>#DIV/0!</v>
      </c>
      <c r="AF140" s="84" t="e">
        <f>AF135/$AG$173</f>
        <v>#DIV/0!</v>
      </c>
      <c r="AG140" s="134" t="e">
        <f>AG135/$AG$173</f>
        <v>#DIV/0!</v>
      </c>
      <c r="AH140" s="418"/>
      <c r="AI140" s="418"/>
      <c r="AJ140" s="418"/>
      <c r="AK140" s="418"/>
    </row>
    <row r="141" spans="1:37" ht="23.25">
      <c r="A141" s="411" t="s">
        <v>251</v>
      </c>
      <c r="B141" s="89" t="s">
        <v>225</v>
      </c>
      <c r="C141" s="147">
        <v>8265</v>
      </c>
      <c r="D141" s="147">
        <v>34834</v>
      </c>
      <c r="E141" s="147">
        <v>3981</v>
      </c>
      <c r="F141" s="147">
        <v>20089</v>
      </c>
      <c r="G141" s="147">
        <v>1635</v>
      </c>
      <c r="H141" s="147">
        <v>5015</v>
      </c>
      <c r="I141" s="147">
        <v>2482</v>
      </c>
      <c r="J141" s="147"/>
      <c r="K141" s="147"/>
      <c r="L141" s="147">
        <v>95</v>
      </c>
      <c r="M141" s="147">
        <v>429</v>
      </c>
      <c r="N141" s="147">
        <v>1897</v>
      </c>
      <c r="O141" s="147">
        <v>151</v>
      </c>
      <c r="P141" s="85">
        <f>SUM(C141:O141)</f>
        <v>78873</v>
      </c>
      <c r="Q141" s="147">
        <v>1213</v>
      </c>
      <c r="R141" s="147">
        <v>2527</v>
      </c>
      <c r="S141" s="147">
        <v>1930</v>
      </c>
      <c r="T141" s="147">
        <v>2780</v>
      </c>
      <c r="U141" s="147">
        <v>2735</v>
      </c>
      <c r="V141" s="147">
        <v>791</v>
      </c>
      <c r="W141" s="147">
        <v>267</v>
      </c>
      <c r="X141" s="147">
        <v>797</v>
      </c>
      <c r="Y141" s="81">
        <v>215</v>
      </c>
      <c r="Z141" s="81">
        <v>139</v>
      </c>
      <c r="AA141" s="67"/>
      <c r="AB141" s="85">
        <f>SUM(Q141:AA141)</f>
        <v>13394</v>
      </c>
      <c r="AC141" s="86">
        <f>P141+AB141</f>
        <v>92267</v>
      </c>
      <c r="AD141" s="82">
        <v>18</v>
      </c>
      <c r="AE141" s="82">
        <v>3</v>
      </c>
      <c r="AF141" s="82">
        <v>0</v>
      </c>
      <c r="AG141" s="83">
        <f>SUM(AD141:AF141)</f>
        <v>21</v>
      </c>
      <c r="AH141" s="416">
        <v>2193</v>
      </c>
      <c r="AI141" s="416">
        <v>1983</v>
      </c>
      <c r="AJ141" s="416">
        <v>659</v>
      </c>
      <c r="AK141" s="416">
        <f>SUM(AH141:AJ146)</f>
        <v>4835</v>
      </c>
    </row>
    <row r="142" spans="1:37" ht="23.25">
      <c r="A142" s="412"/>
      <c r="B142" s="89" t="s">
        <v>226</v>
      </c>
      <c r="C142" s="147">
        <v>37.192499999999995</v>
      </c>
      <c r="D142" s="147">
        <v>156.75299999999999</v>
      </c>
      <c r="E142" s="147">
        <v>17.9145</v>
      </c>
      <c r="F142" s="147">
        <v>90.400499999999994</v>
      </c>
      <c r="G142" s="147">
        <v>0</v>
      </c>
      <c r="H142" s="147">
        <v>0</v>
      </c>
      <c r="I142" s="147">
        <v>0</v>
      </c>
      <c r="J142" s="147"/>
      <c r="K142" s="147"/>
      <c r="L142" s="147">
        <v>0</v>
      </c>
      <c r="M142" s="147">
        <v>1.9304999999999999</v>
      </c>
      <c r="N142" s="147">
        <v>8.5365000000000002</v>
      </c>
      <c r="O142" s="147">
        <v>0</v>
      </c>
      <c r="P142" s="85">
        <f>SUM(C142:O142)</f>
        <v>312.72749999999996</v>
      </c>
      <c r="Q142" s="147">
        <v>33.130000000000003</v>
      </c>
      <c r="R142" s="147">
        <v>0</v>
      </c>
      <c r="S142" s="147">
        <v>0</v>
      </c>
      <c r="T142" s="147">
        <v>27.8</v>
      </c>
      <c r="U142" s="147">
        <v>0</v>
      </c>
      <c r="V142" s="147">
        <v>0</v>
      </c>
      <c r="W142" s="147">
        <v>0</v>
      </c>
      <c r="X142" s="147">
        <v>159.4</v>
      </c>
      <c r="Y142" s="147">
        <v>0</v>
      </c>
      <c r="Z142" s="147">
        <v>0</v>
      </c>
      <c r="AA142" s="67"/>
      <c r="AB142" s="85">
        <f>SUM(Q142:AA142)</f>
        <v>220.33</v>
      </c>
      <c r="AC142" s="86">
        <f>P142+AB142</f>
        <v>533.0575</v>
      </c>
      <c r="AD142" s="82"/>
      <c r="AE142" s="82"/>
      <c r="AF142" s="82"/>
      <c r="AG142" s="83"/>
      <c r="AH142" s="417"/>
      <c r="AI142" s="417"/>
      <c r="AJ142" s="417"/>
      <c r="AK142" s="417"/>
    </row>
    <row r="143" spans="1:37" ht="22.5">
      <c r="A143" s="412"/>
      <c r="B143" s="133" t="s">
        <v>227</v>
      </c>
      <c r="C143" s="141">
        <v>9252</v>
      </c>
      <c r="D143" s="141">
        <v>37456</v>
      </c>
      <c r="E143" s="141">
        <v>4675</v>
      </c>
      <c r="F143" s="141">
        <v>21619</v>
      </c>
      <c r="G143" s="141">
        <v>1710</v>
      </c>
      <c r="H143" s="141">
        <v>763</v>
      </c>
      <c r="I143" s="141">
        <v>2553</v>
      </c>
      <c r="J143" s="141"/>
      <c r="K143" s="141"/>
      <c r="L143" s="141">
        <v>102</v>
      </c>
      <c r="M143" s="155">
        <v>470</v>
      </c>
      <c r="N143" s="155">
        <v>2470</v>
      </c>
      <c r="O143" s="141">
        <v>151</v>
      </c>
      <c r="P143" s="85">
        <f>SUM(C143:O143)</f>
        <v>81221</v>
      </c>
      <c r="Q143" s="141">
        <v>1403</v>
      </c>
      <c r="R143" s="141">
        <v>2766</v>
      </c>
      <c r="S143" s="141">
        <v>2020</v>
      </c>
      <c r="T143" s="141">
        <v>3192</v>
      </c>
      <c r="U143" s="155">
        <v>1132</v>
      </c>
      <c r="V143" s="141">
        <v>859</v>
      </c>
      <c r="W143" s="141">
        <v>292</v>
      </c>
      <c r="X143" s="141">
        <v>990</v>
      </c>
      <c r="Y143" s="141">
        <v>216</v>
      </c>
      <c r="Z143" s="141">
        <v>164</v>
      </c>
      <c r="AA143" s="67"/>
      <c r="AB143" s="85">
        <f>SUM(Q143:AA143)</f>
        <v>13034</v>
      </c>
      <c r="AC143" s="86">
        <f>P143+AB143</f>
        <v>94255</v>
      </c>
      <c r="AD143" s="68"/>
      <c r="AE143" s="68"/>
      <c r="AF143" s="68"/>
      <c r="AG143" s="68"/>
      <c r="AH143" s="417"/>
      <c r="AI143" s="417"/>
      <c r="AJ143" s="417"/>
      <c r="AK143" s="417"/>
    </row>
    <row r="144" spans="1:37" ht="22.5">
      <c r="A144" s="412"/>
      <c r="B144" s="133" t="s">
        <v>228</v>
      </c>
      <c r="C144" s="400">
        <f>C141+D141+E141+F141+C142+D142+E142+F142</f>
        <v>67471.260500000004</v>
      </c>
      <c r="D144" s="414"/>
      <c r="E144" s="414"/>
      <c r="F144" s="415"/>
      <c r="G144" s="400">
        <f>G141+H141+I141+G142+H142+I142</f>
        <v>9132</v>
      </c>
      <c r="H144" s="414"/>
      <c r="I144" s="415"/>
      <c r="J144" s="268"/>
      <c r="K144" s="268"/>
      <c r="L144" s="400">
        <f>L141+M141+N141+L142+M142+N142</f>
        <v>2431.4670000000001</v>
      </c>
      <c r="M144" s="414"/>
      <c r="N144" s="415"/>
      <c r="O144" s="141"/>
      <c r="P144" s="85"/>
      <c r="Q144" s="400">
        <f>Q141+R141+S141+Q142+R142+S142</f>
        <v>5703.13</v>
      </c>
      <c r="R144" s="414"/>
      <c r="S144" s="415"/>
      <c r="T144" s="141"/>
      <c r="U144" s="141"/>
      <c r="V144" s="141"/>
      <c r="W144" s="141"/>
      <c r="X144" s="141"/>
      <c r="Y144" s="141"/>
      <c r="Z144" s="141"/>
      <c r="AA144" s="67"/>
      <c r="AB144" s="85"/>
      <c r="AC144" s="86"/>
      <c r="AD144" s="68"/>
      <c r="AE144" s="68"/>
      <c r="AF144" s="68"/>
      <c r="AG144" s="68"/>
      <c r="AH144" s="417"/>
      <c r="AI144" s="417"/>
      <c r="AJ144" s="417"/>
      <c r="AK144" s="417"/>
    </row>
    <row r="145" spans="1:37" ht="22.5">
      <c r="A145" s="412"/>
      <c r="B145" s="133" t="s">
        <v>229</v>
      </c>
      <c r="C145" s="400">
        <f>C143+D143+E143+F143</f>
        <v>73002</v>
      </c>
      <c r="D145" s="414"/>
      <c r="E145" s="414"/>
      <c r="F145" s="415"/>
      <c r="G145" s="400">
        <f>G143+H143+I143</f>
        <v>5026</v>
      </c>
      <c r="H145" s="414"/>
      <c r="I145" s="415"/>
      <c r="J145" s="268"/>
      <c r="K145" s="268"/>
      <c r="L145" s="400">
        <f>L143+M143+N143</f>
        <v>3042</v>
      </c>
      <c r="M145" s="414"/>
      <c r="N145" s="415"/>
      <c r="O145" s="141"/>
      <c r="P145" s="85"/>
      <c r="Q145" s="400">
        <f>Q143+R143+S143</f>
        <v>6189</v>
      </c>
      <c r="R145" s="414"/>
      <c r="S145" s="415"/>
      <c r="T145" s="141"/>
      <c r="U145" s="141"/>
      <c r="V145" s="141"/>
      <c r="W145" s="141"/>
      <c r="X145" s="141"/>
      <c r="Y145" s="141"/>
      <c r="Z145" s="141"/>
      <c r="AA145" s="67"/>
      <c r="AB145" s="85"/>
      <c r="AC145" s="86"/>
      <c r="AD145" s="68"/>
      <c r="AE145" s="68"/>
      <c r="AF145" s="68"/>
      <c r="AG145" s="68"/>
      <c r="AH145" s="417"/>
      <c r="AI145" s="417"/>
      <c r="AJ145" s="417"/>
      <c r="AK145" s="417"/>
    </row>
    <row r="146" spans="1:37" ht="22.5">
      <c r="A146" s="413"/>
      <c r="B146" s="93" t="s">
        <v>223</v>
      </c>
      <c r="C146" s="406">
        <f>C144/C145</f>
        <v>0.92423852086244218</v>
      </c>
      <c r="D146" s="409"/>
      <c r="E146" s="409"/>
      <c r="F146" s="410"/>
      <c r="G146" s="406">
        <f>G144/G145</f>
        <v>1.8169518503780342</v>
      </c>
      <c r="H146" s="409"/>
      <c r="I146" s="410"/>
      <c r="J146" s="267"/>
      <c r="K146" s="267"/>
      <c r="L146" s="406">
        <f>L144/L145</f>
        <v>0.79929881656804735</v>
      </c>
      <c r="M146" s="409"/>
      <c r="N146" s="410"/>
      <c r="O146" s="142">
        <f>(O141+O142)/O143</f>
        <v>1</v>
      </c>
      <c r="P146" s="87">
        <f>(P141+P142)/P143</f>
        <v>0.97494154836803282</v>
      </c>
      <c r="Q146" s="406">
        <f>Q144/Q145</f>
        <v>0.92149458717078692</v>
      </c>
      <c r="R146" s="409"/>
      <c r="S146" s="410"/>
      <c r="T146" s="142">
        <f t="shared" ref="T146:Z146" si="22">(T141+T142)/T143</f>
        <v>0.87963659147869677</v>
      </c>
      <c r="U146" s="142">
        <f t="shared" si="22"/>
        <v>2.4160777385159009</v>
      </c>
      <c r="V146" s="142">
        <f t="shared" si="22"/>
        <v>0.92083818393480787</v>
      </c>
      <c r="W146" s="142">
        <f t="shared" si="22"/>
        <v>0.91438356164383561</v>
      </c>
      <c r="X146" s="142">
        <f t="shared" si="22"/>
        <v>0.96606060606060606</v>
      </c>
      <c r="Y146" s="142">
        <f t="shared" si="22"/>
        <v>0.99537037037037035</v>
      </c>
      <c r="Z146" s="142">
        <f t="shared" si="22"/>
        <v>0.84756097560975607</v>
      </c>
      <c r="AA146" s="69"/>
      <c r="AB146" s="87">
        <f>(AB141+AB142)/AB143</f>
        <v>1.0445243210065982</v>
      </c>
      <c r="AC146" s="88">
        <f>(AC141+AC142)/AC143</f>
        <v>0.98456376319558636</v>
      </c>
      <c r="AD146" s="84" t="e">
        <f>AD141/$AG$173</f>
        <v>#DIV/0!</v>
      </c>
      <c r="AE146" s="84" t="e">
        <f>AE141/$AG$173</f>
        <v>#DIV/0!</v>
      </c>
      <c r="AF146" s="84" t="e">
        <f>AF141/$AG$173</f>
        <v>#DIV/0!</v>
      </c>
      <c r="AG146" s="134" t="e">
        <f>AG141/$AG$173</f>
        <v>#DIV/0!</v>
      </c>
      <c r="AH146" s="418"/>
      <c r="AI146" s="418"/>
      <c r="AJ146" s="418"/>
      <c r="AK146" s="418"/>
    </row>
    <row r="147" spans="1:37" ht="23.25">
      <c r="A147" s="411" t="s">
        <v>252</v>
      </c>
      <c r="B147" s="89" t="s">
        <v>225</v>
      </c>
      <c r="C147" s="147">
        <v>8327</v>
      </c>
      <c r="D147" s="147">
        <v>35167</v>
      </c>
      <c r="E147" s="147">
        <v>4051</v>
      </c>
      <c r="F147" s="147">
        <v>20131</v>
      </c>
      <c r="G147" s="147">
        <v>1648</v>
      </c>
      <c r="H147" s="147">
        <v>4968</v>
      </c>
      <c r="I147" s="147">
        <v>2470</v>
      </c>
      <c r="J147" s="147"/>
      <c r="K147" s="147"/>
      <c r="L147" s="147">
        <v>100</v>
      </c>
      <c r="M147" s="147">
        <v>429</v>
      </c>
      <c r="N147" s="147">
        <v>2035</v>
      </c>
      <c r="O147" s="147">
        <v>151</v>
      </c>
      <c r="P147" s="85">
        <f>SUM(C147:O147)</f>
        <v>79477</v>
      </c>
      <c r="Q147" s="147">
        <v>1204</v>
      </c>
      <c r="R147" s="147">
        <v>2539</v>
      </c>
      <c r="S147" s="147">
        <v>1974</v>
      </c>
      <c r="T147" s="147">
        <v>2820</v>
      </c>
      <c r="U147" s="147">
        <v>2709</v>
      </c>
      <c r="V147" s="147">
        <v>790</v>
      </c>
      <c r="W147" s="147">
        <v>271</v>
      </c>
      <c r="X147" s="147">
        <v>798</v>
      </c>
      <c r="Y147" s="81">
        <v>214</v>
      </c>
      <c r="Z147" s="81">
        <v>140</v>
      </c>
      <c r="AA147" s="67"/>
      <c r="AB147" s="85">
        <f>SUM(Q147:AA147)</f>
        <v>13459</v>
      </c>
      <c r="AC147" s="86">
        <f>P147+AB147</f>
        <v>92936</v>
      </c>
      <c r="AD147" s="82">
        <v>19</v>
      </c>
      <c r="AE147" s="82">
        <v>2</v>
      </c>
      <c r="AF147" s="82">
        <v>0</v>
      </c>
      <c r="AG147" s="83">
        <f>SUM(AD147:AF147)</f>
        <v>21</v>
      </c>
      <c r="AH147" s="416">
        <v>2008</v>
      </c>
      <c r="AI147" s="416">
        <v>1864</v>
      </c>
      <c r="AJ147" s="416">
        <v>491</v>
      </c>
      <c r="AK147" s="416">
        <f>SUM(AH147:AJ152)</f>
        <v>4363</v>
      </c>
    </row>
    <row r="148" spans="1:37" ht="23.25">
      <c r="A148" s="412"/>
      <c r="B148" s="89" t="s">
        <v>226</v>
      </c>
      <c r="C148" s="147">
        <v>37.471499999999999</v>
      </c>
      <c r="D148" s="147">
        <v>158.25149999999999</v>
      </c>
      <c r="E148" s="147">
        <v>18.229499999999998</v>
      </c>
      <c r="F148" s="147">
        <v>90.589499999999987</v>
      </c>
      <c r="G148" s="147">
        <v>0</v>
      </c>
      <c r="H148" s="147">
        <v>0</v>
      </c>
      <c r="I148" s="147">
        <v>0</v>
      </c>
      <c r="J148" s="147"/>
      <c r="K148" s="147"/>
      <c r="L148" s="147">
        <v>0</v>
      </c>
      <c r="M148" s="147">
        <v>1.9304999999999999</v>
      </c>
      <c r="N148" s="147">
        <v>9.1574999999999989</v>
      </c>
      <c r="O148" s="147">
        <v>0</v>
      </c>
      <c r="P148" s="85">
        <f>SUM(C148:O148)</f>
        <v>315.63</v>
      </c>
      <c r="Q148" s="147">
        <v>33.04</v>
      </c>
      <c r="R148" s="147">
        <v>0</v>
      </c>
      <c r="S148" s="147">
        <v>0</v>
      </c>
      <c r="T148" s="147">
        <v>28.2</v>
      </c>
      <c r="U148" s="147">
        <v>0</v>
      </c>
      <c r="V148" s="147">
        <v>0</v>
      </c>
      <c r="W148" s="147">
        <v>0</v>
      </c>
      <c r="X148" s="147">
        <v>159.60000000000002</v>
      </c>
      <c r="Y148" s="147">
        <v>0</v>
      </c>
      <c r="Z148" s="147">
        <v>0</v>
      </c>
      <c r="AA148" s="67"/>
      <c r="AB148" s="85">
        <f>SUM(Q148:AA148)</f>
        <v>220.84000000000003</v>
      </c>
      <c r="AC148" s="86">
        <f>P148+AB148</f>
        <v>536.47</v>
      </c>
      <c r="AD148" s="82"/>
      <c r="AE148" s="82"/>
      <c r="AF148" s="82"/>
      <c r="AG148" s="83"/>
      <c r="AH148" s="417"/>
      <c r="AI148" s="417"/>
      <c r="AJ148" s="417"/>
      <c r="AK148" s="417"/>
    </row>
    <row r="149" spans="1:37" ht="22.5">
      <c r="A149" s="412"/>
      <c r="B149" s="133" t="s">
        <v>227</v>
      </c>
      <c r="C149" s="141">
        <v>9252</v>
      </c>
      <c r="D149" s="141">
        <v>37456</v>
      </c>
      <c r="E149" s="141">
        <v>4675</v>
      </c>
      <c r="F149" s="141">
        <v>21619</v>
      </c>
      <c r="G149" s="141">
        <v>1710</v>
      </c>
      <c r="H149" s="141">
        <v>763</v>
      </c>
      <c r="I149" s="141">
        <v>2553</v>
      </c>
      <c r="J149" s="141"/>
      <c r="K149" s="141"/>
      <c r="L149" s="141">
        <v>102</v>
      </c>
      <c r="M149" s="155">
        <v>470</v>
      </c>
      <c r="N149" s="155">
        <v>2470</v>
      </c>
      <c r="O149" s="141">
        <v>151</v>
      </c>
      <c r="P149" s="85">
        <f>SUM(C149:O149)</f>
        <v>81221</v>
      </c>
      <c r="Q149" s="141">
        <v>1403</v>
      </c>
      <c r="R149" s="141">
        <v>2766</v>
      </c>
      <c r="S149" s="141">
        <v>2020</v>
      </c>
      <c r="T149" s="141">
        <v>3192</v>
      </c>
      <c r="U149" s="155">
        <v>1132</v>
      </c>
      <c r="V149" s="141">
        <v>859</v>
      </c>
      <c r="W149" s="141">
        <v>292</v>
      </c>
      <c r="X149" s="141">
        <v>990</v>
      </c>
      <c r="Y149" s="141">
        <v>216</v>
      </c>
      <c r="Z149" s="141">
        <v>164</v>
      </c>
      <c r="AA149" s="67"/>
      <c r="AB149" s="85">
        <f>SUM(Q149:AA149)</f>
        <v>13034</v>
      </c>
      <c r="AC149" s="86">
        <f>P149+AB149</f>
        <v>94255</v>
      </c>
      <c r="AD149" s="68"/>
      <c r="AE149" s="68"/>
      <c r="AF149" s="68"/>
      <c r="AG149" s="68"/>
      <c r="AH149" s="417"/>
      <c r="AI149" s="417"/>
      <c r="AJ149" s="417"/>
      <c r="AK149" s="417"/>
    </row>
    <row r="150" spans="1:37" ht="22.5">
      <c r="A150" s="412"/>
      <c r="B150" s="133" t="s">
        <v>228</v>
      </c>
      <c r="C150" s="400">
        <f>C147+D147+E147+F147+C148+D148+E148+F148</f>
        <v>67980.542000000001</v>
      </c>
      <c r="D150" s="414"/>
      <c r="E150" s="414"/>
      <c r="F150" s="415"/>
      <c r="G150" s="400">
        <f>G147+H147+I147+G148+H148+I148</f>
        <v>9086</v>
      </c>
      <c r="H150" s="414"/>
      <c r="I150" s="415"/>
      <c r="J150" s="268"/>
      <c r="K150" s="268"/>
      <c r="L150" s="400">
        <f>L147+M147+N147+L148+M148+N148</f>
        <v>2575.0879999999997</v>
      </c>
      <c r="M150" s="414"/>
      <c r="N150" s="415"/>
      <c r="O150" s="141"/>
      <c r="P150" s="85"/>
      <c r="Q150" s="400">
        <f>Q147+R147+S147+Q148+R148+S148</f>
        <v>5750.04</v>
      </c>
      <c r="R150" s="414"/>
      <c r="S150" s="415"/>
      <c r="T150" s="141"/>
      <c r="U150" s="141"/>
      <c r="V150" s="141"/>
      <c r="W150" s="141"/>
      <c r="X150" s="141"/>
      <c r="Y150" s="141"/>
      <c r="Z150" s="141"/>
      <c r="AA150" s="67"/>
      <c r="AB150" s="85"/>
      <c r="AC150" s="86"/>
      <c r="AD150" s="68"/>
      <c r="AE150" s="68"/>
      <c r="AF150" s="68"/>
      <c r="AG150" s="68"/>
      <c r="AH150" s="417"/>
      <c r="AI150" s="417"/>
      <c r="AJ150" s="417"/>
      <c r="AK150" s="417"/>
    </row>
    <row r="151" spans="1:37" ht="22.5">
      <c r="A151" s="412"/>
      <c r="B151" s="133" t="s">
        <v>229</v>
      </c>
      <c r="C151" s="400">
        <f>C149+D149+E149+F149</f>
        <v>73002</v>
      </c>
      <c r="D151" s="414"/>
      <c r="E151" s="414"/>
      <c r="F151" s="415"/>
      <c r="G151" s="400">
        <f>G149+H149+I149</f>
        <v>5026</v>
      </c>
      <c r="H151" s="414"/>
      <c r="I151" s="415"/>
      <c r="J151" s="268"/>
      <c r="K151" s="268"/>
      <c r="L151" s="400">
        <f>L149+M149+N149</f>
        <v>3042</v>
      </c>
      <c r="M151" s="414"/>
      <c r="N151" s="415"/>
      <c r="O151" s="141"/>
      <c r="P151" s="85"/>
      <c r="Q151" s="400">
        <f>Q149+R149+S149</f>
        <v>6189</v>
      </c>
      <c r="R151" s="414"/>
      <c r="S151" s="415"/>
      <c r="T151" s="141"/>
      <c r="U151" s="141"/>
      <c r="V151" s="141"/>
      <c r="W151" s="141"/>
      <c r="X151" s="141"/>
      <c r="Y151" s="141"/>
      <c r="Z151" s="141"/>
      <c r="AA151" s="67"/>
      <c r="AB151" s="85"/>
      <c r="AC151" s="86"/>
      <c r="AD151" s="68"/>
      <c r="AE151" s="68"/>
      <c r="AF151" s="68"/>
      <c r="AG151" s="68"/>
      <c r="AH151" s="417"/>
      <c r="AI151" s="417"/>
      <c r="AJ151" s="417"/>
      <c r="AK151" s="417"/>
    </row>
    <row r="152" spans="1:37" ht="22.5">
      <c r="A152" s="413"/>
      <c r="B152" s="93" t="s">
        <v>223</v>
      </c>
      <c r="C152" s="406">
        <f>C150/C151</f>
        <v>0.93121478863592777</v>
      </c>
      <c r="D152" s="409"/>
      <c r="E152" s="409"/>
      <c r="F152" s="410"/>
      <c r="G152" s="406">
        <f>G150/G151</f>
        <v>1.8077994428969359</v>
      </c>
      <c r="H152" s="409"/>
      <c r="I152" s="410"/>
      <c r="J152" s="267"/>
      <c r="K152" s="267"/>
      <c r="L152" s="406">
        <f>L150/L151</f>
        <v>0.84651150558842858</v>
      </c>
      <c r="M152" s="409"/>
      <c r="N152" s="410"/>
      <c r="O152" s="142">
        <f>(O147+O148)/O149</f>
        <v>1</v>
      </c>
      <c r="P152" s="87">
        <f>(P147+P148)/P149</f>
        <v>0.98241378461235396</v>
      </c>
      <c r="Q152" s="406">
        <f>Q150/Q151</f>
        <v>0.92907416383906927</v>
      </c>
      <c r="R152" s="409"/>
      <c r="S152" s="410"/>
      <c r="T152" s="142">
        <f t="shared" ref="T152:Z152" si="23">(T147+T148)/T149</f>
        <v>0.89229323308270669</v>
      </c>
      <c r="U152" s="142">
        <f t="shared" si="23"/>
        <v>2.3931095406360425</v>
      </c>
      <c r="V152" s="142">
        <f t="shared" si="23"/>
        <v>0.91967403958090799</v>
      </c>
      <c r="W152" s="142">
        <f t="shared" si="23"/>
        <v>0.92808219178082196</v>
      </c>
      <c r="X152" s="142">
        <f t="shared" si="23"/>
        <v>0.96727272727272728</v>
      </c>
      <c r="Y152" s="142">
        <f t="shared" si="23"/>
        <v>0.9907407407407407</v>
      </c>
      <c r="Z152" s="142">
        <f t="shared" si="23"/>
        <v>0.85365853658536583</v>
      </c>
      <c r="AA152" s="69"/>
      <c r="AB152" s="87">
        <f>(AB147+AB148)/AB149</f>
        <v>1.049550406628817</v>
      </c>
      <c r="AC152" s="88">
        <f>(AC147+AC148)/AC149</f>
        <v>0.99169773486817681</v>
      </c>
      <c r="AD152" s="84" t="e">
        <f>AD147/$AG$173</f>
        <v>#DIV/0!</v>
      </c>
      <c r="AE152" s="84" t="e">
        <f>AE147/$AG$173</f>
        <v>#DIV/0!</v>
      </c>
      <c r="AF152" s="84" t="e">
        <f>AF147/$AG$173</f>
        <v>#DIV/0!</v>
      </c>
      <c r="AG152" s="134" t="e">
        <f>AG147/$AG$173</f>
        <v>#DIV/0!</v>
      </c>
      <c r="AH152" s="418"/>
      <c r="AI152" s="418"/>
      <c r="AJ152" s="418"/>
      <c r="AK152" s="418"/>
    </row>
    <row r="153" spans="1:37" ht="23.25">
      <c r="A153" s="411" t="s">
        <v>253</v>
      </c>
      <c r="B153" s="89" t="s">
        <v>225</v>
      </c>
      <c r="C153" s="147">
        <v>8362</v>
      </c>
      <c r="D153" s="147">
        <v>35327</v>
      </c>
      <c r="E153" s="147">
        <v>4044</v>
      </c>
      <c r="F153" s="147">
        <v>20148</v>
      </c>
      <c r="G153" s="147">
        <v>1648</v>
      </c>
      <c r="H153" s="147">
        <v>4903</v>
      </c>
      <c r="I153" s="147">
        <v>2474</v>
      </c>
      <c r="J153" s="147"/>
      <c r="K153" s="147"/>
      <c r="L153" s="147">
        <v>89</v>
      </c>
      <c r="M153" s="147">
        <v>433</v>
      </c>
      <c r="N153" s="147">
        <v>2152</v>
      </c>
      <c r="O153" s="147">
        <v>151</v>
      </c>
      <c r="P153" s="85">
        <f>SUM(C153:O153)</f>
        <v>79731</v>
      </c>
      <c r="Q153" s="147">
        <v>1237</v>
      </c>
      <c r="R153" s="147">
        <v>2547</v>
      </c>
      <c r="S153" s="147">
        <v>1984</v>
      </c>
      <c r="T153" s="147">
        <v>2808</v>
      </c>
      <c r="U153" s="147">
        <v>2688</v>
      </c>
      <c r="V153" s="147">
        <v>793</v>
      </c>
      <c r="W153" s="147">
        <v>275</v>
      </c>
      <c r="X153" s="147">
        <v>762</v>
      </c>
      <c r="Y153" s="81">
        <v>227</v>
      </c>
      <c r="Z153" s="81">
        <v>140</v>
      </c>
      <c r="AA153" s="67"/>
      <c r="AB153" s="85">
        <f>SUM(Q153:AA153)</f>
        <v>13461</v>
      </c>
      <c r="AC153" s="86">
        <f>P153+AB153</f>
        <v>93192</v>
      </c>
      <c r="AD153" s="82">
        <v>20</v>
      </c>
      <c r="AE153" s="82">
        <v>1</v>
      </c>
      <c r="AF153" s="82">
        <v>0</v>
      </c>
      <c r="AG153" s="83">
        <f>SUM(AD153:AF153)</f>
        <v>21</v>
      </c>
      <c r="AH153" s="416">
        <v>2271</v>
      </c>
      <c r="AI153" s="416">
        <v>2709</v>
      </c>
      <c r="AJ153" s="416">
        <v>581</v>
      </c>
      <c r="AK153" s="416">
        <f>SUM(AH153:AJ158)</f>
        <v>5561</v>
      </c>
    </row>
    <row r="154" spans="1:37" ht="23.25">
      <c r="A154" s="412"/>
      <c r="B154" s="89" t="s">
        <v>226</v>
      </c>
      <c r="C154" s="147">
        <v>37.628999999999998</v>
      </c>
      <c r="D154" s="147">
        <v>158.97149999999999</v>
      </c>
      <c r="E154" s="147">
        <v>18.198</v>
      </c>
      <c r="F154" s="147">
        <v>90.665999999999997</v>
      </c>
      <c r="G154" s="147">
        <v>0</v>
      </c>
      <c r="H154" s="147">
        <v>0</v>
      </c>
      <c r="I154" s="147">
        <v>0</v>
      </c>
      <c r="J154" s="147"/>
      <c r="K154" s="147"/>
      <c r="L154" s="147">
        <v>0</v>
      </c>
      <c r="M154" s="147">
        <v>1.9484999999999999</v>
      </c>
      <c r="N154" s="147">
        <v>9.6839999999999993</v>
      </c>
      <c r="O154" s="147">
        <v>0</v>
      </c>
      <c r="P154" s="85">
        <f>SUM(C154:O154)</f>
        <v>317.09700000000004</v>
      </c>
      <c r="Q154" s="147">
        <v>33.370000000000005</v>
      </c>
      <c r="R154" s="147">
        <v>0</v>
      </c>
      <c r="S154" s="147">
        <v>0</v>
      </c>
      <c r="T154" s="147">
        <v>28.080000000000002</v>
      </c>
      <c r="U154" s="147">
        <v>0</v>
      </c>
      <c r="V154" s="147">
        <v>0</v>
      </c>
      <c r="W154" s="147">
        <v>0</v>
      </c>
      <c r="X154" s="147">
        <v>152.4</v>
      </c>
      <c r="Y154" s="147">
        <v>0</v>
      </c>
      <c r="Z154" s="147">
        <v>0</v>
      </c>
      <c r="AA154" s="67"/>
      <c r="AB154" s="85">
        <f>SUM(Q154:AA154)</f>
        <v>213.85000000000002</v>
      </c>
      <c r="AC154" s="86">
        <f>P154+AB154</f>
        <v>530.94700000000012</v>
      </c>
      <c r="AD154" s="82"/>
      <c r="AE154" s="82"/>
      <c r="AF154" s="82"/>
      <c r="AG154" s="83"/>
      <c r="AH154" s="417"/>
      <c r="AI154" s="417"/>
      <c r="AJ154" s="417"/>
      <c r="AK154" s="417"/>
    </row>
    <row r="155" spans="1:37" ht="22.5">
      <c r="A155" s="412"/>
      <c r="B155" s="133" t="s">
        <v>227</v>
      </c>
      <c r="C155" s="141">
        <v>9252</v>
      </c>
      <c r="D155" s="141">
        <v>37456</v>
      </c>
      <c r="E155" s="141">
        <v>4675</v>
      </c>
      <c r="F155" s="141">
        <v>21619</v>
      </c>
      <c r="G155" s="141">
        <v>1710</v>
      </c>
      <c r="H155" s="141">
        <v>763</v>
      </c>
      <c r="I155" s="141">
        <v>2553</v>
      </c>
      <c r="J155" s="141"/>
      <c r="K155" s="141"/>
      <c r="L155" s="141">
        <v>102</v>
      </c>
      <c r="M155" s="155">
        <v>470</v>
      </c>
      <c r="N155" s="155">
        <v>2470</v>
      </c>
      <c r="O155" s="141">
        <v>151</v>
      </c>
      <c r="P155" s="85">
        <f>SUM(C155:O155)</f>
        <v>81221</v>
      </c>
      <c r="Q155" s="141">
        <v>1403</v>
      </c>
      <c r="R155" s="141">
        <v>2766</v>
      </c>
      <c r="S155" s="141">
        <v>2020</v>
      </c>
      <c r="T155" s="141">
        <v>3192</v>
      </c>
      <c r="U155" s="155">
        <v>1132</v>
      </c>
      <c r="V155" s="141">
        <v>859</v>
      </c>
      <c r="W155" s="141">
        <v>292</v>
      </c>
      <c r="X155" s="141">
        <v>990</v>
      </c>
      <c r="Y155" s="155">
        <v>234</v>
      </c>
      <c r="Z155" s="141">
        <v>164</v>
      </c>
      <c r="AA155" s="67"/>
      <c r="AB155" s="85">
        <f>SUM(Q155:AA155)</f>
        <v>13052</v>
      </c>
      <c r="AC155" s="86">
        <f>P155+AB155</f>
        <v>94273</v>
      </c>
      <c r="AD155" s="68"/>
      <c r="AE155" s="68"/>
      <c r="AF155" s="68"/>
      <c r="AG155" s="68"/>
      <c r="AH155" s="417"/>
      <c r="AI155" s="417"/>
      <c r="AJ155" s="417"/>
      <c r="AK155" s="417"/>
    </row>
    <row r="156" spans="1:37" ht="22.5">
      <c r="A156" s="412"/>
      <c r="B156" s="133" t="s">
        <v>228</v>
      </c>
      <c r="C156" s="400">
        <f>C153+D153+E153+F153+C154+D154+E154+F154</f>
        <v>68186.464500000002</v>
      </c>
      <c r="D156" s="414"/>
      <c r="E156" s="414"/>
      <c r="F156" s="415"/>
      <c r="G156" s="400">
        <f>G153+H153+I153+G154+H154+I154</f>
        <v>9025</v>
      </c>
      <c r="H156" s="414"/>
      <c r="I156" s="415"/>
      <c r="J156" s="268"/>
      <c r="K156" s="268"/>
      <c r="L156" s="400">
        <f>L153+M153+N153+L154+M154+N154</f>
        <v>2685.6325000000002</v>
      </c>
      <c r="M156" s="414"/>
      <c r="N156" s="415"/>
      <c r="O156" s="141"/>
      <c r="P156" s="85"/>
      <c r="Q156" s="400">
        <f>Q153+R153+S153+Q154+R154+S154</f>
        <v>5801.37</v>
      </c>
      <c r="R156" s="414"/>
      <c r="S156" s="415"/>
      <c r="T156" s="141"/>
      <c r="U156" s="141"/>
      <c r="V156" s="141"/>
      <c r="W156" s="141"/>
      <c r="X156" s="141"/>
      <c r="Y156" s="141"/>
      <c r="Z156" s="141"/>
      <c r="AA156" s="67"/>
      <c r="AB156" s="85"/>
      <c r="AC156" s="86"/>
      <c r="AD156" s="68"/>
      <c r="AE156" s="68"/>
      <c r="AF156" s="68"/>
      <c r="AG156" s="68"/>
      <c r="AH156" s="417"/>
      <c r="AI156" s="417"/>
      <c r="AJ156" s="417"/>
      <c r="AK156" s="417"/>
    </row>
    <row r="157" spans="1:37" ht="22.5">
      <c r="A157" s="412"/>
      <c r="B157" s="133" t="s">
        <v>229</v>
      </c>
      <c r="C157" s="400">
        <f>C155+D155+E155+F155</f>
        <v>73002</v>
      </c>
      <c r="D157" s="414"/>
      <c r="E157" s="414"/>
      <c r="F157" s="415"/>
      <c r="G157" s="400">
        <f>G155+H155+I155</f>
        <v>5026</v>
      </c>
      <c r="H157" s="414"/>
      <c r="I157" s="415"/>
      <c r="J157" s="268"/>
      <c r="K157" s="268"/>
      <c r="L157" s="400">
        <f>L155+M155+N155</f>
        <v>3042</v>
      </c>
      <c r="M157" s="414"/>
      <c r="N157" s="415"/>
      <c r="O157" s="141"/>
      <c r="P157" s="85"/>
      <c r="Q157" s="400">
        <f>Q155+R155+S155</f>
        <v>6189</v>
      </c>
      <c r="R157" s="414"/>
      <c r="S157" s="415"/>
      <c r="T157" s="141"/>
      <c r="U157" s="141"/>
      <c r="V157" s="141"/>
      <c r="W157" s="141"/>
      <c r="X157" s="141"/>
      <c r="Y157" s="141"/>
      <c r="Z157" s="141"/>
      <c r="AA157" s="67"/>
      <c r="AB157" s="85"/>
      <c r="AC157" s="86"/>
      <c r="AD157" s="68"/>
      <c r="AE157" s="68"/>
      <c r="AF157" s="68"/>
      <c r="AG157" s="68"/>
      <c r="AH157" s="417"/>
      <c r="AI157" s="417"/>
      <c r="AJ157" s="417"/>
      <c r="AK157" s="417"/>
    </row>
    <row r="158" spans="1:37" ht="22.5">
      <c r="A158" s="413"/>
      <c r="B158" s="93" t="s">
        <v>223</v>
      </c>
      <c r="C158" s="406">
        <f>C156/C157</f>
        <v>0.9340355675186981</v>
      </c>
      <c r="D158" s="409"/>
      <c r="E158" s="409"/>
      <c r="F158" s="410"/>
      <c r="G158" s="406">
        <f>G156/G157</f>
        <v>1.7956625547154794</v>
      </c>
      <c r="H158" s="409"/>
      <c r="I158" s="410"/>
      <c r="J158" s="267"/>
      <c r="K158" s="267"/>
      <c r="L158" s="406">
        <f>L156/L157</f>
        <v>0.88285092044707436</v>
      </c>
      <c r="M158" s="409"/>
      <c r="N158" s="410"/>
      <c r="O158" s="142">
        <f>(O153+O154)/O155</f>
        <v>1</v>
      </c>
      <c r="P158" s="87">
        <f>(P153+P154)/P155</f>
        <v>0.98555911648465289</v>
      </c>
      <c r="Q158" s="406">
        <f>Q156/Q157</f>
        <v>0.93736791080950066</v>
      </c>
      <c r="R158" s="409"/>
      <c r="S158" s="410"/>
      <c r="T158" s="142">
        <f t="shared" ref="T158:Z158" si="24">(T153+T154)/T155</f>
        <v>0.88849624060150378</v>
      </c>
      <c r="U158" s="142">
        <f t="shared" si="24"/>
        <v>2.3745583038869258</v>
      </c>
      <c r="V158" s="142">
        <f t="shared" si="24"/>
        <v>0.92316647264260765</v>
      </c>
      <c r="W158" s="142">
        <f t="shared" si="24"/>
        <v>0.94178082191780821</v>
      </c>
      <c r="X158" s="142">
        <f t="shared" si="24"/>
        <v>0.92363636363636359</v>
      </c>
      <c r="Y158" s="142">
        <f t="shared" si="24"/>
        <v>0.97008547008547008</v>
      </c>
      <c r="Z158" s="142">
        <f t="shared" si="24"/>
        <v>0.85365853658536583</v>
      </c>
      <c r="AA158" s="69"/>
      <c r="AB158" s="87">
        <f>(AB153+AB154)/AB155</f>
        <v>1.0477206558381857</v>
      </c>
      <c r="AC158" s="88">
        <f>(AC153+AC154)/AC155</f>
        <v>0.99416531774739325</v>
      </c>
      <c r="AD158" s="84" t="e">
        <f>AD153/$AG$173</f>
        <v>#DIV/0!</v>
      </c>
      <c r="AE158" s="84" t="e">
        <f>AE153/$AG$173</f>
        <v>#DIV/0!</v>
      </c>
      <c r="AF158" s="84" t="e">
        <f>AF153/$AG$173</f>
        <v>#DIV/0!</v>
      </c>
      <c r="AG158" s="134" t="e">
        <f>AG153/$AG$173</f>
        <v>#DIV/0!</v>
      </c>
      <c r="AH158" s="418"/>
      <c r="AI158" s="418"/>
      <c r="AJ158" s="418"/>
      <c r="AK158" s="418"/>
    </row>
    <row r="159" spans="1:37" ht="23.25">
      <c r="A159" s="411" t="s">
        <v>254</v>
      </c>
      <c r="B159" s="89" t="s">
        <v>225</v>
      </c>
      <c r="C159" s="147">
        <v>8385</v>
      </c>
      <c r="D159" s="147">
        <v>35557</v>
      </c>
      <c r="E159" s="147">
        <v>4012</v>
      </c>
      <c r="F159" s="147">
        <v>20111</v>
      </c>
      <c r="G159" s="147">
        <v>1650</v>
      </c>
      <c r="H159" s="147">
        <v>4865</v>
      </c>
      <c r="I159" s="147">
        <v>2469</v>
      </c>
      <c r="J159" s="147"/>
      <c r="K159" s="147"/>
      <c r="L159" s="147">
        <v>69</v>
      </c>
      <c r="M159" s="147">
        <v>434</v>
      </c>
      <c r="N159" s="147">
        <v>2174</v>
      </c>
      <c r="O159" s="147">
        <v>151</v>
      </c>
      <c r="P159" s="85">
        <f>SUM(C159:O159)</f>
        <v>79877</v>
      </c>
      <c r="Q159" s="147">
        <v>1230</v>
      </c>
      <c r="R159" s="147">
        <v>2537</v>
      </c>
      <c r="S159" s="147">
        <v>1991</v>
      </c>
      <c r="T159" s="147">
        <v>2803</v>
      </c>
      <c r="U159" s="147">
        <v>2667</v>
      </c>
      <c r="V159" s="147">
        <v>802</v>
      </c>
      <c r="W159" s="147">
        <v>276</v>
      </c>
      <c r="X159" s="147">
        <v>764</v>
      </c>
      <c r="Y159" s="81">
        <v>228</v>
      </c>
      <c r="Z159" s="81">
        <v>140</v>
      </c>
      <c r="AA159" s="67"/>
      <c r="AB159" s="85">
        <f>SUM(Q159:AA159)</f>
        <v>13438</v>
      </c>
      <c r="AC159" s="86">
        <f>P159+AB159</f>
        <v>93315</v>
      </c>
      <c r="AD159" s="82">
        <v>19</v>
      </c>
      <c r="AE159" s="82">
        <v>1</v>
      </c>
      <c r="AF159" s="82">
        <v>1</v>
      </c>
      <c r="AG159" s="83">
        <f>SUM(AD159:AF159)</f>
        <v>21</v>
      </c>
      <c r="AH159" s="416">
        <v>1493</v>
      </c>
      <c r="AI159" s="416">
        <v>1833</v>
      </c>
      <c r="AJ159" s="416">
        <v>521</v>
      </c>
      <c r="AK159" s="416">
        <f>SUM(AH159:AJ164)</f>
        <v>3847</v>
      </c>
    </row>
    <row r="160" spans="1:37" ht="23.25">
      <c r="A160" s="412"/>
      <c r="B160" s="89" t="s">
        <v>226</v>
      </c>
      <c r="C160" s="147">
        <v>37.732499999999995</v>
      </c>
      <c r="D160" s="147">
        <v>160.00649999999999</v>
      </c>
      <c r="E160" s="147">
        <v>18.053999999999998</v>
      </c>
      <c r="F160" s="147">
        <v>90.499499999999998</v>
      </c>
      <c r="G160" s="147">
        <v>0</v>
      </c>
      <c r="H160" s="147">
        <v>0</v>
      </c>
      <c r="I160" s="147">
        <v>0</v>
      </c>
      <c r="J160" s="147"/>
      <c r="K160" s="147"/>
      <c r="L160" s="147">
        <v>0</v>
      </c>
      <c r="M160" s="147">
        <v>1.9529999999999998</v>
      </c>
      <c r="N160" s="147">
        <v>9.7829999999999995</v>
      </c>
      <c r="O160" s="147">
        <v>0</v>
      </c>
      <c r="P160" s="85">
        <f>SUM(C160:O160)</f>
        <v>318.02849999999995</v>
      </c>
      <c r="Q160" s="147">
        <v>33.299999999999997</v>
      </c>
      <c r="R160" s="147">
        <v>0</v>
      </c>
      <c r="S160" s="147">
        <v>0</v>
      </c>
      <c r="T160" s="147">
        <v>28.03</v>
      </c>
      <c r="U160" s="147">
        <v>0</v>
      </c>
      <c r="V160" s="147">
        <v>0</v>
      </c>
      <c r="W160" s="147">
        <v>0</v>
      </c>
      <c r="X160" s="147">
        <v>152.80000000000001</v>
      </c>
      <c r="Y160" s="147">
        <v>0</v>
      </c>
      <c r="Z160" s="147">
        <v>0</v>
      </c>
      <c r="AA160" s="67"/>
      <c r="AB160" s="85">
        <f>SUM(Q160:AA160)</f>
        <v>214.13</v>
      </c>
      <c r="AC160" s="86">
        <f>P160+AB160</f>
        <v>532.1585</v>
      </c>
      <c r="AD160" s="82"/>
      <c r="AE160" s="82"/>
      <c r="AF160" s="82"/>
      <c r="AG160" s="83"/>
      <c r="AH160" s="417"/>
      <c r="AI160" s="417"/>
      <c r="AJ160" s="417"/>
      <c r="AK160" s="417"/>
    </row>
    <row r="161" spans="1:37" ht="22.5">
      <c r="A161" s="412"/>
      <c r="B161" s="133" t="s">
        <v>227</v>
      </c>
      <c r="C161" s="141">
        <v>9252</v>
      </c>
      <c r="D161" s="141">
        <v>37456</v>
      </c>
      <c r="E161" s="141">
        <v>4675</v>
      </c>
      <c r="F161" s="141">
        <v>21619</v>
      </c>
      <c r="G161" s="141">
        <v>1710</v>
      </c>
      <c r="H161" s="141">
        <v>763</v>
      </c>
      <c r="I161" s="141">
        <v>2553</v>
      </c>
      <c r="J161" s="141"/>
      <c r="K161" s="141"/>
      <c r="L161" s="141">
        <v>102</v>
      </c>
      <c r="M161" s="155">
        <v>470</v>
      </c>
      <c r="N161" s="155">
        <v>2470</v>
      </c>
      <c r="O161" s="141">
        <v>151</v>
      </c>
      <c r="P161" s="85">
        <f>SUM(C161:O161)</f>
        <v>81221</v>
      </c>
      <c r="Q161" s="141">
        <v>1403</v>
      </c>
      <c r="R161" s="141">
        <v>2766</v>
      </c>
      <c r="S161" s="141">
        <v>2020</v>
      </c>
      <c r="T161" s="141">
        <v>3192</v>
      </c>
      <c r="U161" s="155">
        <v>1132</v>
      </c>
      <c r="V161" s="141">
        <v>859</v>
      </c>
      <c r="W161" s="141">
        <v>292</v>
      </c>
      <c r="X161" s="141">
        <v>990</v>
      </c>
      <c r="Y161" s="155">
        <v>234</v>
      </c>
      <c r="Z161" s="141">
        <v>164</v>
      </c>
      <c r="AA161" s="67"/>
      <c r="AB161" s="85">
        <f>SUM(Q161:AA161)</f>
        <v>13052</v>
      </c>
      <c r="AC161" s="86">
        <f>P161+AB161</f>
        <v>94273</v>
      </c>
      <c r="AD161" s="68"/>
      <c r="AE161" s="68"/>
      <c r="AF161" s="68"/>
      <c r="AG161" s="68"/>
      <c r="AH161" s="417"/>
      <c r="AI161" s="417"/>
      <c r="AJ161" s="417"/>
      <c r="AK161" s="417"/>
    </row>
    <row r="162" spans="1:37" ht="22.5">
      <c r="A162" s="412"/>
      <c r="B162" s="133" t="s">
        <v>228</v>
      </c>
      <c r="C162" s="400">
        <f>C159+D159+E159+F159+C160+D160+E160+F160</f>
        <v>68371.29250000001</v>
      </c>
      <c r="D162" s="414"/>
      <c r="E162" s="414"/>
      <c r="F162" s="415"/>
      <c r="G162" s="400">
        <f>G159+H159+I159+G160+H160+I160</f>
        <v>8984</v>
      </c>
      <c r="H162" s="414"/>
      <c r="I162" s="415"/>
      <c r="J162" s="268"/>
      <c r="K162" s="268"/>
      <c r="L162" s="400">
        <f>L159+M159+N159+L160+M160+N160</f>
        <v>2688.7359999999999</v>
      </c>
      <c r="M162" s="414"/>
      <c r="N162" s="415"/>
      <c r="O162" s="141"/>
      <c r="P162" s="85"/>
      <c r="Q162" s="400">
        <f>Q159+R159+S159+Q160+R160+S160</f>
        <v>5791.3</v>
      </c>
      <c r="R162" s="414"/>
      <c r="S162" s="415"/>
      <c r="T162" s="141"/>
      <c r="U162" s="141"/>
      <c r="V162" s="141"/>
      <c r="W162" s="141"/>
      <c r="X162" s="141"/>
      <c r="Y162" s="141"/>
      <c r="Z162" s="141"/>
      <c r="AA162" s="67"/>
      <c r="AB162" s="85"/>
      <c r="AC162" s="86"/>
      <c r="AD162" s="68"/>
      <c r="AE162" s="68"/>
      <c r="AF162" s="68"/>
      <c r="AG162" s="68"/>
      <c r="AH162" s="417"/>
      <c r="AI162" s="417"/>
      <c r="AJ162" s="417"/>
      <c r="AK162" s="417"/>
    </row>
    <row r="163" spans="1:37" ht="22.5">
      <c r="A163" s="412"/>
      <c r="B163" s="133" t="s">
        <v>229</v>
      </c>
      <c r="C163" s="400">
        <f>C161+D161+E161+F161</f>
        <v>73002</v>
      </c>
      <c r="D163" s="414"/>
      <c r="E163" s="414"/>
      <c r="F163" s="415"/>
      <c r="G163" s="400">
        <f>G161+H161+I161</f>
        <v>5026</v>
      </c>
      <c r="H163" s="414"/>
      <c r="I163" s="415"/>
      <c r="J163" s="268"/>
      <c r="K163" s="268"/>
      <c r="L163" s="400">
        <f>L161+M161+N161</f>
        <v>3042</v>
      </c>
      <c r="M163" s="414"/>
      <c r="N163" s="415"/>
      <c r="O163" s="141"/>
      <c r="P163" s="85"/>
      <c r="Q163" s="400">
        <f>Q161+R161+S161</f>
        <v>6189</v>
      </c>
      <c r="R163" s="414"/>
      <c r="S163" s="415"/>
      <c r="T163" s="141"/>
      <c r="U163" s="141"/>
      <c r="V163" s="141"/>
      <c r="W163" s="141"/>
      <c r="X163" s="141"/>
      <c r="Y163" s="141"/>
      <c r="Z163" s="141"/>
      <c r="AA163" s="67"/>
      <c r="AB163" s="85"/>
      <c r="AC163" s="86"/>
      <c r="AD163" s="68"/>
      <c r="AE163" s="68"/>
      <c r="AF163" s="68"/>
      <c r="AG163" s="68"/>
      <c r="AH163" s="417"/>
      <c r="AI163" s="417"/>
      <c r="AJ163" s="417"/>
      <c r="AK163" s="417"/>
    </row>
    <row r="164" spans="1:37" ht="22.5">
      <c r="A164" s="413"/>
      <c r="B164" s="93" t="s">
        <v>223</v>
      </c>
      <c r="C164" s="406">
        <f>C162/C163</f>
        <v>0.93656738856469701</v>
      </c>
      <c r="D164" s="409"/>
      <c r="E164" s="409"/>
      <c r="F164" s="410"/>
      <c r="G164" s="406">
        <f>G162/G163</f>
        <v>1.7875049741345006</v>
      </c>
      <c r="H164" s="409"/>
      <c r="I164" s="410"/>
      <c r="J164" s="267"/>
      <c r="K164" s="267"/>
      <c r="L164" s="406">
        <f>L162/L163</f>
        <v>0.88387113740959888</v>
      </c>
      <c r="M164" s="409"/>
      <c r="N164" s="410"/>
      <c r="O164" s="142">
        <f>(O159+O160)/O161</f>
        <v>1</v>
      </c>
      <c r="P164" s="87">
        <f>(P159+P160)/P161</f>
        <v>0.98736814986272026</v>
      </c>
      <c r="Q164" s="406">
        <f>Q162/Q163</f>
        <v>0.93574083050573598</v>
      </c>
      <c r="R164" s="409"/>
      <c r="S164" s="410"/>
      <c r="T164" s="142">
        <f t="shared" ref="T164:Z164" si="25">(T159+T160)/T161</f>
        <v>0.88691416040100257</v>
      </c>
      <c r="U164" s="142">
        <f t="shared" si="25"/>
        <v>2.3560070671378091</v>
      </c>
      <c r="V164" s="142">
        <f t="shared" si="25"/>
        <v>0.93364377182770664</v>
      </c>
      <c r="W164" s="142">
        <f t="shared" si="25"/>
        <v>0.9452054794520548</v>
      </c>
      <c r="X164" s="142">
        <f t="shared" si="25"/>
        <v>0.92606060606060603</v>
      </c>
      <c r="Y164" s="142">
        <f t="shared" si="25"/>
        <v>0.97435897435897434</v>
      </c>
      <c r="Z164" s="142">
        <f t="shared" si="25"/>
        <v>0.85365853658536583</v>
      </c>
      <c r="AA164" s="69"/>
      <c r="AB164" s="87">
        <f>(AB159+AB160)/AB161</f>
        <v>1.0459799264480538</v>
      </c>
      <c r="AC164" s="88">
        <f>(AC159+AC160)/AC161</f>
        <v>0.99548289011700064</v>
      </c>
      <c r="AD164" s="84" t="e">
        <f>AD159/$AG$173</f>
        <v>#DIV/0!</v>
      </c>
      <c r="AE164" s="84" t="e">
        <f>AE159/$AG$173</f>
        <v>#DIV/0!</v>
      </c>
      <c r="AF164" s="84" t="e">
        <f>AF159/$AG$173</f>
        <v>#DIV/0!</v>
      </c>
      <c r="AG164" s="134" t="e">
        <f>AG159/$AG$173</f>
        <v>#DIV/0!</v>
      </c>
      <c r="AH164" s="418"/>
      <c r="AI164" s="418"/>
      <c r="AJ164" s="418"/>
      <c r="AK164" s="418"/>
    </row>
    <row r="165" spans="1:37" ht="23.25">
      <c r="A165" s="411" t="s">
        <v>255</v>
      </c>
      <c r="B165" s="89" t="s">
        <v>225</v>
      </c>
      <c r="C165" s="147">
        <v>8420</v>
      </c>
      <c r="D165" s="147">
        <v>35718</v>
      </c>
      <c r="E165" s="147">
        <v>4013</v>
      </c>
      <c r="F165" s="147">
        <v>20187</v>
      </c>
      <c r="G165" s="147">
        <v>1646</v>
      </c>
      <c r="H165" s="147">
        <v>4828</v>
      </c>
      <c r="I165" s="147">
        <v>2472</v>
      </c>
      <c r="J165" s="147"/>
      <c r="K165" s="147"/>
      <c r="L165" s="147">
        <v>56</v>
      </c>
      <c r="M165" s="147">
        <v>434</v>
      </c>
      <c r="N165" s="147">
        <v>2035</v>
      </c>
      <c r="O165" s="147">
        <v>151</v>
      </c>
      <c r="P165" s="85">
        <f>SUM(C165:O165)</f>
        <v>79960</v>
      </c>
      <c r="Q165" s="147">
        <v>1232</v>
      </c>
      <c r="R165" s="147">
        <v>2509</v>
      </c>
      <c r="S165" s="147">
        <v>2000</v>
      </c>
      <c r="T165" s="147">
        <v>2841</v>
      </c>
      <c r="U165" s="147">
        <v>2671</v>
      </c>
      <c r="V165" s="147">
        <v>804</v>
      </c>
      <c r="W165" s="147">
        <v>275</v>
      </c>
      <c r="X165" s="147">
        <v>766</v>
      </c>
      <c r="Y165" s="81">
        <v>233</v>
      </c>
      <c r="Z165" s="81">
        <v>142</v>
      </c>
      <c r="AA165" s="67"/>
      <c r="AB165" s="85">
        <f>SUM(Q165:AA165)</f>
        <v>13473</v>
      </c>
      <c r="AC165" s="86">
        <f>P165+AB165</f>
        <v>93433</v>
      </c>
      <c r="AD165" s="82">
        <v>19</v>
      </c>
      <c r="AE165" s="82">
        <v>1</v>
      </c>
      <c r="AF165" s="82">
        <v>1</v>
      </c>
      <c r="AG165" s="83">
        <f>SUM(AD165:AF165)</f>
        <v>21</v>
      </c>
      <c r="AH165" s="416">
        <v>1949</v>
      </c>
      <c r="AI165" s="416">
        <v>2554</v>
      </c>
      <c r="AJ165" s="416">
        <v>878</v>
      </c>
      <c r="AK165" s="416">
        <f>SUM(AH165:AJ170)</f>
        <v>5381</v>
      </c>
    </row>
    <row r="166" spans="1:37" ht="23.25">
      <c r="A166" s="412"/>
      <c r="B166" s="89" t="s">
        <v>226</v>
      </c>
      <c r="C166" s="147">
        <v>37.89</v>
      </c>
      <c r="D166" s="147">
        <v>160.73099999999999</v>
      </c>
      <c r="E166" s="147">
        <v>18.058499999999999</v>
      </c>
      <c r="F166" s="147">
        <v>90.841499999999996</v>
      </c>
      <c r="G166" s="147">
        <v>0</v>
      </c>
      <c r="H166" s="147">
        <v>0</v>
      </c>
      <c r="I166" s="147">
        <v>0</v>
      </c>
      <c r="J166" s="147"/>
      <c r="K166" s="147"/>
      <c r="L166" s="147">
        <v>0</v>
      </c>
      <c r="M166" s="147">
        <v>1.9529999999999998</v>
      </c>
      <c r="N166" s="147">
        <v>9.1574999999999989</v>
      </c>
      <c r="O166" s="147">
        <v>0</v>
      </c>
      <c r="P166" s="85">
        <f>SUM(C166:O166)</f>
        <v>318.63149999999996</v>
      </c>
      <c r="Q166" s="147">
        <v>33.32</v>
      </c>
      <c r="R166" s="147">
        <v>0</v>
      </c>
      <c r="S166" s="147">
        <v>0</v>
      </c>
      <c r="T166" s="147">
        <v>28.41</v>
      </c>
      <c r="U166" s="147">
        <v>0</v>
      </c>
      <c r="V166" s="147">
        <v>0</v>
      </c>
      <c r="W166" s="147">
        <v>0</v>
      </c>
      <c r="X166" s="147">
        <v>153.20000000000002</v>
      </c>
      <c r="Y166" s="147">
        <v>0</v>
      </c>
      <c r="Z166" s="147">
        <v>0</v>
      </c>
      <c r="AA166" s="67"/>
      <c r="AB166" s="85">
        <f>SUM(Q166:AA166)</f>
        <v>214.93</v>
      </c>
      <c r="AC166" s="86">
        <f>P166+AB166</f>
        <v>533.56150000000002</v>
      </c>
      <c r="AD166" s="82"/>
      <c r="AE166" s="82"/>
      <c r="AF166" s="82"/>
      <c r="AG166" s="83"/>
      <c r="AH166" s="417"/>
      <c r="AI166" s="417"/>
      <c r="AJ166" s="417"/>
      <c r="AK166" s="417"/>
    </row>
    <row r="167" spans="1:37" ht="22.5">
      <c r="A167" s="412"/>
      <c r="B167" s="133" t="s">
        <v>227</v>
      </c>
      <c r="C167" s="141">
        <v>9252</v>
      </c>
      <c r="D167" s="141">
        <v>37456</v>
      </c>
      <c r="E167" s="141">
        <v>4675</v>
      </c>
      <c r="F167" s="141">
        <v>21619</v>
      </c>
      <c r="G167" s="141">
        <v>1710</v>
      </c>
      <c r="H167" s="141">
        <v>763</v>
      </c>
      <c r="I167" s="141">
        <v>2553</v>
      </c>
      <c r="J167" s="141"/>
      <c r="K167" s="141"/>
      <c r="L167" s="141">
        <v>102</v>
      </c>
      <c r="M167" s="141">
        <v>470</v>
      </c>
      <c r="N167" s="141">
        <v>2470</v>
      </c>
      <c r="O167" s="141">
        <v>151</v>
      </c>
      <c r="P167" s="85">
        <f>SUM(C167:O167)</f>
        <v>81221</v>
      </c>
      <c r="Q167" s="141">
        <v>1403</v>
      </c>
      <c r="R167" s="141">
        <v>2766</v>
      </c>
      <c r="S167" s="141">
        <v>2020</v>
      </c>
      <c r="T167" s="141">
        <v>3192</v>
      </c>
      <c r="U167" s="141">
        <v>1132</v>
      </c>
      <c r="V167" s="141">
        <v>859</v>
      </c>
      <c r="W167" s="141">
        <v>292</v>
      </c>
      <c r="X167" s="141">
        <v>990</v>
      </c>
      <c r="Y167" s="141">
        <v>234</v>
      </c>
      <c r="Z167" s="141">
        <v>164</v>
      </c>
      <c r="AA167" s="67"/>
      <c r="AB167" s="85">
        <f>SUM(Q167:AA167)</f>
        <v>13052</v>
      </c>
      <c r="AC167" s="86">
        <f>P167+AB167</f>
        <v>94273</v>
      </c>
      <c r="AD167" s="68"/>
      <c r="AE167" s="68"/>
      <c r="AF167" s="68"/>
      <c r="AG167" s="68"/>
      <c r="AH167" s="417"/>
      <c r="AI167" s="417"/>
      <c r="AJ167" s="417"/>
      <c r="AK167" s="417"/>
    </row>
    <row r="168" spans="1:37" ht="22.5">
      <c r="A168" s="412"/>
      <c r="B168" s="133" t="s">
        <v>228</v>
      </c>
      <c r="C168" s="400">
        <f>C165+D165+E165+F165+C166+D166+E166+F166</f>
        <v>68645.520999999993</v>
      </c>
      <c r="D168" s="414"/>
      <c r="E168" s="414"/>
      <c r="F168" s="415"/>
      <c r="G168" s="400">
        <f>G165+H165+I165+G166+H166+I166</f>
        <v>8946</v>
      </c>
      <c r="H168" s="414"/>
      <c r="I168" s="415"/>
      <c r="J168" s="268"/>
      <c r="K168" s="268"/>
      <c r="L168" s="400">
        <f>L165+M165+N165+L166+M166+N166</f>
        <v>2536.1104999999998</v>
      </c>
      <c r="M168" s="414"/>
      <c r="N168" s="415"/>
      <c r="O168" s="141"/>
      <c r="P168" s="85"/>
      <c r="Q168" s="400">
        <f>Q165+R165+S165+Q166+R166+S166</f>
        <v>5774.32</v>
      </c>
      <c r="R168" s="414"/>
      <c r="S168" s="415"/>
      <c r="T168" s="141"/>
      <c r="U168" s="141"/>
      <c r="V168" s="141"/>
      <c r="W168" s="141"/>
      <c r="X168" s="141"/>
      <c r="Y168" s="141"/>
      <c r="Z168" s="141"/>
      <c r="AA168" s="67"/>
      <c r="AB168" s="85"/>
      <c r="AC168" s="86"/>
      <c r="AD168" s="68"/>
      <c r="AE168" s="68"/>
      <c r="AF168" s="68"/>
      <c r="AG168" s="68"/>
      <c r="AH168" s="417"/>
      <c r="AI168" s="417"/>
      <c r="AJ168" s="417"/>
      <c r="AK168" s="417"/>
    </row>
    <row r="169" spans="1:37" ht="22.5">
      <c r="A169" s="412"/>
      <c r="B169" s="133" t="s">
        <v>229</v>
      </c>
      <c r="C169" s="400">
        <f>C167+D167+E167+F167</f>
        <v>73002</v>
      </c>
      <c r="D169" s="414"/>
      <c r="E169" s="414"/>
      <c r="F169" s="415"/>
      <c r="G169" s="400">
        <f>G167+H167+I167</f>
        <v>5026</v>
      </c>
      <c r="H169" s="414"/>
      <c r="I169" s="415"/>
      <c r="J169" s="268"/>
      <c r="K169" s="268"/>
      <c r="L169" s="400">
        <f>L167+M167+N167</f>
        <v>3042</v>
      </c>
      <c r="M169" s="414"/>
      <c r="N169" s="415"/>
      <c r="O169" s="141"/>
      <c r="P169" s="85"/>
      <c r="Q169" s="400">
        <f>Q167+R167+S167</f>
        <v>6189</v>
      </c>
      <c r="R169" s="414"/>
      <c r="S169" s="415"/>
      <c r="T169" s="141"/>
      <c r="U169" s="141"/>
      <c r="V169" s="141"/>
      <c r="W169" s="141"/>
      <c r="X169" s="141"/>
      <c r="Y169" s="141"/>
      <c r="Z169" s="141"/>
      <c r="AA169" s="67"/>
      <c r="AB169" s="85"/>
      <c r="AC169" s="86"/>
      <c r="AD169" s="68"/>
      <c r="AE169" s="68"/>
      <c r="AF169" s="68"/>
      <c r="AG169" s="68"/>
      <c r="AH169" s="417"/>
      <c r="AI169" s="417"/>
      <c r="AJ169" s="417"/>
      <c r="AK169" s="417"/>
    </row>
    <row r="170" spans="1:37" ht="22.5">
      <c r="A170" s="413"/>
      <c r="B170" s="93" t="s">
        <v>223</v>
      </c>
      <c r="C170" s="406">
        <f>C168/C169</f>
        <v>0.94032384044272754</v>
      </c>
      <c r="D170" s="409"/>
      <c r="E170" s="409"/>
      <c r="F170" s="410"/>
      <c r="G170" s="406">
        <f>G168/G169</f>
        <v>1.7799442896935933</v>
      </c>
      <c r="H170" s="409"/>
      <c r="I170" s="410"/>
      <c r="J170" s="267"/>
      <c r="K170" s="267"/>
      <c r="L170" s="406">
        <f>L168/L169</f>
        <v>0.83369838921761996</v>
      </c>
      <c r="M170" s="409"/>
      <c r="N170" s="410"/>
      <c r="O170" s="142">
        <f>(O165+O166)/O167</f>
        <v>1</v>
      </c>
      <c r="P170" s="87">
        <f>(P165+P166)/P167</f>
        <v>0.98839747725341975</v>
      </c>
      <c r="Q170" s="406">
        <f>Q168/Q169</f>
        <v>0.93299725319114557</v>
      </c>
      <c r="R170" s="409"/>
      <c r="S170" s="410"/>
      <c r="T170" s="142">
        <f t="shared" ref="T170:Z170" si="26">(T165+T166)/T167</f>
        <v>0.89893796992481201</v>
      </c>
      <c r="U170" s="142">
        <f t="shared" si="26"/>
        <v>2.3595406360424027</v>
      </c>
      <c r="V170" s="142">
        <f t="shared" si="26"/>
        <v>0.93597206053550641</v>
      </c>
      <c r="W170" s="142">
        <f t="shared" si="26"/>
        <v>0.94178082191780821</v>
      </c>
      <c r="X170" s="142">
        <f t="shared" si="26"/>
        <v>0.92848484848484858</v>
      </c>
      <c r="Y170" s="142">
        <f t="shared" si="26"/>
        <v>0.99572649572649574</v>
      </c>
      <c r="Z170" s="142">
        <f t="shared" si="26"/>
        <v>0.86585365853658536</v>
      </c>
      <c r="AA170" s="69"/>
      <c r="AB170" s="87">
        <f>(AB165+AB166)/AB167</f>
        <v>1.0487228011032792</v>
      </c>
      <c r="AC170" s="88">
        <f>(AC165+AC166)/AC167</f>
        <v>0.9967494563660857</v>
      </c>
      <c r="AD170" s="84" t="e">
        <f>AD165/$AG$173</f>
        <v>#DIV/0!</v>
      </c>
      <c r="AE170" s="84" t="e">
        <f>AE165/$AG$173</f>
        <v>#DIV/0!</v>
      </c>
      <c r="AF170" s="84" t="e">
        <f>AF165/$AG$173</f>
        <v>#DIV/0!</v>
      </c>
      <c r="AG170" s="134" t="e">
        <f>AG165/$AG$173</f>
        <v>#DIV/0!</v>
      </c>
      <c r="AH170" s="418"/>
      <c r="AI170" s="418"/>
      <c r="AJ170" s="418"/>
      <c r="AK170" s="418"/>
    </row>
    <row r="171" spans="1:37" ht="23.25">
      <c r="A171" s="411" t="s">
        <v>256</v>
      </c>
      <c r="B171" s="89" t="s">
        <v>225</v>
      </c>
      <c r="C171" s="147">
        <v>8443</v>
      </c>
      <c r="D171" s="147">
        <v>35955</v>
      </c>
      <c r="E171" s="147">
        <v>3991</v>
      </c>
      <c r="F171" s="147">
        <v>20168</v>
      </c>
      <c r="G171" s="147">
        <v>1650</v>
      </c>
      <c r="H171" s="147">
        <v>4788</v>
      </c>
      <c r="I171" s="147">
        <v>2438</v>
      </c>
      <c r="J171" s="147"/>
      <c r="K171" s="147"/>
      <c r="L171" s="147">
        <v>52</v>
      </c>
      <c r="M171" s="147">
        <v>434</v>
      </c>
      <c r="N171" s="147">
        <v>2080</v>
      </c>
      <c r="O171" s="147">
        <v>151</v>
      </c>
      <c r="P171" s="85">
        <f>SUM(C171:O171)</f>
        <v>80150</v>
      </c>
      <c r="Q171" s="147">
        <v>1255</v>
      </c>
      <c r="R171" s="147">
        <v>2508</v>
      </c>
      <c r="S171" s="147">
        <v>2000</v>
      </c>
      <c r="T171" s="147">
        <v>2859</v>
      </c>
      <c r="U171" s="147">
        <v>2660</v>
      </c>
      <c r="V171" s="147">
        <v>808</v>
      </c>
      <c r="W171" s="147">
        <v>278</v>
      </c>
      <c r="X171" s="147">
        <v>769</v>
      </c>
      <c r="Y171" s="81">
        <v>241</v>
      </c>
      <c r="Z171" s="81">
        <v>143</v>
      </c>
      <c r="AA171" s="67"/>
      <c r="AB171" s="85">
        <f>SUM(Q171:AA171)</f>
        <v>13521</v>
      </c>
      <c r="AC171" s="86">
        <f>P171+AB171</f>
        <v>93671</v>
      </c>
      <c r="AD171" s="82">
        <v>19</v>
      </c>
      <c r="AE171" s="82">
        <v>1</v>
      </c>
      <c r="AF171" s="82">
        <v>1</v>
      </c>
      <c r="AG171" s="83">
        <f>SUM(AD171:AF171)</f>
        <v>21</v>
      </c>
      <c r="AH171" s="416">
        <v>1802</v>
      </c>
      <c r="AI171" s="416">
        <v>2082</v>
      </c>
      <c r="AJ171" s="416">
        <v>485</v>
      </c>
      <c r="AK171" s="416">
        <f>SUM(AH171:AJ176)</f>
        <v>4369</v>
      </c>
    </row>
    <row r="172" spans="1:37" ht="22.5">
      <c r="A172" s="412"/>
      <c r="B172" s="133" t="s">
        <v>226</v>
      </c>
      <c r="C172" s="147">
        <v>37.993499999999997</v>
      </c>
      <c r="D172" s="147">
        <v>161.79749999999999</v>
      </c>
      <c r="E172" s="147">
        <v>17.959499999999998</v>
      </c>
      <c r="F172" s="147">
        <v>90.756</v>
      </c>
      <c r="G172" s="147">
        <v>0</v>
      </c>
      <c r="H172" s="147">
        <v>0</v>
      </c>
      <c r="I172" s="147">
        <v>0</v>
      </c>
      <c r="J172" s="147"/>
      <c r="K172" s="147"/>
      <c r="L172" s="147">
        <v>0</v>
      </c>
      <c r="M172" s="147">
        <v>1.9529999999999998</v>
      </c>
      <c r="N172" s="147">
        <v>9.36</v>
      </c>
      <c r="O172" s="147">
        <v>0</v>
      </c>
      <c r="P172" s="85">
        <f>SUM(C172:O172)</f>
        <v>319.81949999999995</v>
      </c>
      <c r="Q172" s="147">
        <v>33.549999999999997</v>
      </c>
      <c r="R172" s="147">
        <v>0</v>
      </c>
      <c r="S172" s="147">
        <v>0</v>
      </c>
      <c r="T172" s="147">
        <v>28.59</v>
      </c>
      <c r="U172" s="147">
        <v>0</v>
      </c>
      <c r="V172" s="147">
        <v>0</v>
      </c>
      <c r="W172" s="147">
        <v>0</v>
      </c>
      <c r="X172" s="147">
        <v>153.80000000000001</v>
      </c>
      <c r="Y172" s="147">
        <v>0</v>
      </c>
      <c r="Z172" s="147">
        <v>0</v>
      </c>
      <c r="AA172" s="67"/>
      <c r="AB172" s="85">
        <f>SUM(Q172:AA172)</f>
        <v>215.94</v>
      </c>
      <c r="AC172" s="86">
        <f>P172+AB172</f>
        <v>535.75949999999989</v>
      </c>
      <c r="AD172" s="82"/>
      <c r="AE172" s="82"/>
      <c r="AF172" s="82"/>
      <c r="AG172" s="83"/>
      <c r="AH172" s="417"/>
      <c r="AI172" s="417"/>
      <c r="AJ172" s="417"/>
      <c r="AK172" s="417"/>
    </row>
    <row r="173" spans="1:37" ht="22.5">
      <c r="A173" s="412"/>
      <c r="B173" s="133" t="s">
        <v>227</v>
      </c>
      <c r="C173" s="141">
        <v>9252</v>
      </c>
      <c r="D173" s="141">
        <v>37456</v>
      </c>
      <c r="E173" s="141">
        <v>4675</v>
      </c>
      <c r="F173" s="141">
        <v>21619</v>
      </c>
      <c r="G173" s="141">
        <v>1710</v>
      </c>
      <c r="H173" s="141">
        <v>763</v>
      </c>
      <c r="I173" s="141">
        <v>2553</v>
      </c>
      <c r="J173" s="141"/>
      <c r="K173" s="141"/>
      <c r="L173" s="141">
        <v>102</v>
      </c>
      <c r="M173" s="141">
        <v>470</v>
      </c>
      <c r="N173" s="141">
        <v>2470</v>
      </c>
      <c r="O173" s="141">
        <v>151</v>
      </c>
      <c r="P173" s="85">
        <f>SUM(C173:O173)</f>
        <v>81221</v>
      </c>
      <c r="Q173" s="141">
        <v>1403</v>
      </c>
      <c r="R173" s="141">
        <v>2766</v>
      </c>
      <c r="S173" s="141">
        <v>2020</v>
      </c>
      <c r="T173" s="141">
        <v>3192</v>
      </c>
      <c r="U173" s="141">
        <v>1132</v>
      </c>
      <c r="V173" s="141">
        <v>859</v>
      </c>
      <c r="W173" s="141">
        <v>292</v>
      </c>
      <c r="X173" s="141">
        <v>990</v>
      </c>
      <c r="Y173" s="141">
        <v>252</v>
      </c>
      <c r="Z173" s="141">
        <v>164</v>
      </c>
      <c r="AA173" s="67"/>
      <c r="AB173" s="85">
        <f>SUM(Q173:AA173)</f>
        <v>13070</v>
      </c>
      <c r="AC173" s="86">
        <f>P173+AB173</f>
        <v>94291</v>
      </c>
      <c r="AD173" s="68"/>
      <c r="AE173" s="68"/>
      <c r="AF173" s="68"/>
      <c r="AG173" s="68"/>
      <c r="AH173" s="417"/>
      <c r="AI173" s="417"/>
      <c r="AJ173" s="417"/>
      <c r="AK173" s="417"/>
    </row>
    <row r="174" spans="1:37" ht="22.5">
      <c r="A174" s="412"/>
      <c r="B174" s="133" t="s">
        <v>228</v>
      </c>
      <c r="C174" s="400">
        <f>C171+D171+E171+F171+C172+D172+E172+F172</f>
        <v>68865.506499999989</v>
      </c>
      <c r="D174" s="414"/>
      <c r="E174" s="414"/>
      <c r="F174" s="415"/>
      <c r="G174" s="400">
        <f>G171+H171+I171+G172+H172+I172</f>
        <v>8876</v>
      </c>
      <c r="H174" s="414"/>
      <c r="I174" s="415"/>
      <c r="J174" s="268"/>
      <c r="K174" s="268"/>
      <c r="L174" s="400">
        <f>L171+M171+N171+L172+M172+N172</f>
        <v>2577.3130000000001</v>
      </c>
      <c r="M174" s="414"/>
      <c r="N174" s="415"/>
      <c r="O174" s="141"/>
      <c r="P174" s="85"/>
      <c r="Q174" s="400">
        <f>Q171+R171+S171+Q172+R172+S172</f>
        <v>5796.55</v>
      </c>
      <c r="R174" s="414"/>
      <c r="S174" s="415"/>
      <c r="T174" s="141"/>
      <c r="U174" s="141"/>
      <c r="V174" s="141"/>
      <c r="W174" s="141"/>
      <c r="X174" s="141"/>
      <c r="Y174" s="141"/>
      <c r="Z174" s="141"/>
      <c r="AA174" s="67"/>
      <c r="AB174" s="85"/>
      <c r="AC174" s="86"/>
      <c r="AD174" s="68"/>
      <c r="AE174" s="68"/>
      <c r="AF174" s="68"/>
      <c r="AG174" s="68"/>
      <c r="AH174" s="417"/>
      <c r="AI174" s="417"/>
      <c r="AJ174" s="417"/>
      <c r="AK174" s="417"/>
    </row>
    <row r="175" spans="1:37" ht="22.5">
      <c r="A175" s="412"/>
      <c r="B175" s="133" t="s">
        <v>229</v>
      </c>
      <c r="C175" s="400">
        <f>C173+D173+E173+F173</f>
        <v>73002</v>
      </c>
      <c r="D175" s="414"/>
      <c r="E175" s="414"/>
      <c r="F175" s="415"/>
      <c r="G175" s="400">
        <f>G173+H173+I173</f>
        <v>5026</v>
      </c>
      <c r="H175" s="414"/>
      <c r="I175" s="415"/>
      <c r="J175" s="268"/>
      <c r="K175" s="268"/>
      <c r="L175" s="400">
        <f>L173+M173+N173</f>
        <v>3042</v>
      </c>
      <c r="M175" s="414"/>
      <c r="N175" s="415"/>
      <c r="O175" s="141"/>
      <c r="P175" s="85"/>
      <c r="Q175" s="400">
        <f>Q173+R173+S173</f>
        <v>6189</v>
      </c>
      <c r="R175" s="414"/>
      <c r="S175" s="415"/>
      <c r="T175" s="141"/>
      <c r="U175" s="141"/>
      <c r="V175" s="141"/>
      <c r="W175" s="141"/>
      <c r="X175" s="141"/>
      <c r="Y175" s="141"/>
      <c r="Z175" s="141"/>
      <c r="AA175" s="67"/>
      <c r="AB175" s="85"/>
      <c r="AC175" s="86"/>
      <c r="AD175" s="68"/>
      <c r="AE175" s="68"/>
      <c r="AF175" s="68"/>
      <c r="AG175" s="68"/>
      <c r="AH175" s="417"/>
      <c r="AI175" s="417"/>
      <c r="AJ175" s="417"/>
      <c r="AK175" s="417"/>
    </row>
    <row r="176" spans="1:37" ht="22.5">
      <c r="A176" s="413"/>
      <c r="B176" s="93" t="s">
        <v>223</v>
      </c>
      <c r="C176" s="406">
        <f>C174/C175</f>
        <v>0.94333725788334555</v>
      </c>
      <c r="D176" s="409"/>
      <c r="E176" s="409"/>
      <c r="F176" s="410"/>
      <c r="G176" s="406">
        <f>G174/G175</f>
        <v>1.766016713091922</v>
      </c>
      <c r="H176" s="409"/>
      <c r="I176" s="410"/>
      <c r="J176" s="267"/>
      <c r="K176" s="267"/>
      <c r="L176" s="406">
        <f>L174/L175</f>
        <v>0.8472429322813938</v>
      </c>
      <c r="M176" s="409"/>
      <c r="N176" s="410"/>
      <c r="O176" s="142">
        <f>(O171+O172)/O173</f>
        <v>1</v>
      </c>
      <c r="P176" s="87">
        <f>(P171+P172)/P173</f>
        <v>0.99075140049987065</v>
      </c>
      <c r="Q176" s="406">
        <f>Q174/Q175</f>
        <v>0.93658910971077725</v>
      </c>
      <c r="R176" s="409"/>
      <c r="S176" s="410"/>
      <c r="T176" s="142">
        <f t="shared" ref="T176:Z176" si="27">(T171+T172)/T173</f>
        <v>0.9046334586466166</v>
      </c>
      <c r="U176" s="142">
        <f t="shared" si="27"/>
        <v>2.3498233215547701</v>
      </c>
      <c r="V176" s="142">
        <f t="shared" si="27"/>
        <v>0.94062863795110596</v>
      </c>
      <c r="W176" s="142">
        <f t="shared" si="27"/>
        <v>0.95205479452054798</v>
      </c>
      <c r="X176" s="142">
        <f t="shared" si="27"/>
        <v>0.93212121212121213</v>
      </c>
      <c r="Y176" s="142">
        <f t="shared" si="27"/>
        <v>0.95634920634920639</v>
      </c>
      <c r="Z176" s="142">
        <f t="shared" si="27"/>
        <v>0.87195121951219512</v>
      </c>
      <c r="AA176" s="69"/>
      <c r="AB176" s="87">
        <f>(AB171+AB172)/AB173</f>
        <v>1.0510283091048203</v>
      </c>
      <c r="AC176" s="88">
        <f>(AC171+AC172)/AC173</f>
        <v>0.99910659023660797</v>
      </c>
      <c r="AD176" s="84" t="e">
        <f>AD171/$AG$173</f>
        <v>#DIV/0!</v>
      </c>
      <c r="AE176" s="84" t="e">
        <f>AE171/$AG$173</f>
        <v>#DIV/0!</v>
      </c>
      <c r="AF176" s="84" t="e">
        <f>AF171/$AG$173</f>
        <v>#DIV/0!</v>
      </c>
      <c r="AG176" s="134" t="e">
        <f>AG171/$AG$173</f>
        <v>#DIV/0!</v>
      </c>
      <c r="AH176" s="418"/>
      <c r="AI176" s="418"/>
      <c r="AJ176" s="418"/>
      <c r="AK176" s="418"/>
    </row>
    <row r="177" spans="1:37" ht="23.25">
      <c r="A177" s="411" t="s">
        <v>257</v>
      </c>
      <c r="B177" s="89" t="s">
        <v>225</v>
      </c>
      <c r="C177" s="147">
        <v>8545</v>
      </c>
      <c r="D177" s="147">
        <v>36155</v>
      </c>
      <c r="E177" s="147">
        <v>4000</v>
      </c>
      <c r="F177" s="147">
        <v>20237</v>
      </c>
      <c r="G177" s="147">
        <v>1654</v>
      </c>
      <c r="H177" s="147">
        <v>4778</v>
      </c>
      <c r="I177" s="147">
        <v>2461</v>
      </c>
      <c r="J177" s="147"/>
      <c r="K177" s="147"/>
      <c r="L177" s="147">
        <v>47</v>
      </c>
      <c r="M177" s="147">
        <v>441</v>
      </c>
      <c r="N177" s="147">
        <v>2136</v>
      </c>
      <c r="O177" s="147">
        <v>151</v>
      </c>
      <c r="P177" s="85">
        <f>SUM(C177:O177)</f>
        <v>80605</v>
      </c>
      <c r="Q177" s="147">
        <v>1255</v>
      </c>
      <c r="R177" s="147">
        <v>2526</v>
      </c>
      <c r="S177" s="147">
        <v>2004</v>
      </c>
      <c r="T177" s="147">
        <v>2891</v>
      </c>
      <c r="U177" s="147">
        <v>2666</v>
      </c>
      <c r="V177" s="147">
        <v>810</v>
      </c>
      <c r="W177" s="147">
        <v>283</v>
      </c>
      <c r="X177" s="147">
        <v>775</v>
      </c>
      <c r="Y177" s="81">
        <v>248</v>
      </c>
      <c r="Z177" s="81">
        <v>143</v>
      </c>
      <c r="AA177" s="67"/>
      <c r="AB177" s="85">
        <f>SUM(Q177:AA177)</f>
        <v>13601</v>
      </c>
      <c r="AC177" s="86">
        <f>P177+AB177</f>
        <v>94206</v>
      </c>
      <c r="AD177" s="82">
        <v>19</v>
      </c>
      <c r="AE177" s="82">
        <v>2</v>
      </c>
      <c r="AF177" s="82">
        <v>0</v>
      </c>
      <c r="AG177" s="83">
        <f>SUM(AD177:AF177)</f>
        <v>21</v>
      </c>
      <c r="AH177" s="416">
        <v>1904</v>
      </c>
      <c r="AI177" s="416">
        <v>2225</v>
      </c>
      <c r="AJ177" s="416">
        <v>819</v>
      </c>
      <c r="AK177" s="416">
        <f>SUM(AH177:AJ182)</f>
        <v>4948</v>
      </c>
    </row>
    <row r="178" spans="1:37" ht="22.5">
      <c r="A178" s="412"/>
      <c r="B178" s="133" t="s">
        <v>226</v>
      </c>
      <c r="C178" s="147">
        <v>38.452500000000001</v>
      </c>
      <c r="D178" s="147">
        <v>162.69749999999999</v>
      </c>
      <c r="E178" s="147">
        <v>18</v>
      </c>
      <c r="F178" s="147">
        <v>91.066499999999991</v>
      </c>
      <c r="G178" s="147">
        <v>0</v>
      </c>
      <c r="H178" s="147">
        <v>0</v>
      </c>
      <c r="I178" s="147">
        <v>0</v>
      </c>
      <c r="J178" s="147"/>
      <c r="K178" s="147"/>
      <c r="L178" s="147">
        <v>33</v>
      </c>
      <c r="M178" s="147">
        <v>1.9844999999999999</v>
      </c>
      <c r="N178" s="147">
        <v>9.6120000000000001</v>
      </c>
      <c r="O178" s="147">
        <v>0</v>
      </c>
      <c r="P178" s="85">
        <f>SUM(C178:O178)</f>
        <v>354.81300000000005</v>
      </c>
      <c r="Q178" s="147">
        <v>33.549999999999997</v>
      </c>
      <c r="R178" s="147">
        <v>0</v>
      </c>
      <c r="S178" s="147">
        <v>0</v>
      </c>
      <c r="T178" s="147">
        <v>28.91</v>
      </c>
      <c r="U178" s="147">
        <v>0</v>
      </c>
      <c r="V178" s="147">
        <v>0</v>
      </c>
      <c r="W178" s="147">
        <v>0</v>
      </c>
      <c r="X178" s="147">
        <v>155</v>
      </c>
      <c r="Y178" s="147">
        <v>0</v>
      </c>
      <c r="Z178" s="147">
        <v>0</v>
      </c>
      <c r="AA178" s="67"/>
      <c r="AB178" s="85">
        <f>SUM(Q178:AA178)</f>
        <v>217.45999999999998</v>
      </c>
      <c r="AC178" s="86">
        <f>P178+AB178</f>
        <v>572.27300000000002</v>
      </c>
      <c r="AD178" s="82"/>
      <c r="AE178" s="82"/>
      <c r="AF178" s="82"/>
      <c r="AG178" s="83"/>
      <c r="AH178" s="417"/>
      <c r="AI178" s="417"/>
      <c r="AJ178" s="417"/>
      <c r="AK178" s="417"/>
    </row>
    <row r="179" spans="1:37" ht="22.5">
      <c r="A179" s="412"/>
      <c r="B179" s="133" t="s">
        <v>227</v>
      </c>
      <c r="C179" s="141">
        <v>9252</v>
      </c>
      <c r="D179" s="141">
        <v>37456</v>
      </c>
      <c r="E179" s="141">
        <v>4675</v>
      </c>
      <c r="F179" s="141">
        <v>21619</v>
      </c>
      <c r="G179" s="141">
        <v>1710</v>
      </c>
      <c r="H179" s="141">
        <v>763</v>
      </c>
      <c r="I179" s="141">
        <v>2553</v>
      </c>
      <c r="J179" s="141"/>
      <c r="K179" s="141"/>
      <c r="L179" s="141">
        <v>102</v>
      </c>
      <c r="M179" s="141">
        <v>470</v>
      </c>
      <c r="N179" s="141">
        <v>2470</v>
      </c>
      <c r="O179" s="141">
        <v>151</v>
      </c>
      <c r="P179" s="85">
        <f>SUM(C179:O179)</f>
        <v>81221</v>
      </c>
      <c r="Q179" s="141">
        <v>1403</v>
      </c>
      <c r="R179" s="141">
        <v>2766</v>
      </c>
      <c r="S179" s="141">
        <v>2020</v>
      </c>
      <c r="T179" s="141">
        <v>3192</v>
      </c>
      <c r="U179" s="141">
        <v>1132</v>
      </c>
      <c r="V179" s="141">
        <v>859</v>
      </c>
      <c r="W179" s="141">
        <v>292</v>
      </c>
      <c r="X179" s="141">
        <v>990</v>
      </c>
      <c r="Y179" s="141">
        <v>252</v>
      </c>
      <c r="Z179" s="141">
        <v>164</v>
      </c>
      <c r="AA179" s="67"/>
      <c r="AB179" s="85">
        <f>SUM(Q179:AA179)</f>
        <v>13070</v>
      </c>
      <c r="AC179" s="86">
        <f>P179+AB179</f>
        <v>94291</v>
      </c>
      <c r="AD179" s="68"/>
      <c r="AE179" s="68"/>
      <c r="AF179" s="68"/>
      <c r="AG179" s="68"/>
      <c r="AH179" s="417"/>
      <c r="AI179" s="417"/>
      <c r="AJ179" s="417"/>
      <c r="AK179" s="417"/>
    </row>
    <row r="180" spans="1:37" ht="22.5">
      <c r="A180" s="412"/>
      <c r="B180" s="133" t="s">
        <v>228</v>
      </c>
      <c r="C180" s="400">
        <f>C177+D177+E177+F177+C178+D178+E178+F178</f>
        <v>69247.216499999995</v>
      </c>
      <c r="D180" s="414"/>
      <c r="E180" s="414"/>
      <c r="F180" s="415"/>
      <c r="G180" s="400">
        <f>G177+H177+I177+G178+H178+I178</f>
        <v>8893</v>
      </c>
      <c r="H180" s="414"/>
      <c r="I180" s="415"/>
      <c r="J180" s="268"/>
      <c r="K180" s="268"/>
      <c r="L180" s="400">
        <f>L177+M177+N177+L178+M178+N178</f>
        <v>2668.5965000000001</v>
      </c>
      <c r="M180" s="414"/>
      <c r="N180" s="415"/>
      <c r="O180" s="141"/>
      <c r="P180" s="85"/>
      <c r="Q180" s="400">
        <f>Q177+R177+S177+Q178+R178+S178</f>
        <v>5818.55</v>
      </c>
      <c r="R180" s="414"/>
      <c r="S180" s="415"/>
      <c r="T180" s="141"/>
      <c r="U180" s="141"/>
      <c r="V180" s="141"/>
      <c r="W180" s="141"/>
      <c r="X180" s="141"/>
      <c r="Y180" s="141"/>
      <c r="Z180" s="141"/>
      <c r="AA180" s="67"/>
      <c r="AB180" s="85"/>
      <c r="AC180" s="86"/>
      <c r="AD180" s="68"/>
      <c r="AE180" s="68"/>
      <c r="AF180" s="68"/>
      <c r="AG180" s="68"/>
      <c r="AH180" s="417"/>
      <c r="AI180" s="417"/>
      <c r="AJ180" s="417"/>
      <c r="AK180" s="417"/>
    </row>
    <row r="181" spans="1:37" ht="22.5">
      <c r="A181" s="412"/>
      <c r="B181" s="133" t="s">
        <v>229</v>
      </c>
      <c r="C181" s="400">
        <f>C179+D179+E179+F179</f>
        <v>73002</v>
      </c>
      <c r="D181" s="414"/>
      <c r="E181" s="414"/>
      <c r="F181" s="415"/>
      <c r="G181" s="400">
        <f>G179+H179+I179</f>
        <v>5026</v>
      </c>
      <c r="H181" s="414"/>
      <c r="I181" s="415"/>
      <c r="J181" s="268"/>
      <c r="K181" s="268"/>
      <c r="L181" s="400">
        <f>L179+M179+N179</f>
        <v>3042</v>
      </c>
      <c r="M181" s="414"/>
      <c r="N181" s="415"/>
      <c r="O181" s="141"/>
      <c r="P181" s="85"/>
      <c r="Q181" s="400">
        <f>Q179+R179+S179</f>
        <v>6189</v>
      </c>
      <c r="R181" s="414"/>
      <c r="S181" s="415"/>
      <c r="T181" s="141"/>
      <c r="U181" s="141"/>
      <c r="V181" s="141"/>
      <c r="W181" s="141"/>
      <c r="X181" s="141"/>
      <c r="Y181" s="141"/>
      <c r="Z181" s="141"/>
      <c r="AA181" s="67"/>
      <c r="AB181" s="85"/>
      <c r="AC181" s="86"/>
      <c r="AD181" s="68"/>
      <c r="AE181" s="68"/>
      <c r="AF181" s="68"/>
      <c r="AG181" s="68"/>
      <c r="AH181" s="417"/>
      <c r="AI181" s="417"/>
      <c r="AJ181" s="417"/>
      <c r="AK181" s="417"/>
    </row>
    <row r="182" spans="1:37" ht="22.5">
      <c r="A182" s="413"/>
      <c r="B182" s="93" t="s">
        <v>223</v>
      </c>
      <c r="C182" s="406">
        <f>C180/C181</f>
        <v>0.94856601873921254</v>
      </c>
      <c r="D182" s="409"/>
      <c r="E182" s="409"/>
      <c r="F182" s="410"/>
      <c r="G182" s="406">
        <f>G180/G181</f>
        <v>1.769399124552328</v>
      </c>
      <c r="H182" s="409"/>
      <c r="I182" s="410"/>
      <c r="J182" s="267"/>
      <c r="K182" s="267"/>
      <c r="L182" s="406">
        <f>L180/L181</f>
        <v>0.87725065746219599</v>
      </c>
      <c r="M182" s="409"/>
      <c r="N182" s="410"/>
      <c r="O182" s="142">
        <f>(O177+O178)/O179</f>
        <v>1</v>
      </c>
      <c r="P182" s="87">
        <f>(P177+P178)/P179</f>
        <v>0.99678424299134449</v>
      </c>
      <c r="Q182" s="406">
        <f>Q180/Q181</f>
        <v>0.94014380352237847</v>
      </c>
      <c r="R182" s="409"/>
      <c r="S182" s="410"/>
      <c r="T182" s="142">
        <f t="shared" ref="T182:Z182" si="28">(T177+T178)/T179</f>
        <v>0.91475877192982447</v>
      </c>
      <c r="U182" s="142">
        <f t="shared" si="28"/>
        <v>2.3551236749116606</v>
      </c>
      <c r="V182" s="142">
        <f t="shared" si="28"/>
        <v>0.94295692665890574</v>
      </c>
      <c r="W182" s="142">
        <f t="shared" si="28"/>
        <v>0.96917808219178081</v>
      </c>
      <c r="X182" s="142">
        <f t="shared" si="28"/>
        <v>0.93939393939393945</v>
      </c>
      <c r="Y182" s="142">
        <f t="shared" si="28"/>
        <v>0.98412698412698407</v>
      </c>
      <c r="Z182" s="142">
        <f t="shared" si="28"/>
        <v>0.87195121951219512</v>
      </c>
      <c r="AA182" s="69"/>
      <c r="AB182" s="87">
        <f>(AB177+AB178)/AB179</f>
        <v>1.0572654934965569</v>
      </c>
      <c r="AC182" s="88">
        <f>(AC177+AC178)/AC179</f>
        <v>1.005167757262093</v>
      </c>
      <c r="AD182" s="84" t="e">
        <f>AD177/$AG$173</f>
        <v>#DIV/0!</v>
      </c>
      <c r="AE182" s="84" t="e">
        <f>AE177/$AG$173</f>
        <v>#DIV/0!</v>
      </c>
      <c r="AF182" s="84" t="e">
        <f>AF177/$AG$173</f>
        <v>#DIV/0!</v>
      </c>
      <c r="AG182" s="134" t="e">
        <f>AG177/$AG$173</f>
        <v>#DIV/0!</v>
      </c>
      <c r="AH182" s="418"/>
      <c r="AI182" s="418"/>
      <c r="AJ182" s="418"/>
      <c r="AK182" s="418"/>
    </row>
    <row r="183" spans="1:37" ht="23.25">
      <c r="A183" s="411" t="s">
        <v>258</v>
      </c>
      <c r="B183" s="89" t="s">
        <v>225</v>
      </c>
      <c r="C183" s="147">
        <v>8546</v>
      </c>
      <c r="D183" s="147">
        <v>36097</v>
      </c>
      <c r="E183" s="147">
        <v>3994</v>
      </c>
      <c r="F183" s="147">
        <v>19700</v>
      </c>
      <c r="G183" s="147">
        <v>1650</v>
      </c>
      <c r="H183" s="147">
        <v>4258</v>
      </c>
      <c r="I183" s="147">
        <v>2453</v>
      </c>
      <c r="J183" s="147"/>
      <c r="K183" s="147"/>
      <c r="L183" s="147">
        <v>30</v>
      </c>
      <c r="M183" s="147">
        <v>440</v>
      </c>
      <c r="N183" s="147">
        <v>2123</v>
      </c>
      <c r="O183" s="147">
        <v>151</v>
      </c>
      <c r="P183" s="85">
        <f>SUM(C183:O183)</f>
        <v>79442</v>
      </c>
      <c r="Q183" s="147">
        <v>1268</v>
      </c>
      <c r="R183" s="147">
        <v>2532</v>
      </c>
      <c r="S183" s="147">
        <v>2008</v>
      </c>
      <c r="T183" s="147">
        <v>2890</v>
      </c>
      <c r="U183" s="147">
        <v>2485</v>
      </c>
      <c r="V183" s="147">
        <v>799</v>
      </c>
      <c r="W183" s="147">
        <v>283</v>
      </c>
      <c r="X183" s="147">
        <v>775</v>
      </c>
      <c r="Y183" s="81">
        <v>251</v>
      </c>
      <c r="Z183" s="81">
        <v>144</v>
      </c>
      <c r="AA183" s="67"/>
      <c r="AB183" s="85">
        <f>SUM(Q183:AA183)</f>
        <v>13435</v>
      </c>
      <c r="AC183" s="86">
        <f>P183+AB183</f>
        <v>92877</v>
      </c>
      <c r="AD183" s="82">
        <v>19</v>
      </c>
      <c r="AE183" s="82">
        <v>1</v>
      </c>
      <c r="AF183" s="82">
        <v>1</v>
      </c>
      <c r="AG183" s="83">
        <f>SUM(AD183:AF183)</f>
        <v>21</v>
      </c>
      <c r="AH183" s="416">
        <v>1611</v>
      </c>
      <c r="AI183" s="416">
        <v>3352</v>
      </c>
      <c r="AJ183" s="416">
        <v>575</v>
      </c>
      <c r="AK183" s="416">
        <f>SUM(AH183:AJ188)</f>
        <v>5538</v>
      </c>
    </row>
    <row r="184" spans="1:37" ht="22.5">
      <c r="A184" s="412"/>
      <c r="B184" s="133" t="s">
        <v>226</v>
      </c>
      <c r="C184" s="147">
        <v>38.456999999999994</v>
      </c>
      <c r="D184" s="147">
        <v>162.4365</v>
      </c>
      <c r="E184" s="147">
        <v>17.972999999999999</v>
      </c>
      <c r="F184" s="147">
        <v>88.649999999999991</v>
      </c>
      <c r="G184" s="147">
        <v>0</v>
      </c>
      <c r="H184" s="147">
        <v>0</v>
      </c>
      <c r="I184" s="147">
        <v>0</v>
      </c>
      <c r="J184" s="147"/>
      <c r="K184" s="147"/>
      <c r="L184" s="147">
        <v>34</v>
      </c>
      <c r="M184" s="147">
        <v>1.9799999999999998</v>
      </c>
      <c r="N184" s="147">
        <v>9.5534999999999997</v>
      </c>
      <c r="O184" s="147">
        <v>0</v>
      </c>
      <c r="P184" s="85">
        <f>SUM(C184:O184)</f>
        <v>353.04999999999995</v>
      </c>
      <c r="Q184" s="147">
        <v>33.68</v>
      </c>
      <c r="R184" s="147">
        <v>0</v>
      </c>
      <c r="S184" s="147">
        <v>0</v>
      </c>
      <c r="T184" s="147">
        <v>28.900000000000002</v>
      </c>
      <c r="U184" s="147">
        <v>0</v>
      </c>
      <c r="V184" s="147">
        <v>0</v>
      </c>
      <c r="W184" s="147">
        <v>0</v>
      </c>
      <c r="X184" s="147">
        <v>155</v>
      </c>
      <c r="Y184" s="147">
        <v>0</v>
      </c>
      <c r="Z184" s="147">
        <v>0</v>
      </c>
      <c r="AA184" s="67"/>
      <c r="AB184" s="85">
        <f>SUM(Q184:AA184)</f>
        <v>217.57999999999998</v>
      </c>
      <c r="AC184" s="86">
        <f>P184+AB184</f>
        <v>570.62999999999988</v>
      </c>
      <c r="AD184" s="82"/>
      <c r="AE184" s="82"/>
      <c r="AF184" s="82"/>
      <c r="AG184" s="83"/>
      <c r="AH184" s="417"/>
      <c r="AI184" s="417"/>
      <c r="AJ184" s="417"/>
      <c r="AK184" s="417"/>
    </row>
    <row r="185" spans="1:37" ht="22.5">
      <c r="A185" s="412"/>
      <c r="B185" s="133" t="s">
        <v>227</v>
      </c>
      <c r="C185" s="141">
        <v>9252</v>
      </c>
      <c r="D185" s="141">
        <v>37456</v>
      </c>
      <c r="E185" s="141">
        <v>4675</v>
      </c>
      <c r="F185" s="141">
        <v>21619</v>
      </c>
      <c r="G185" s="141">
        <v>1710</v>
      </c>
      <c r="H185" s="141">
        <v>763</v>
      </c>
      <c r="I185" s="141">
        <v>2553</v>
      </c>
      <c r="J185" s="141"/>
      <c r="K185" s="141"/>
      <c r="L185" s="141">
        <v>102</v>
      </c>
      <c r="M185" s="141">
        <v>470</v>
      </c>
      <c r="N185" s="141">
        <v>2470</v>
      </c>
      <c r="O185" s="141">
        <v>151</v>
      </c>
      <c r="P185" s="85">
        <f>SUM(C185:O185)</f>
        <v>81221</v>
      </c>
      <c r="Q185" s="141">
        <v>1403</v>
      </c>
      <c r="R185" s="141">
        <v>2766</v>
      </c>
      <c r="S185" s="141">
        <v>2020</v>
      </c>
      <c r="T185" s="141">
        <v>3192</v>
      </c>
      <c r="U185" s="141">
        <v>1132</v>
      </c>
      <c r="V185" s="141">
        <v>859</v>
      </c>
      <c r="W185" s="141">
        <v>292</v>
      </c>
      <c r="X185" s="141">
        <v>990</v>
      </c>
      <c r="Y185" s="141">
        <v>252</v>
      </c>
      <c r="Z185" s="141">
        <v>164</v>
      </c>
      <c r="AA185" s="67"/>
      <c r="AB185" s="85">
        <f>SUM(Q185:AA185)</f>
        <v>13070</v>
      </c>
      <c r="AC185" s="86">
        <f>P185+AB185</f>
        <v>94291</v>
      </c>
      <c r="AD185" s="68"/>
      <c r="AE185" s="68"/>
      <c r="AF185" s="68"/>
      <c r="AG185" s="68"/>
      <c r="AH185" s="417"/>
      <c r="AI185" s="417"/>
      <c r="AJ185" s="417"/>
      <c r="AK185" s="417"/>
    </row>
    <row r="186" spans="1:37" ht="22.5">
      <c r="A186" s="412"/>
      <c r="B186" s="133" t="s">
        <v>228</v>
      </c>
      <c r="C186" s="400">
        <f>C183+D183+E183+F183+C184+D184+E184+F184</f>
        <v>68644.516499999983</v>
      </c>
      <c r="D186" s="414"/>
      <c r="E186" s="414"/>
      <c r="F186" s="415"/>
      <c r="G186" s="400">
        <f>G183+H183+I183+G184+H184+I184</f>
        <v>8361</v>
      </c>
      <c r="H186" s="414"/>
      <c r="I186" s="415"/>
      <c r="J186" s="268"/>
      <c r="K186" s="268"/>
      <c r="L186" s="400">
        <f>L183+M183+N183+L184+M184+N184</f>
        <v>2638.5335</v>
      </c>
      <c r="M186" s="414"/>
      <c r="N186" s="415"/>
      <c r="O186" s="141"/>
      <c r="P186" s="85"/>
      <c r="Q186" s="400">
        <f>Q183+R183+S183+Q184+R184+S184</f>
        <v>5841.68</v>
      </c>
      <c r="R186" s="414"/>
      <c r="S186" s="415"/>
      <c r="T186" s="141"/>
      <c r="U186" s="141"/>
      <c r="V186" s="141"/>
      <c r="W186" s="141"/>
      <c r="X186" s="141"/>
      <c r="Y186" s="141"/>
      <c r="Z186" s="141"/>
      <c r="AA186" s="67"/>
      <c r="AB186" s="85"/>
      <c r="AC186" s="86"/>
      <c r="AD186" s="68"/>
      <c r="AE186" s="68"/>
      <c r="AF186" s="68"/>
      <c r="AG186" s="68"/>
      <c r="AH186" s="417"/>
      <c r="AI186" s="417"/>
      <c r="AJ186" s="417"/>
      <c r="AK186" s="417"/>
    </row>
    <row r="187" spans="1:37" ht="22.5">
      <c r="A187" s="412"/>
      <c r="B187" s="133" t="s">
        <v>229</v>
      </c>
      <c r="C187" s="400">
        <f>C185+D185+E185+F185</f>
        <v>73002</v>
      </c>
      <c r="D187" s="414"/>
      <c r="E187" s="414"/>
      <c r="F187" s="415"/>
      <c r="G187" s="400">
        <f>G185+H185+I185</f>
        <v>5026</v>
      </c>
      <c r="H187" s="414"/>
      <c r="I187" s="415"/>
      <c r="J187" s="268"/>
      <c r="K187" s="268"/>
      <c r="L187" s="400">
        <f>L185+M185+N185</f>
        <v>3042</v>
      </c>
      <c r="M187" s="414"/>
      <c r="N187" s="415"/>
      <c r="O187" s="141"/>
      <c r="P187" s="85"/>
      <c r="Q187" s="400">
        <f>Q185+R185+S185</f>
        <v>6189</v>
      </c>
      <c r="R187" s="414"/>
      <c r="S187" s="415"/>
      <c r="T187" s="141"/>
      <c r="U187" s="141"/>
      <c r="V187" s="141"/>
      <c r="W187" s="141"/>
      <c r="X187" s="141"/>
      <c r="Y187" s="141"/>
      <c r="Z187" s="141"/>
      <c r="AA187" s="67"/>
      <c r="AB187" s="85"/>
      <c r="AC187" s="86"/>
      <c r="AD187" s="68"/>
      <c r="AE187" s="68"/>
      <c r="AF187" s="68"/>
      <c r="AG187" s="68"/>
      <c r="AH187" s="417"/>
      <c r="AI187" s="417"/>
      <c r="AJ187" s="417"/>
      <c r="AK187" s="417"/>
    </row>
    <row r="188" spans="1:37" ht="22.5">
      <c r="A188" s="413"/>
      <c r="B188" s="93" t="s">
        <v>223</v>
      </c>
      <c r="C188" s="406">
        <f>C186/C187</f>
        <v>0.94031008054573828</v>
      </c>
      <c r="D188" s="409"/>
      <c r="E188" s="409"/>
      <c r="F188" s="410"/>
      <c r="G188" s="406">
        <f>G186/G187</f>
        <v>1.663549542379626</v>
      </c>
      <c r="H188" s="409"/>
      <c r="I188" s="410"/>
      <c r="J188" s="267"/>
      <c r="K188" s="267"/>
      <c r="L188" s="406">
        <f>L186/L187</f>
        <v>0.86736801446416834</v>
      </c>
      <c r="M188" s="409"/>
      <c r="N188" s="410"/>
      <c r="O188" s="142">
        <f>(O183+O184)/O185</f>
        <v>1</v>
      </c>
      <c r="P188" s="87">
        <f>(P183+P184)/P185</f>
        <v>0.98244357986235087</v>
      </c>
      <c r="Q188" s="406">
        <f>Q186/Q187</f>
        <v>0.94388107933430287</v>
      </c>
      <c r="R188" s="409"/>
      <c r="S188" s="410"/>
      <c r="T188" s="142">
        <f t="shared" ref="T188:Z188" si="29">(T183+T184)/T185</f>
        <v>0.91444235588972433</v>
      </c>
      <c r="U188" s="142">
        <f t="shared" si="29"/>
        <v>2.1952296819787986</v>
      </c>
      <c r="V188" s="142">
        <f t="shared" si="29"/>
        <v>0.93015133876600697</v>
      </c>
      <c r="W188" s="142">
        <f t="shared" si="29"/>
        <v>0.96917808219178081</v>
      </c>
      <c r="X188" s="142">
        <f t="shared" si="29"/>
        <v>0.93939393939393945</v>
      </c>
      <c r="Y188" s="142">
        <f t="shared" si="29"/>
        <v>0.99603174603174605</v>
      </c>
      <c r="Z188" s="142">
        <f t="shared" si="29"/>
        <v>0.87804878048780488</v>
      </c>
      <c r="AA188" s="69"/>
      <c r="AB188" s="87">
        <f>(AB183+AB184)/AB185</f>
        <v>1.0445738332058148</v>
      </c>
      <c r="AC188" s="88">
        <f>(AC183+AC184)/AC185</f>
        <v>0.99105566809133427</v>
      </c>
      <c r="AD188" s="84" t="e">
        <f>AD183/$AG$173</f>
        <v>#DIV/0!</v>
      </c>
      <c r="AE188" s="84" t="e">
        <f>AE183/$AG$173</f>
        <v>#DIV/0!</v>
      </c>
      <c r="AF188" s="84" t="e">
        <f>AF183/$AG$173</f>
        <v>#DIV/0!</v>
      </c>
      <c r="AG188" s="134" t="e">
        <f>AG183/$AG$173</f>
        <v>#DIV/0!</v>
      </c>
      <c r="AH188" s="418"/>
      <c r="AI188" s="418"/>
      <c r="AJ188" s="418"/>
      <c r="AK188" s="418"/>
    </row>
    <row r="189" spans="1:37" ht="23.25">
      <c r="A189" s="411" t="s">
        <v>259</v>
      </c>
      <c r="B189" s="89" t="s">
        <v>225</v>
      </c>
      <c r="C189" s="147">
        <v>8560</v>
      </c>
      <c r="D189" s="147">
        <v>36118</v>
      </c>
      <c r="E189" s="147">
        <v>4054</v>
      </c>
      <c r="F189" s="147">
        <v>19849</v>
      </c>
      <c r="G189" s="147">
        <v>1650</v>
      </c>
      <c r="H189" s="147">
        <v>4259</v>
      </c>
      <c r="I189" s="147">
        <v>2452</v>
      </c>
      <c r="J189" s="147"/>
      <c r="K189" s="147"/>
      <c r="L189" s="147">
        <v>30</v>
      </c>
      <c r="M189" s="147">
        <v>441</v>
      </c>
      <c r="N189" s="147">
        <v>2200</v>
      </c>
      <c r="O189" s="147">
        <v>151</v>
      </c>
      <c r="P189" s="85">
        <f>SUM(C189:O189)</f>
        <v>79764</v>
      </c>
      <c r="Q189" s="147">
        <v>1264</v>
      </c>
      <c r="R189" s="147">
        <v>2494</v>
      </c>
      <c r="S189" s="147">
        <v>2003</v>
      </c>
      <c r="T189" s="147">
        <v>2861</v>
      </c>
      <c r="U189" s="147">
        <v>2525</v>
      </c>
      <c r="V189" s="147">
        <v>798</v>
      </c>
      <c r="W189" s="147">
        <v>289</v>
      </c>
      <c r="X189" s="147">
        <v>776</v>
      </c>
      <c r="Y189" s="81">
        <v>250</v>
      </c>
      <c r="Z189" s="81">
        <v>146</v>
      </c>
      <c r="AA189" s="67"/>
      <c r="AB189" s="85">
        <f>SUM(Q189:AA189)</f>
        <v>13406</v>
      </c>
      <c r="AC189" s="86">
        <f>P189+AB189</f>
        <v>93170</v>
      </c>
      <c r="AD189" s="82">
        <v>20</v>
      </c>
      <c r="AE189" s="82">
        <v>0</v>
      </c>
      <c r="AF189" s="82">
        <v>1</v>
      </c>
      <c r="AG189" s="83">
        <f>SUM(AD189:AF189)</f>
        <v>21</v>
      </c>
      <c r="AH189" s="416">
        <v>1920</v>
      </c>
      <c r="AI189" s="416">
        <v>2485</v>
      </c>
      <c r="AJ189" s="416">
        <v>814</v>
      </c>
      <c r="AK189" s="416">
        <f>SUM(AH189:AJ194)</f>
        <v>5219</v>
      </c>
    </row>
    <row r="190" spans="1:37" ht="22.5">
      <c r="A190" s="412"/>
      <c r="B190" s="133" t="s">
        <v>226</v>
      </c>
      <c r="C190" s="147">
        <v>38.519999999999996</v>
      </c>
      <c r="D190" s="147">
        <v>162.53099999999998</v>
      </c>
      <c r="E190" s="147">
        <v>18.242999999999999</v>
      </c>
      <c r="F190" s="147">
        <v>89.320499999999996</v>
      </c>
      <c r="G190" s="147">
        <v>0</v>
      </c>
      <c r="H190" s="147">
        <v>0</v>
      </c>
      <c r="I190" s="147">
        <v>0</v>
      </c>
      <c r="J190" s="147"/>
      <c r="K190" s="147"/>
      <c r="L190" s="147">
        <v>34</v>
      </c>
      <c r="M190" s="147">
        <v>1.9844999999999999</v>
      </c>
      <c r="N190" s="147">
        <v>9.8999999999999986</v>
      </c>
      <c r="O190" s="147">
        <v>0</v>
      </c>
      <c r="P190" s="85">
        <f>SUM(C190:O190)</f>
        <v>354.49899999999997</v>
      </c>
      <c r="Q190" s="147">
        <v>33.64</v>
      </c>
      <c r="R190" s="147">
        <v>0</v>
      </c>
      <c r="S190" s="147">
        <v>0</v>
      </c>
      <c r="T190" s="147">
        <v>28.61</v>
      </c>
      <c r="U190" s="147">
        <v>0</v>
      </c>
      <c r="V190" s="147">
        <v>0</v>
      </c>
      <c r="W190" s="147">
        <v>0</v>
      </c>
      <c r="X190" s="147">
        <v>155.20000000000002</v>
      </c>
      <c r="Y190" s="147">
        <v>0</v>
      </c>
      <c r="Z190" s="147">
        <v>0</v>
      </c>
      <c r="AA190" s="67"/>
      <c r="AB190" s="85">
        <f>SUM(Q190:AA190)</f>
        <v>217.45000000000002</v>
      </c>
      <c r="AC190" s="86">
        <f>P190+AB190</f>
        <v>571.94899999999996</v>
      </c>
      <c r="AD190" s="82"/>
      <c r="AE190" s="82"/>
      <c r="AF190" s="82"/>
      <c r="AG190" s="83"/>
      <c r="AH190" s="417"/>
      <c r="AI190" s="417"/>
      <c r="AJ190" s="417"/>
      <c r="AK190" s="417"/>
    </row>
    <row r="191" spans="1:37" ht="22.5">
      <c r="A191" s="412"/>
      <c r="B191" s="133" t="s">
        <v>227</v>
      </c>
      <c r="C191" s="141">
        <v>9252</v>
      </c>
      <c r="D191" s="141">
        <v>37456</v>
      </c>
      <c r="E191" s="141">
        <v>4675</v>
      </c>
      <c r="F191" s="141">
        <v>21619</v>
      </c>
      <c r="G191" s="141">
        <v>1710</v>
      </c>
      <c r="H191" s="141">
        <v>763</v>
      </c>
      <c r="I191" s="141">
        <v>2553</v>
      </c>
      <c r="J191" s="141"/>
      <c r="K191" s="141"/>
      <c r="L191" s="141">
        <v>102</v>
      </c>
      <c r="M191" s="141">
        <v>470</v>
      </c>
      <c r="N191" s="141">
        <v>2470</v>
      </c>
      <c r="O191" s="141">
        <v>151</v>
      </c>
      <c r="P191" s="85">
        <f>SUM(C191:O191)</f>
        <v>81221</v>
      </c>
      <c r="Q191" s="141">
        <v>1403</v>
      </c>
      <c r="R191" s="141">
        <v>2766</v>
      </c>
      <c r="S191" s="141">
        <v>2020</v>
      </c>
      <c r="T191" s="141">
        <v>3192</v>
      </c>
      <c r="U191" s="141">
        <v>1132</v>
      </c>
      <c r="V191" s="141">
        <v>859</v>
      </c>
      <c r="W191" s="141">
        <v>292</v>
      </c>
      <c r="X191" s="141">
        <v>990</v>
      </c>
      <c r="Y191" s="141">
        <v>252</v>
      </c>
      <c r="Z191" s="141">
        <v>164</v>
      </c>
      <c r="AA191" s="67"/>
      <c r="AB191" s="85">
        <f>SUM(Q191:AA191)</f>
        <v>13070</v>
      </c>
      <c r="AC191" s="86">
        <f>P191+AB191</f>
        <v>94291</v>
      </c>
      <c r="AD191" s="68"/>
      <c r="AE191" s="68"/>
      <c r="AF191" s="68"/>
      <c r="AG191" s="68"/>
      <c r="AH191" s="417"/>
      <c r="AI191" s="417"/>
      <c r="AJ191" s="417"/>
      <c r="AK191" s="417"/>
    </row>
    <row r="192" spans="1:37" ht="22.5">
      <c r="A192" s="412"/>
      <c r="B192" s="133" t="s">
        <v>228</v>
      </c>
      <c r="C192" s="400">
        <f>C189+D189+E189+F189+C190+D190+E190+F190</f>
        <v>68889.614500000011</v>
      </c>
      <c r="D192" s="414"/>
      <c r="E192" s="414"/>
      <c r="F192" s="415"/>
      <c r="G192" s="400">
        <f>G189+H189+I189+G190+H190+I190</f>
        <v>8361</v>
      </c>
      <c r="H192" s="414"/>
      <c r="I192" s="415"/>
      <c r="J192" s="268"/>
      <c r="K192" s="268"/>
      <c r="L192" s="400">
        <f>L189+M189+N189+L190+M190+N190</f>
        <v>2716.8845000000001</v>
      </c>
      <c r="M192" s="414"/>
      <c r="N192" s="415"/>
      <c r="O192" s="141"/>
      <c r="P192" s="85"/>
      <c r="Q192" s="400">
        <f>Q189+R189+S189+Q190+R190+S190</f>
        <v>5794.64</v>
      </c>
      <c r="R192" s="414"/>
      <c r="S192" s="415"/>
      <c r="T192" s="141"/>
      <c r="U192" s="141"/>
      <c r="V192" s="141"/>
      <c r="W192" s="141"/>
      <c r="X192" s="141"/>
      <c r="Y192" s="141"/>
      <c r="Z192" s="141"/>
      <c r="AA192" s="67"/>
      <c r="AB192" s="85"/>
      <c r="AC192" s="86"/>
      <c r="AD192" s="68"/>
      <c r="AE192" s="68"/>
      <c r="AF192" s="68"/>
      <c r="AG192" s="68"/>
      <c r="AH192" s="417"/>
      <c r="AI192" s="417"/>
      <c r="AJ192" s="417"/>
      <c r="AK192" s="417"/>
    </row>
    <row r="193" spans="1:37" ht="22.5">
      <c r="A193" s="412"/>
      <c r="B193" s="133" t="s">
        <v>229</v>
      </c>
      <c r="C193" s="400">
        <f>C191+D191+E191+F191</f>
        <v>73002</v>
      </c>
      <c r="D193" s="414"/>
      <c r="E193" s="414"/>
      <c r="F193" s="415"/>
      <c r="G193" s="400">
        <f>G191+H191+I191</f>
        <v>5026</v>
      </c>
      <c r="H193" s="414"/>
      <c r="I193" s="415"/>
      <c r="J193" s="268"/>
      <c r="K193" s="268"/>
      <c r="L193" s="400">
        <f>L191+M191+N191</f>
        <v>3042</v>
      </c>
      <c r="M193" s="414"/>
      <c r="N193" s="415"/>
      <c r="O193" s="141"/>
      <c r="P193" s="85"/>
      <c r="Q193" s="400">
        <f>Q191+R191+S191</f>
        <v>6189</v>
      </c>
      <c r="R193" s="414"/>
      <c r="S193" s="415"/>
      <c r="T193" s="141"/>
      <c r="U193" s="141"/>
      <c r="V193" s="141"/>
      <c r="W193" s="141"/>
      <c r="X193" s="141"/>
      <c r="Y193" s="141"/>
      <c r="Z193" s="141"/>
      <c r="AA193" s="67"/>
      <c r="AB193" s="85"/>
      <c r="AC193" s="86"/>
      <c r="AD193" s="68"/>
      <c r="AE193" s="68"/>
      <c r="AF193" s="68"/>
      <c r="AG193" s="68"/>
      <c r="AH193" s="417"/>
      <c r="AI193" s="417"/>
      <c r="AJ193" s="417"/>
      <c r="AK193" s="417"/>
    </row>
    <row r="194" spans="1:37" ht="22.5">
      <c r="A194" s="413"/>
      <c r="B194" s="93" t="s">
        <v>223</v>
      </c>
      <c r="C194" s="406">
        <f>C192/C193</f>
        <v>0.94366749541108474</v>
      </c>
      <c r="D194" s="409"/>
      <c r="E194" s="409"/>
      <c r="F194" s="410"/>
      <c r="G194" s="406">
        <f>G192/G193</f>
        <v>1.663549542379626</v>
      </c>
      <c r="H194" s="409"/>
      <c r="I194" s="410"/>
      <c r="J194" s="267"/>
      <c r="K194" s="267"/>
      <c r="L194" s="406">
        <f>L192/L193</f>
        <v>0.89312442472057862</v>
      </c>
      <c r="M194" s="409"/>
      <c r="N194" s="410"/>
      <c r="O194" s="142">
        <f>(O189+O190)/O191</f>
        <v>1</v>
      </c>
      <c r="P194" s="87">
        <f>(P189+P190)/P191</f>
        <v>0.98642591201782781</v>
      </c>
      <c r="Q194" s="406">
        <f>Q192/Q193</f>
        <v>0.93628049765713373</v>
      </c>
      <c r="R194" s="409"/>
      <c r="S194" s="410"/>
      <c r="T194" s="142">
        <f t="shared" ref="T194:Z194" si="30">(T189+T190)/T191</f>
        <v>0.90526629072681708</v>
      </c>
      <c r="U194" s="142">
        <f t="shared" si="30"/>
        <v>2.2305653710247348</v>
      </c>
      <c r="V194" s="142">
        <f t="shared" si="30"/>
        <v>0.92898719441210709</v>
      </c>
      <c r="W194" s="142">
        <f t="shared" si="30"/>
        <v>0.98972602739726023</v>
      </c>
      <c r="X194" s="142">
        <f t="shared" si="30"/>
        <v>0.94060606060606067</v>
      </c>
      <c r="Y194" s="142">
        <f t="shared" si="30"/>
        <v>0.99206349206349209</v>
      </c>
      <c r="Z194" s="142">
        <f t="shared" si="30"/>
        <v>0.8902439024390244</v>
      </c>
      <c r="AA194" s="69"/>
      <c r="AB194" s="87">
        <f>(AB189+AB190)/AB191</f>
        <v>1.0423450650344301</v>
      </c>
      <c r="AC194" s="88">
        <f>(AC189+AC190)/AC191</f>
        <v>0.99417705825582503</v>
      </c>
      <c r="AD194" s="84" t="e">
        <f>AD189/$AG$173</f>
        <v>#DIV/0!</v>
      </c>
      <c r="AE194" s="84" t="e">
        <f>AE189/$AG$173</f>
        <v>#DIV/0!</v>
      </c>
      <c r="AF194" s="84" t="e">
        <f>AF189/$AG$173</f>
        <v>#DIV/0!</v>
      </c>
      <c r="AG194" s="134" t="e">
        <f>AG189/$AG$173</f>
        <v>#DIV/0!</v>
      </c>
      <c r="AH194" s="418"/>
      <c r="AI194" s="418"/>
      <c r="AJ194" s="418"/>
      <c r="AK194" s="418"/>
    </row>
    <row r="195" spans="1:37" ht="23.25">
      <c r="A195" s="411" t="s">
        <v>260</v>
      </c>
      <c r="B195" s="89" t="s">
        <v>225</v>
      </c>
      <c r="C195" s="147">
        <v>8550</v>
      </c>
      <c r="D195" s="147">
        <v>36164</v>
      </c>
      <c r="E195" s="147">
        <v>3926</v>
      </c>
      <c r="F195" s="147">
        <v>19880</v>
      </c>
      <c r="G195" s="147">
        <v>1649</v>
      </c>
      <c r="H195" s="147">
        <v>4458</v>
      </c>
      <c r="I195" s="147">
        <v>2462</v>
      </c>
      <c r="J195" s="147"/>
      <c r="K195" s="147"/>
      <c r="L195" s="147">
        <v>33</v>
      </c>
      <c r="M195" s="147">
        <v>437</v>
      </c>
      <c r="N195" s="147">
        <v>2194</v>
      </c>
      <c r="O195" s="147">
        <v>151</v>
      </c>
      <c r="P195" s="85">
        <f>SUM(C195:O195)</f>
        <v>79904</v>
      </c>
      <c r="Q195" s="147">
        <v>1264</v>
      </c>
      <c r="R195" s="147">
        <v>2466</v>
      </c>
      <c r="S195" s="147">
        <v>2000</v>
      </c>
      <c r="T195" s="147">
        <v>2899</v>
      </c>
      <c r="U195" s="147">
        <v>2544</v>
      </c>
      <c r="V195" s="147">
        <v>793</v>
      </c>
      <c r="W195" s="147">
        <v>290</v>
      </c>
      <c r="X195" s="147">
        <v>740</v>
      </c>
      <c r="Y195" s="81">
        <v>209</v>
      </c>
      <c r="Z195" s="81">
        <v>146</v>
      </c>
      <c r="AA195" s="67"/>
      <c r="AB195" s="85">
        <f>SUM(Q195:AA195)</f>
        <v>13351</v>
      </c>
      <c r="AC195" s="86">
        <f>P195+AB195</f>
        <v>93255</v>
      </c>
      <c r="AD195" s="82">
        <v>18</v>
      </c>
      <c r="AE195" s="82">
        <v>2</v>
      </c>
      <c r="AF195" s="82">
        <v>1</v>
      </c>
      <c r="AG195" s="83">
        <f>SUM(AD195:AF195)</f>
        <v>21</v>
      </c>
      <c r="AH195" s="416">
        <v>2536</v>
      </c>
      <c r="AI195" s="416">
        <v>2849</v>
      </c>
      <c r="AJ195" s="416">
        <v>595</v>
      </c>
      <c r="AK195" s="416">
        <f>SUM(AH195:AJ200)</f>
        <v>5980</v>
      </c>
    </row>
    <row r="196" spans="1:37" ht="22.5">
      <c r="A196" s="412"/>
      <c r="B196" s="133" t="s">
        <v>226</v>
      </c>
      <c r="C196" s="147">
        <v>38.474999999999994</v>
      </c>
      <c r="D196" s="147">
        <v>162.738</v>
      </c>
      <c r="E196" s="147">
        <v>17.666999999999998</v>
      </c>
      <c r="F196" s="147">
        <v>89.46</v>
      </c>
      <c r="G196" s="147">
        <v>0</v>
      </c>
      <c r="H196" s="147">
        <v>0</v>
      </c>
      <c r="I196" s="147">
        <v>0</v>
      </c>
      <c r="J196" s="147"/>
      <c r="K196" s="147"/>
      <c r="L196" s="147">
        <v>37</v>
      </c>
      <c r="M196" s="147">
        <v>1.9664999999999999</v>
      </c>
      <c r="N196" s="147">
        <v>9.8729999999999993</v>
      </c>
      <c r="O196" s="147">
        <v>0</v>
      </c>
      <c r="P196" s="85">
        <f>SUM(C196:O196)</f>
        <v>357.17949999999996</v>
      </c>
      <c r="Q196" s="147">
        <v>33.64</v>
      </c>
      <c r="R196" s="147">
        <v>0</v>
      </c>
      <c r="S196" s="147">
        <v>0</v>
      </c>
      <c r="T196" s="147">
        <v>28.990000000000002</v>
      </c>
      <c r="U196" s="147">
        <v>0</v>
      </c>
      <c r="V196" s="147">
        <v>0</v>
      </c>
      <c r="W196" s="147">
        <v>0</v>
      </c>
      <c r="X196" s="147">
        <v>148</v>
      </c>
      <c r="Y196" s="147">
        <v>0</v>
      </c>
      <c r="Z196" s="147">
        <v>0</v>
      </c>
      <c r="AA196" s="67"/>
      <c r="AB196" s="85">
        <f>SUM(Q196:AA196)</f>
        <v>210.63</v>
      </c>
      <c r="AC196" s="86">
        <f>P196+AB196</f>
        <v>567.80949999999996</v>
      </c>
      <c r="AD196" s="82"/>
      <c r="AE196" s="82"/>
      <c r="AF196" s="82"/>
      <c r="AG196" s="83"/>
      <c r="AH196" s="417"/>
      <c r="AI196" s="417"/>
      <c r="AJ196" s="417"/>
      <c r="AK196" s="417"/>
    </row>
    <row r="197" spans="1:37" ht="22.5">
      <c r="A197" s="412"/>
      <c r="B197" s="133" t="s">
        <v>227</v>
      </c>
      <c r="C197" s="141">
        <v>9252</v>
      </c>
      <c r="D197" s="141">
        <v>37456</v>
      </c>
      <c r="E197" s="141">
        <v>4675</v>
      </c>
      <c r="F197" s="141">
        <v>21619</v>
      </c>
      <c r="G197" s="141">
        <v>1710</v>
      </c>
      <c r="H197" s="141">
        <v>763</v>
      </c>
      <c r="I197" s="141">
        <v>2553</v>
      </c>
      <c r="J197" s="141"/>
      <c r="K197" s="141"/>
      <c r="L197" s="141">
        <v>102</v>
      </c>
      <c r="M197" s="141">
        <v>470</v>
      </c>
      <c r="N197" s="141">
        <v>2470</v>
      </c>
      <c r="O197" s="141">
        <v>151</v>
      </c>
      <c r="P197" s="85">
        <f>SUM(C197:O197)</f>
        <v>81221</v>
      </c>
      <c r="Q197" s="141">
        <v>1403</v>
      </c>
      <c r="R197" s="141">
        <v>2766</v>
      </c>
      <c r="S197" s="141">
        <v>2020</v>
      </c>
      <c r="T197" s="141">
        <v>3192</v>
      </c>
      <c r="U197" s="141">
        <v>1132</v>
      </c>
      <c r="V197" s="141">
        <v>859</v>
      </c>
      <c r="W197" s="141">
        <v>292</v>
      </c>
      <c r="X197" s="141">
        <v>990</v>
      </c>
      <c r="Y197" s="141">
        <v>252</v>
      </c>
      <c r="Z197" s="141">
        <v>164</v>
      </c>
      <c r="AA197" s="67"/>
      <c r="AB197" s="85">
        <f>SUM(Q197:AA197)</f>
        <v>13070</v>
      </c>
      <c r="AC197" s="86">
        <f>P197+AB197</f>
        <v>94291</v>
      </c>
      <c r="AD197" s="68"/>
      <c r="AE197" s="68"/>
      <c r="AF197" s="68"/>
      <c r="AG197" s="68"/>
      <c r="AH197" s="417"/>
      <c r="AI197" s="417"/>
      <c r="AJ197" s="417"/>
      <c r="AK197" s="417"/>
    </row>
    <row r="198" spans="1:37" ht="22.5">
      <c r="A198" s="412"/>
      <c r="B198" s="133" t="s">
        <v>228</v>
      </c>
      <c r="C198" s="400">
        <f>C195+D195+E195+F195+C196+D196+E196+F196</f>
        <v>68828.340000000011</v>
      </c>
      <c r="D198" s="414"/>
      <c r="E198" s="414"/>
      <c r="F198" s="415"/>
      <c r="G198" s="400">
        <f>G195+H195+I195+G196+H196+I196</f>
        <v>8569</v>
      </c>
      <c r="H198" s="414"/>
      <c r="I198" s="415"/>
      <c r="J198" s="268"/>
      <c r="K198" s="268"/>
      <c r="L198" s="400">
        <f>L195+M195+N195+L196+M196+N196</f>
        <v>2712.8395</v>
      </c>
      <c r="M198" s="414"/>
      <c r="N198" s="415"/>
      <c r="O198" s="141"/>
      <c r="P198" s="85"/>
      <c r="Q198" s="400">
        <f>Q195+R195+S195+Q196+R196+S196</f>
        <v>5763.64</v>
      </c>
      <c r="R198" s="414"/>
      <c r="S198" s="415"/>
      <c r="T198" s="141"/>
      <c r="U198" s="141"/>
      <c r="V198" s="141"/>
      <c r="W198" s="141"/>
      <c r="X198" s="141"/>
      <c r="Y198" s="141"/>
      <c r="Z198" s="141"/>
      <c r="AA198" s="67"/>
      <c r="AB198" s="85"/>
      <c r="AC198" s="86"/>
      <c r="AD198" s="68"/>
      <c r="AE198" s="68"/>
      <c r="AF198" s="68"/>
      <c r="AG198" s="68"/>
      <c r="AH198" s="417"/>
      <c r="AI198" s="417"/>
      <c r="AJ198" s="417"/>
      <c r="AK198" s="417"/>
    </row>
    <row r="199" spans="1:37" ht="22.5">
      <c r="A199" s="412"/>
      <c r="B199" s="133" t="s">
        <v>229</v>
      </c>
      <c r="C199" s="400">
        <f>C197+D197+E197+F197</f>
        <v>73002</v>
      </c>
      <c r="D199" s="414"/>
      <c r="E199" s="414"/>
      <c r="F199" s="415"/>
      <c r="G199" s="400">
        <f>G197+H197+I197</f>
        <v>5026</v>
      </c>
      <c r="H199" s="414"/>
      <c r="I199" s="415"/>
      <c r="J199" s="268"/>
      <c r="K199" s="268"/>
      <c r="L199" s="400">
        <f>L197+M197+N197</f>
        <v>3042</v>
      </c>
      <c r="M199" s="414"/>
      <c r="N199" s="415"/>
      <c r="O199" s="141"/>
      <c r="P199" s="85"/>
      <c r="Q199" s="400">
        <f>Q197+R197+S197</f>
        <v>6189</v>
      </c>
      <c r="R199" s="414"/>
      <c r="S199" s="415"/>
      <c r="T199" s="141"/>
      <c r="U199" s="141"/>
      <c r="V199" s="141"/>
      <c r="W199" s="141"/>
      <c r="X199" s="141"/>
      <c r="Y199" s="141"/>
      <c r="Z199" s="141"/>
      <c r="AA199" s="67"/>
      <c r="AB199" s="85"/>
      <c r="AC199" s="86"/>
      <c r="AD199" s="68"/>
      <c r="AE199" s="68"/>
      <c r="AF199" s="68"/>
      <c r="AG199" s="68"/>
      <c r="AH199" s="417"/>
      <c r="AI199" s="417"/>
      <c r="AJ199" s="417"/>
      <c r="AK199" s="417"/>
    </row>
    <row r="200" spans="1:37" ht="22.5">
      <c r="A200" s="413"/>
      <c r="B200" s="93" t="s">
        <v>223</v>
      </c>
      <c r="C200" s="406">
        <f>C198/C199</f>
        <v>0.94282814169474827</v>
      </c>
      <c r="D200" s="409"/>
      <c r="E200" s="409"/>
      <c r="F200" s="410"/>
      <c r="G200" s="406">
        <f>G198/G199</f>
        <v>1.7049343414245921</v>
      </c>
      <c r="H200" s="409"/>
      <c r="I200" s="410"/>
      <c r="J200" s="267"/>
      <c r="K200" s="267"/>
      <c r="L200" s="406">
        <f>L198/L199</f>
        <v>0.89179470742932287</v>
      </c>
      <c r="M200" s="409"/>
      <c r="N200" s="410"/>
      <c r="O200" s="142">
        <f>(O195+O196)/O197</f>
        <v>1</v>
      </c>
      <c r="P200" s="87">
        <f>(P195+P196)/P197</f>
        <v>0.98818260671501212</v>
      </c>
      <c r="Q200" s="406">
        <f>Q198/Q199</f>
        <v>0.93127161092260469</v>
      </c>
      <c r="R200" s="409"/>
      <c r="S200" s="410"/>
      <c r="T200" s="142">
        <f t="shared" ref="T200:Z200" si="31">(T195+T196)/T197</f>
        <v>0.91729010025062652</v>
      </c>
      <c r="U200" s="142">
        <f t="shared" si="31"/>
        <v>2.2473498233215548</v>
      </c>
      <c r="V200" s="142">
        <f t="shared" si="31"/>
        <v>0.92316647264260765</v>
      </c>
      <c r="W200" s="142">
        <f t="shared" si="31"/>
        <v>0.99315068493150682</v>
      </c>
      <c r="X200" s="142">
        <f t="shared" si="31"/>
        <v>0.89696969696969697</v>
      </c>
      <c r="Y200" s="142">
        <f t="shared" si="31"/>
        <v>0.82936507936507942</v>
      </c>
      <c r="Z200" s="142">
        <f t="shared" si="31"/>
        <v>0.8902439024390244</v>
      </c>
      <c r="AA200" s="69"/>
      <c r="AB200" s="87">
        <f>(AB195+AB196)/AB197</f>
        <v>1.0376151491966334</v>
      </c>
      <c r="AC200" s="88">
        <f>(AC195+AC196)/AC197</f>
        <v>0.99503462154394373</v>
      </c>
      <c r="AD200" s="84" t="e">
        <f>AD195/$AG$173</f>
        <v>#DIV/0!</v>
      </c>
      <c r="AE200" s="84" t="e">
        <f>AE195/$AG$173</f>
        <v>#DIV/0!</v>
      </c>
      <c r="AF200" s="84" t="e">
        <f>AF195/$AG$173</f>
        <v>#DIV/0!</v>
      </c>
      <c r="AG200" s="134" t="e">
        <f>AG195/$AG$173</f>
        <v>#DIV/0!</v>
      </c>
      <c r="AH200" s="418"/>
      <c r="AI200" s="418"/>
      <c r="AJ200" s="418"/>
      <c r="AK200" s="418"/>
    </row>
    <row r="201" spans="1:37" ht="23.25">
      <c r="A201" s="411" t="s">
        <v>261</v>
      </c>
      <c r="B201" s="89" t="s">
        <v>225</v>
      </c>
      <c r="C201" s="147">
        <v>8558</v>
      </c>
      <c r="D201" s="147">
        <v>36344</v>
      </c>
      <c r="E201" s="147">
        <v>3941</v>
      </c>
      <c r="F201" s="147">
        <v>19710</v>
      </c>
      <c r="G201" s="147">
        <v>1649</v>
      </c>
      <c r="H201" s="147">
        <v>4786</v>
      </c>
      <c r="I201" s="147">
        <v>2453</v>
      </c>
      <c r="J201" s="147"/>
      <c r="K201" s="147"/>
      <c r="L201" s="147">
        <v>36</v>
      </c>
      <c r="M201" s="147">
        <v>432</v>
      </c>
      <c r="N201" s="147">
        <v>2216</v>
      </c>
      <c r="O201" s="147">
        <v>151</v>
      </c>
      <c r="P201" s="85">
        <f>SUM(C201:O201)</f>
        <v>80276</v>
      </c>
      <c r="Q201" s="147">
        <v>1237</v>
      </c>
      <c r="R201" s="147">
        <v>2480</v>
      </c>
      <c r="S201" s="147">
        <v>2005</v>
      </c>
      <c r="T201" s="147">
        <v>2956</v>
      </c>
      <c r="U201" s="147">
        <v>2573</v>
      </c>
      <c r="V201" s="147">
        <v>800</v>
      </c>
      <c r="W201" s="147">
        <v>289</v>
      </c>
      <c r="X201" s="147">
        <v>743</v>
      </c>
      <c r="Y201" s="81">
        <v>215</v>
      </c>
      <c r="Z201" s="81">
        <v>148</v>
      </c>
      <c r="AA201" s="67"/>
      <c r="AB201" s="85">
        <f>SUM(Q201:AA201)</f>
        <v>13446</v>
      </c>
      <c r="AC201" s="86">
        <f>P201+AB201</f>
        <v>93722</v>
      </c>
      <c r="AD201" s="82">
        <v>18</v>
      </c>
      <c r="AE201" s="82">
        <v>2</v>
      </c>
      <c r="AF201" s="82">
        <v>1</v>
      </c>
      <c r="AG201" s="83">
        <f>SUM(AD201:AF201)</f>
        <v>21</v>
      </c>
      <c r="AH201" s="416">
        <v>1845</v>
      </c>
      <c r="AI201" s="416">
        <v>2355</v>
      </c>
      <c r="AJ201" s="416">
        <v>745</v>
      </c>
      <c r="AK201" s="416">
        <f>SUM(AH201:AJ206)</f>
        <v>4945</v>
      </c>
    </row>
    <row r="202" spans="1:37" ht="22.5">
      <c r="A202" s="412"/>
      <c r="B202" s="133" t="s">
        <v>226</v>
      </c>
      <c r="C202" s="147">
        <v>38.510999999999996</v>
      </c>
      <c r="D202" s="147">
        <v>163.548</v>
      </c>
      <c r="E202" s="147">
        <v>17.734499999999997</v>
      </c>
      <c r="F202" s="147">
        <v>88.694999999999993</v>
      </c>
      <c r="G202" s="147">
        <v>0</v>
      </c>
      <c r="H202" s="147">
        <v>0</v>
      </c>
      <c r="I202" s="147">
        <v>0</v>
      </c>
      <c r="J202" s="147"/>
      <c r="K202" s="147"/>
      <c r="L202" s="147">
        <v>32</v>
      </c>
      <c r="M202" s="147">
        <v>1.944</v>
      </c>
      <c r="N202" s="147">
        <v>9.9719999999999995</v>
      </c>
      <c r="O202" s="147">
        <v>0</v>
      </c>
      <c r="P202" s="85">
        <f>SUM(C202:O202)</f>
        <v>352.40449999999998</v>
      </c>
      <c r="Q202" s="147">
        <v>33.370000000000005</v>
      </c>
      <c r="R202" s="147">
        <v>0</v>
      </c>
      <c r="S202" s="147">
        <v>0</v>
      </c>
      <c r="T202" s="147">
        <v>29.560000000000002</v>
      </c>
      <c r="U202" s="147">
        <v>0</v>
      </c>
      <c r="V202" s="147">
        <v>0</v>
      </c>
      <c r="W202" s="147">
        <v>0</v>
      </c>
      <c r="X202" s="147">
        <v>148.6</v>
      </c>
      <c r="Y202" s="147">
        <v>0</v>
      </c>
      <c r="Z202" s="147">
        <v>0</v>
      </c>
      <c r="AA202" s="67"/>
      <c r="AB202" s="85">
        <f>SUM(Q202:AA202)</f>
        <v>211.53</v>
      </c>
      <c r="AC202" s="86">
        <f>P202+AB202</f>
        <v>563.93449999999996</v>
      </c>
      <c r="AD202" s="82"/>
      <c r="AE202" s="82"/>
      <c r="AF202" s="82"/>
      <c r="AG202" s="83"/>
      <c r="AH202" s="417"/>
      <c r="AI202" s="417"/>
      <c r="AJ202" s="417"/>
      <c r="AK202" s="417"/>
    </row>
    <row r="203" spans="1:37" ht="22.5">
      <c r="A203" s="412"/>
      <c r="B203" s="133" t="s">
        <v>227</v>
      </c>
      <c r="C203" s="141">
        <v>9252</v>
      </c>
      <c r="D203" s="141">
        <v>37456</v>
      </c>
      <c r="E203" s="141">
        <v>4675</v>
      </c>
      <c r="F203" s="141">
        <v>21619</v>
      </c>
      <c r="G203" s="141">
        <v>1710</v>
      </c>
      <c r="H203" s="141">
        <v>763</v>
      </c>
      <c r="I203" s="141">
        <v>2553</v>
      </c>
      <c r="J203" s="141"/>
      <c r="K203" s="141"/>
      <c r="L203" s="141">
        <v>102</v>
      </c>
      <c r="M203" s="141">
        <v>470</v>
      </c>
      <c r="N203" s="141">
        <v>2470</v>
      </c>
      <c r="O203" s="141">
        <v>151</v>
      </c>
      <c r="P203" s="85">
        <f>SUM(C203:O203)</f>
        <v>81221</v>
      </c>
      <c r="Q203" s="141">
        <v>1403</v>
      </c>
      <c r="R203" s="141">
        <v>2766</v>
      </c>
      <c r="S203" s="141">
        <v>2020</v>
      </c>
      <c r="T203" s="141">
        <v>3192</v>
      </c>
      <c r="U203" s="141">
        <v>1132</v>
      </c>
      <c r="V203" s="141">
        <v>859</v>
      </c>
      <c r="W203" s="141">
        <v>292</v>
      </c>
      <c r="X203" s="141">
        <v>990</v>
      </c>
      <c r="Y203" s="141">
        <v>252</v>
      </c>
      <c r="Z203" s="141">
        <v>164</v>
      </c>
      <c r="AA203" s="67"/>
      <c r="AB203" s="85">
        <f>SUM(Q203:AA203)</f>
        <v>13070</v>
      </c>
      <c r="AC203" s="86">
        <f>P203+AB203</f>
        <v>94291</v>
      </c>
      <c r="AD203" s="68"/>
      <c r="AE203" s="68"/>
      <c r="AF203" s="68"/>
      <c r="AG203" s="68"/>
      <c r="AH203" s="417"/>
      <c r="AI203" s="417"/>
      <c r="AJ203" s="417"/>
      <c r="AK203" s="417"/>
    </row>
    <row r="204" spans="1:37" ht="22.5">
      <c r="A204" s="412"/>
      <c r="B204" s="133" t="s">
        <v>228</v>
      </c>
      <c r="C204" s="400">
        <f>C201+D201+E201+F201+C202+D202+E202+F202</f>
        <v>68861.488500000007</v>
      </c>
      <c r="D204" s="414"/>
      <c r="E204" s="414"/>
      <c r="F204" s="415"/>
      <c r="G204" s="400">
        <f>G201+H201+I201+G202+H202+I202</f>
        <v>8888</v>
      </c>
      <c r="H204" s="414"/>
      <c r="I204" s="415"/>
      <c r="J204" s="268"/>
      <c r="K204" s="268"/>
      <c r="L204" s="400">
        <f>L201+M201+N201+L202+M202+N202</f>
        <v>2727.9160000000002</v>
      </c>
      <c r="M204" s="414"/>
      <c r="N204" s="415"/>
      <c r="O204" s="141"/>
      <c r="P204" s="85"/>
      <c r="Q204" s="400">
        <f>Q201+R201+S201+Q202+R202+S202</f>
        <v>5755.37</v>
      </c>
      <c r="R204" s="414"/>
      <c r="S204" s="415"/>
      <c r="T204" s="141"/>
      <c r="U204" s="141"/>
      <c r="V204" s="141"/>
      <c r="W204" s="141"/>
      <c r="X204" s="141"/>
      <c r="Y204" s="141"/>
      <c r="Z204" s="141"/>
      <c r="AA204" s="67"/>
      <c r="AB204" s="85"/>
      <c r="AC204" s="86"/>
      <c r="AD204" s="68"/>
      <c r="AE204" s="68"/>
      <c r="AF204" s="68"/>
      <c r="AG204" s="68"/>
      <c r="AH204" s="417"/>
      <c r="AI204" s="417"/>
      <c r="AJ204" s="417"/>
      <c r="AK204" s="417"/>
    </row>
    <row r="205" spans="1:37" ht="22.5">
      <c r="A205" s="412"/>
      <c r="B205" s="133" t="s">
        <v>229</v>
      </c>
      <c r="C205" s="400">
        <f>C203+D203+E203+F203</f>
        <v>73002</v>
      </c>
      <c r="D205" s="414"/>
      <c r="E205" s="414"/>
      <c r="F205" s="415"/>
      <c r="G205" s="400">
        <f>G203+H203+I203</f>
        <v>5026</v>
      </c>
      <c r="H205" s="414"/>
      <c r="I205" s="415"/>
      <c r="J205" s="268"/>
      <c r="K205" s="268"/>
      <c r="L205" s="400">
        <f>L203+M203+N203</f>
        <v>3042</v>
      </c>
      <c r="M205" s="414"/>
      <c r="N205" s="415"/>
      <c r="O205" s="141"/>
      <c r="P205" s="85"/>
      <c r="Q205" s="400">
        <f>Q203+R203+S203</f>
        <v>6189</v>
      </c>
      <c r="R205" s="414"/>
      <c r="S205" s="415"/>
      <c r="T205" s="141"/>
      <c r="U205" s="141"/>
      <c r="V205" s="141"/>
      <c r="W205" s="141"/>
      <c r="X205" s="141"/>
      <c r="Y205" s="141"/>
      <c r="Z205" s="141"/>
      <c r="AA205" s="67"/>
      <c r="AB205" s="85"/>
      <c r="AC205" s="86"/>
      <c r="AD205" s="68"/>
      <c r="AE205" s="68"/>
      <c r="AF205" s="68"/>
      <c r="AG205" s="68"/>
      <c r="AH205" s="417"/>
      <c r="AI205" s="417"/>
      <c r="AJ205" s="417"/>
      <c r="AK205" s="417"/>
    </row>
    <row r="206" spans="1:37" ht="22.5">
      <c r="A206" s="413"/>
      <c r="B206" s="93" t="s">
        <v>223</v>
      </c>
      <c r="C206" s="406">
        <f>C204/C205</f>
        <v>0.94328221829538927</v>
      </c>
      <c r="D206" s="409"/>
      <c r="E206" s="409"/>
      <c r="F206" s="410"/>
      <c r="G206" s="406">
        <f>G204/G205</f>
        <v>1.7684042976522085</v>
      </c>
      <c r="H206" s="409"/>
      <c r="I206" s="410"/>
      <c r="J206" s="267"/>
      <c r="K206" s="267"/>
      <c r="L206" s="406">
        <f>L204/L205</f>
        <v>0.89675082182774501</v>
      </c>
      <c r="M206" s="409"/>
      <c r="N206" s="410"/>
      <c r="O206" s="142">
        <f>(O201+O202)/O203</f>
        <v>1</v>
      </c>
      <c r="P206" s="87">
        <f>(P201+P202)/P203</f>
        <v>0.99270391278117731</v>
      </c>
      <c r="Q206" s="406">
        <f>Q204/Q205</f>
        <v>0.92993536920342545</v>
      </c>
      <c r="R206" s="409"/>
      <c r="S206" s="410"/>
      <c r="T206" s="142">
        <f t="shared" ref="T206:Z206" si="32">(T201+T202)/T203</f>
        <v>0.93532581453634078</v>
      </c>
      <c r="U206" s="142">
        <f t="shared" si="32"/>
        <v>2.2729681978798588</v>
      </c>
      <c r="V206" s="142">
        <f t="shared" si="32"/>
        <v>0.93131548311990686</v>
      </c>
      <c r="W206" s="142">
        <f t="shared" si="32"/>
        <v>0.98972602739726023</v>
      </c>
      <c r="X206" s="142">
        <f t="shared" si="32"/>
        <v>0.90060606060606063</v>
      </c>
      <c r="Y206" s="142">
        <f t="shared" si="32"/>
        <v>0.85317460317460314</v>
      </c>
      <c r="Z206" s="142">
        <f t="shared" si="32"/>
        <v>0.90243902439024393</v>
      </c>
      <c r="AA206" s="69"/>
      <c r="AB206" s="87">
        <f>(AB201+AB202)/AB203</f>
        <v>1.0449525631216527</v>
      </c>
      <c r="AC206" s="88">
        <f>(AC201+AC202)/AC203</f>
        <v>0.99994627801168723</v>
      </c>
      <c r="AD206" s="84" t="e">
        <f>AD201/$AG$173</f>
        <v>#DIV/0!</v>
      </c>
      <c r="AE206" s="84" t="e">
        <f>AE201/$AG$173</f>
        <v>#DIV/0!</v>
      </c>
      <c r="AF206" s="84" t="e">
        <f>AF201/$AG$173</f>
        <v>#DIV/0!</v>
      </c>
      <c r="AG206" s="134" t="e">
        <f>AG201/$AG$173</f>
        <v>#DIV/0!</v>
      </c>
      <c r="AH206" s="418"/>
      <c r="AI206" s="418"/>
      <c r="AJ206" s="418"/>
      <c r="AK206" s="418"/>
    </row>
    <row r="207" spans="1:37" ht="23.25">
      <c r="A207" s="411" t="s">
        <v>262</v>
      </c>
      <c r="B207" s="89" t="s">
        <v>225</v>
      </c>
      <c r="C207" s="147">
        <v>8554</v>
      </c>
      <c r="D207" s="147">
        <v>36289</v>
      </c>
      <c r="E207" s="147">
        <v>3946</v>
      </c>
      <c r="F207" s="147">
        <v>19908</v>
      </c>
      <c r="G207" s="147">
        <v>1644</v>
      </c>
      <c r="H207" s="147">
        <v>4821</v>
      </c>
      <c r="I207" s="147">
        <v>2451</v>
      </c>
      <c r="J207" s="147"/>
      <c r="K207" s="147"/>
      <c r="L207" s="147">
        <v>55</v>
      </c>
      <c r="M207" s="147">
        <v>430</v>
      </c>
      <c r="N207" s="147">
        <v>2218</v>
      </c>
      <c r="O207" s="147">
        <v>151</v>
      </c>
      <c r="P207" s="85">
        <f>SUM(C207:O207)</f>
        <v>80467</v>
      </c>
      <c r="Q207" s="147">
        <v>1243</v>
      </c>
      <c r="R207" s="147">
        <v>2512</v>
      </c>
      <c r="S207" s="147">
        <v>2004</v>
      </c>
      <c r="T207" s="147">
        <v>2969</v>
      </c>
      <c r="U207" s="147">
        <v>2560</v>
      </c>
      <c r="V207" s="147">
        <v>797</v>
      </c>
      <c r="W207" s="147">
        <v>285</v>
      </c>
      <c r="X207" s="147">
        <v>745</v>
      </c>
      <c r="Y207" s="81">
        <v>217</v>
      </c>
      <c r="Z207" s="81">
        <v>148</v>
      </c>
      <c r="AA207" s="67"/>
      <c r="AB207" s="85">
        <f>SUM(Q207:AA207)</f>
        <v>13480</v>
      </c>
      <c r="AC207" s="86">
        <f>P207+AB207</f>
        <v>93947</v>
      </c>
      <c r="AD207" s="82">
        <v>19</v>
      </c>
      <c r="AE207" s="82">
        <v>1</v>
      </c>
      <c r="AF207" s="82">
        <v>1</v>
      </c>
      <c r="AG207" s="83">
        <f>SUM(AD207:AF207)</f>
        <v>21</v>
      </c>
      <c r="AH207" s="416">
        <v>2378</v>
      </c>
      <c r="AI207" s="416">
        <v>2499</v>
      </c>
      <c r="AJ207" s="416">
        <v>416</v>
      </c>
      <c r="AK207" s="416">
        <f>SUM(AH207:AJ212)</f>
        <v>5293</v>
      </c>
    </row>
    <row r="208" spans="1:37" ht="22.5">
      <c r="A208" s="412"/>
      <c r="B208" s="133" t="s">
        <v>226</v>
      </c>
      <c r="C208" s="147">
        <v>38.492999999999995</v>
      </c>
      <c r="D208" s="147">
        <v>163.3005</v>
      </c>
      <c r="E208" s="147">
        <v>17.756999999999998</v>
      </c>
      <c r="F208" s="147">
        <v>89.585999999999999</v>
      </c>
      <c r="G208" s="147">
        <v>0</v>
      </c>
      <c r="H208" s="147">
        <v>0</v>
      </c>
      <c r="I208" s="147">
        <v>0</v>
      </c>
      <c r="J208" s="147"/>
      <c r="K208" s="147"/>
      <c r="L208" s="147"/>
      <c r="M208" s="147">
        <v>1.9349999999999998</v>
      </c>
      <c r="N208" s="147">
        <v>9.9809999999999999</v>
      </c>
      <c r="O208" s="147">
        <v>0</v>
      </c>
      <c r="P208" s="85">
        <f>SUM(C208:O208)</f>
        <v>321.05250000000001</v>
      </c>
      <c r="Q208" s="147">
        <v>33.43</v>
      </c>
      <c r="R208" s="147">
        <v>0</v>
      </c>
      <c r="S208" s="147">
        <v>0</v>
      </c>
      <c r="T208" s="147">
        <v>29.69</v>
      </c>
      <c r="U208" s="147">
        <v>0</v>
      </c>
      <c r="V208" s="147">
        <v>0</v>
      </c>
      <c r="W208" s="147">
        <v>0</v>
      </c>
      <c r="X208" s="147">
        <v>149</v>
      </c>
      <c r="Y208" s="147">
        <v>0</v>
      </c>
      <c r="Z208" s="147">
        <v>0</v>
      </c>
      <c r="AA208" s="67"/>
      <c r="AB208" s="85">
        <f>SUM(Q208:AA208)</f>
        <v>212.12</v>
      </c>
      <c r="AC208" s="86">
        <f>P208+AB208</f>
        <v>533.17250000000001</v>
      </c>
      <c r="AD208" s="82"/>
      <c r="AE208" s="82"/>
      <c r="AF208" s="82"/>
      <c r="AG208" s="83"/>
      <c r="AH208" s="417"/>
      <c r="AI208" s="417"/>
      <c r="AJ208" s="417"/>
      <c r="AK208" s="417"/>
    </row>
    <row r="209" spans="1:37" ht="22.5">
      <c r="A209" s="412"/>
      <c r="B209" s="133" t="s">
        <v>227</v>
      </c>
      <c r="C209" s="141">
        <v>9252</v>
      </c>
      <c r="D209" s="141">
        <v>37456</v>
      </c>
      <c r="E209" s="141">
        <v>4675</v>
      </c>
      <c r="F209" s="141">
        <v>21619</v>
      </c>
      <c r="G209" s="141">
        <v>1710</v>
      </c>
      <c r="H209" s="141">
        <v>763</v>
      </c>
      <c r="I209" s="141">
        <v>2553</v>
      </c>
      <c r="J209" s="141"/>
      <c r="K209" s="141"/>
      <c r="L209" s="141">
        <v>102</v>
      </c>
      <c r="M209" s="141">
        <v>470</v>
      </c>
      <c r="N209" s="141">
        <v>2470</v>
      </c>
      <c r="O209" s="141">
        <v>151</v>
      </c>
      <c r="P209" s="85">
        <f>SUM(C209:O209)</f>
        <v>81221</v>
      </c>
      <c r="Q209" s="141">
        <v>1403</v>
      </c>
      <c r="R209" s="141">
        <v>2766</v>
      </c>
      <c r="S209" s="141">
        <v>2020</v>
      </c>
      <c r="T209" s="141">
        <v>3192</v>
      </c>
      <c r="U209" s="141">
        <v>1132</v>
      </c>
      <c r="V209" s="141">
        <v>859</v>
      </c>
      <c r="W209" s="141">
        <v>292</v>
      </c>
      <c r="X209" s="141">
        <v>990</v>
      </c>
      <c r="Y209" s="141">
        <v>252</v>
      </c>
      <c r="Z209" s="141">
        <v>164</v>
      </c>
      <c r="AA209" s="67"/>
      <c r="AB209" s="85">
        <f>SUM(Q209:AA209)</f>
        <v>13070</v>
      </c>
      <c r="AC209" s="86">
        <f>P209+AB209</f>
        <v>94291</v>
      </c>
      <c r="AD209" s="68"/>
      <c r="AE209" s="68"/>
      <c r="AF209" s="68"/>
      <c r="AG209" s="68"/>
      <c r="AH209" s="417"/>
      <c r="AI209" s="417"/>
      <c r="AJ209" s="417"/>
      <c r="AK209" s="417"/>
    </row>
    <row r="210" spans="1:37" ht="22.5">
      <c r="A210" s="412"/>
      <c r="B210" s="133" t="s">
        <v>228</v>
      </c>
      <c r="C210" s="400">
        <f>C207+D207+E207+F207+C208+D208+E208+F208</f>
        <v>69006.136499999993</v>
      </c>
      <c r="D210" s="414"/>
      <c r="E210" s="414"/>
      <c r="F210" s="415"/>
      <c r="G210" s="400">
        <f>G207+H207+I207+G208+H208+I208</f>
        <v>8916</v>
      </c>
      <c r="H210" s="414"/>
      <c r="I210" s="415"/>
      <c r="J210" s="268"/>
      <c r="K210" s="268"/>
      <c r="L210" s="400">
        <f>L207+M207+N207+L208+M208+N208</f>
        <v>2714.9160000000002</v>
      </c>
      <c r="M210" s="414"/>
      <c r="N210" s="415"/>
      <c r="O210" s="141"/>
      <c r="P210" s="85"/>
      <c r="Q210" s="400">
        <f>Q207+R207+S207+Q208+R208+S208</f>
        <v>5792.43</v>
      </c>
      <c r="R210" s="414"/>
      <c r="S210" s="415"/>
      <c r="T210" s="141"/>
      <c r="U210" s="141"/>
      <c r="V210" s="141"/>
      <c r="W210" s="141"/>
      <c r="X210" s="141"/>
      <c r="Y210" s="141"/>
      <c r="Z210" s="141"/>
      <c r="AA210" s="67"/>
      <c r="AB210" s="85"/>
      <c r="AC210" s="86"/>
      <c r="AD210" s="68"/>
      <c r="AE210" s="68"/>
      <c r="AF210" s="68"/>
      <c r="AG210" s="68"/>
      <c r="AH210" s="417"/>
      <c r="AI210" s="417"/>
      <c r="AJ210" s="417"/>
      <c r="AK210" s="417"/>
    </row>
    <row r="211" spans="1:37" ht="22.5">
      <c r="A211" s="412"/>
      <c r="B211" s="133" t="s">
        <v>229</v>
      </c>
      <c r="C211" s="400">
        <f>C209+D209+E209+F209</f>
        <v>73002</v>
      </c>
      <c r="D211" s="414"/>
      <c r="E211" s="414"/>
      <c r="F211" s="415"/>
      <c r="G211" s="400">
        <f>G209+H209+I209</f>
        <v>5026</v>
      </c>
      <c r="H211" s="414"/>
      <c r="I211" s="415"/>
      <c r="J211" s="268"/>
      <c r="K211" s="268"/>
      <c r="L211" s="400">
        <f>L209+M209+N209</f>
        <v>3042</v>
      </c>
      <c r="M211" s="414"/>
      <c r="N211" s="415"/>
      <c r="O211" s="141"/>
      <c r="P211" s="85"/>
      <c r="Q211" s="400">
        <f>Q209+R209+S209</f>
        <v>6189</v>
      </c>
      <c r="R211" s="414"/>
      <c r="S211" s="415"/>
      <c r="T211" s="141"/>
      <c r="U211" s="141"/>
      <c r="V211" s="141"/>
      <c r="W211" s="141"/>
      <c r="X211" s="141"/>
      <c r="Y211" s="141"/>
      <c r="Z211" s="141"/>
      <c r="AA211" s="67"/>
      <c r="AB211" s="85"/>
      <c r="AC211" s="86"/>
      <c r="AD211" s="68"/>
      <c r="AE211" s="68"/>
      <c r="AF211" s="68"/>
      <c r="AG211" s="68"/>
      <c r="AH211" s="417"/>
      <c r="AI211" s="417"/>
      <c r="AJ211" s="417"/>
      <c r="AK211" s="417"/>
    </row>
    <row r="212" spans="1:37" ht="22.5">
      <c r="A212" s="413"/>
      <c r="B212" s="93" t="s">
        <v>223</v>
      </c>
      <c r="C212" s="406">
        <f>C210/C211</f>
        <v>0.9452636434618229</v>
      </c>
      <c r="D212" s="409"/>
      <c r="E212" s="409"/>
      <c r="F212" s="410"/>
      <c r="G212" s="406">
        <f>G210/G211</f>
        <v>1.773975328292877</v>
      </c>
      <c r="H212" s="409"/>
      <c r="I212" s="410"/>
      <c r="J212" s="267"/>
      <c r="K212" s="267"/>
      <c r="L212" s="406">
        <f>L210/L211</f>
        <v>0.89247731755424065</v>
      </c>
      <c r="M212" s="409"/>
      <c r="N212" s="410"/>
      <c r="O212" s="142">
        <f>(O207+O208)/O209</f>
        <v>1</v>
      </c>
      <c r="P212" s="87">
        <f>(P207+P208)/P209</f>
        <v>0.99466951281072635</v>
      </c>
      <c r="Q212" s="406">
        <f>Q210/Q211</f>
        <v>0.93592341250605915</v>
      </c>
      <c r="R212" s="409"/>
      <c r="S212" s="410"/>
      <c r="T212" s="142">
        <f t="shared" ref="T212:Z212" si="33">(T207+T208)/T209</f>
        <v>0.93943922305764416</v>
      </c>
      <c r="U212" s="142">
        <f t="shared" si="33"/>
        <v>2.2614840989399294</v>
      </c>
      <c r="V212" s="142">
        <f t="shared" si="33"/>
        <v>0.9278230500582072</v>
      </c>
      <c r="W212" s="142">
        <f t="shared" si="33"/>
        <v>0.97602739726027399</v>
      </c>
      <c r="X212" s="142">
        <f t="shared" si="33"/>
        <v>0.90303030303030307</v>
      </c>
      <c r="Y212" s="142">
        <f t="shared" si="33"/>
        <v>0.86111111111111116</v>
      </c>
      <c r="Z212" s="142">
        <f t="shared" si="33"/>
        <v>0.90243902439024393</v>
      </c>
      <c r="AA212" s="69"/>
      <c r="AB212" s="87">
        <f>(AB207+AB208)/AB209</f>
        <v>1.0475990818668708</v>
      </c>
      <c r="AC212" s="88">
        <f>(AC207+AC208)/AC209</f>
        <v>1.0020062625277069</v>
      </c>
      <c r="AD212" s="84" t="e">
        <f>AD207/$AG$173</f>
        <v>#DIV/0!</v>
      </c>
      <c r="AE212" s="84" t="e">
        <f>AE207/$AG$173</f>
        <v>#DIV/0!</v>
      </c>
      <c r="AF212" s="84" t="e">
        <f>AF207/$AG$173</f>
        <v>#DIV/0!</v>
      </c>
      <c r="AG212" s="134" t="e">
        <f>AG207/$AG$173</f>
        <v>#DIV/0!</v>
      </c>
      <c r="AH212" s="418"/>
      <c r="AI212" s="418"/>
      <c r="AJ212" s="418"/>
      <c r="AK212" s="418"/>
    </row>
    <row r="213" spans="1:37" ht="23.25">
      <c r="A213" s="411" t="s">
        <v>263</v>
      </c>
      <c r="B213" s="89" t="s">
        <v>225</v>
      </c>
      <c r="C213" s="147">
        <v>8575</v>
      </c>
      <c r="D213" s="147">
        <v>36267</v>
      </c>
      <c r="E213" s="147">
        <v>3863</v>
      </c>
      <c r="F213" s="147">
        <v>19630</v>
      </c>
      <c r="G213" s="147">
        <v>1650</v>
      </c>
      <c r="H213" s="147">
        <v>4963</v>
      </c>
      <c r="I213" s="147">
        <v>2468</v>
      </c>
      <c r="J213" s="147"/>
      <c r="K213" s="147"/>
      <c r="L213" s="147">
        <v>39</v>
      </c>
      <c r="M213" s="147">
        <v>437</v>
      </c>
      <c r="N213" s="147">
        <v>2196</v>
      </c>
      <c r="O213" s="147">
        <v>151</v>
      </c>
      <c r="P213" s="85">
        <f>SUM(C213:O213)</f>
        <v>80239</v>
      </c>
      <c r="Q213" s="147">
        <v>1252</v>
      </c>
      <c r="R213" s="147">
        <v>2484</v>
      </c>
      <c r="S213" s="147">
        <v>2006</v>
      </c>
      <c r="T213" s="147">
        <v>3001</v>
      </c>
      <c r="U213" s="147">
        <v>2577</v>
      </c>
      <c r="V213" s="147">
        <v>793</v>
      </c>
      <c r="W213" s="147">
        <v>290</v>
      </c>
      <c r="X213" s="147">
        <v>750</v>
      </c>
      <c r="Y213" s="81">
        <v>221</v>
      </c>
      <c r="Z213" s="81">
        <v>148</v>
      </c>
      <c r="AA213" s="67"/>
      <c r="AB213" s="85">
        <f>SUM(Q213:AA213)</f>
        <v>13522</v>
      </c>
      <c r="AC213" s="86">
        <f>P213+AB213</f>
        <v>93761</v>
      </c>
      <c r="AD213" s="82">
        <v>20</v>
      </c>
      <c r="AE213" s="82">
        <v>1</v>
      </c>
      <c r="AF213" s="82">
        <v>0</v>
      </c>
      <c r="AG213" s="83">
        <f>SUM(AD213:AF213)</f>
        <v>21</v>
      </c>
      <c r="AH213" s="416">
        <v>2025</v>
      </c>
      <c r="AI213" s="416">
        <v>2704</v>
      </c>
      <c r="AJ213" s="416">
        <v>550</v>
      </c>
      <c r="AK213" s="416">
        <f>SUM(AH213:AJ218)</f>
        <v>5279</v>
      </c>
    </row>
    <row r="214" spans="1:37" ht="22.5">
      <c r="A214" s="412"/>
      <c r="B214" s="133" t="s">
        <v>226</v>
      </c>
      <c r="C214" s="147">
        <v>38.587499999999999</v>
      </c>
      <c r="D214" s="147">
        <v>163.20149999999998</v>
      </c>
      <c r="E214" s="147">
        <v>17.383499999999998</v>
      </c>
      <c r="F214" s="147">
        <v>88.334999999999994</v>
      </c>
      <c r="G214" s="147">
        <v>0</v>
      </c>
      <c r="H214" s="147">
        <v>0</v>
      </c>
      <c r="I214" s="147">
        <v>0</v>
      </c>
      <c r="J214" s="147"/>
      <c r="K214" s="147"/>
      <c r="L214" s="147">
        <v>49</v>
      </c>
      <c r="M214" s="147">
        <v>1.9664999999999999</v>
      </c>
      <c r="N214" s="147">
        <v>9.8819999999999997</v>
      </c>
      <c r="O214" s="147">
        <v>0</v>
      </c>
      <c r="P214" s="85">
        <f>SUM(C214:O214)</f>
        <v>368.35599999999999</v>
      </c>
      <c r="Q214" s="147">
        <v>33.519999999999996</v>
      </c>
      <c r="R214" s="147">
        <v>0</v>
      </c>
      <c r="S214" s="147">
        <v>0</v>
      </c>
      <c r="T214" s="147">
        <v>30.01</v>
      </c>
      <c r="U214" s="147">
        <v>0</v>
      </c>
      <c r="V214" s="147">
        <v>0</v>
      </c>
      <c r="W214" s="147">
        <v>0</v>
      </c>
      <c r="X214" s="147">
        <v>150</v>
      </c>
      <c r="Y214" s="147">
        <v>0</v>
      </c>
      <c r="Z214" s="147">
        <v>0</v>
      </c>
      <c r="AA214" s="67"/>
      <c r="AB214" s="85">
        <f>SUM(Q214:AA214)</f>
        <v>213.53</v>
      </c>
      <c r="AC214" s="86">
        <f>P214+AB214</f>
        <v>581.88599999999997</v>
      </c>
      <c r="AD214" s="82"/>
      <c r="AE214" s="82"/>
      <c r="AF214" s="82"/>
      <c r="AG214" s="83"/>
      <c r="AH214" s="417"/>
      <c r="AI214" s="417"/>
      <c r="AJ214" s="417"/>
      <c r="AK214" s="417"/>
    </row>
    <row r="215" spans="1:37" ht="22.5">
      <c r="A215" s="412"/>
      <c r="B215" s="133" t="s">
        <v>227</v>
      </c>
      <c r="C215" s="141">
        <v>9252</v>
      </c>
      <c r="D215" s="141">
        <v>37456</v>
      </c>
      <c r="E215" s="141">
        <v>4675</v>
      </c>
      <c r="F215" s="141">
        <v>21619</v>
      </c>
      <c r="G215" s="141">
        <v>1710</v>
      </c>
      <c r="H215" s="141">
        <v>763</v>
      </c>
      <c r="I215" s="141">
        <v>2553</v>
      </c>
      <c r="J215" s="141"/>
      <c r="K215" s="141"/>
      <c r="L215" s="141">
        <v>102</v>
      </c>
      <c r="M215" s="141">
        <v>470</v>
      </c>
      <c r="N215" s="141">
        <v>2470</v>
      </c>
      <c r="O215" s="141">
        <v>151</v>
      </c>
      <c r="P215" s="85">
        <f>SUM(C215:O215)</f>
        <v>81221</v>
      </c>
      <c r="Q215" s="141">
        <v>1403</v>
      </c>
      <c r="R215" s="141">
        <v>2766</v>
      </c>
      <c r="S215" s="141">
        <v>2020</v>
      </c>
      <c r="T215" s="141">
        <v>3192</v>
      </c>
      <c r="U215" s="141">
        <v>1132</v>
      </c>
      <c r="V215" s="141">
        <v>859</v>
      </c>
      <c r="W215" s="141">
        <v>292</v>
      </c>
      <c r="X215" s="141">
        <v>990</v>
      </c>
      <c r="Y215" s="141">
        <v>252</v>
      </c>
      <c r="Z215" s="141">
        <v>164</v>
      </c>
      <c r="AA215" s="67"/>
      <c r="AB215" s="85">
        <f>SUM(Q215:AA215)</f>
        <v>13070</v>
      </c>
      <c r="AC215" s="86">
        <f>P215+AB215</f>
        <v>94291</v>
      </c>
      <c r="AD215" s="68"/>
      <c r="AE215" s="68"/>
      <c r="AF215" s="68"/>
      <c r="AG215" s="68"/>
      <c r="AH215" s="417"/>
      <c r="AI215" s="417"/>
      <c r="AJ215" s="417"/>
      <c r="AK215" s="417"/>
    </row>
    <row r="216" spans="1:37" ht="22.5">
      <c r="A216" s="412"/>
      <c r="B216" s="133" t="s">
        <v>228</v>
      </c>
      <c r="C216" s="400">
        <f>C213+D213+E213+F213+C214+D214+E214+F214</f>
        <v>68642.507499999992</v>
      </c>
      <c r="D216" s="414"/>
      <c r="E216" s="414"/>
      <c r="F216" s="415"/>
      <c r="G216" s="400">
        <f>G213+H213+I213+G214+H214+I214</f>
        <v>9081</v>
      </c>
      <c r="H216" s="414"/>
      <c r="I216" s="415"/>
      <c r="J216" s="268"/>
      <c r="K216" s="268"/>
      <c r="L216" s="400">
        <f>L213+M213+N213+L214+M214+N214</f>
        <v>2732.8485000000001</v>
      </c>
      <c r="M216" s="414"/>
      <c r="N216" s="415"/>
      <c r="O216" s="141"/>
      <c r="P216" s="85"/>
      <c r="Q216" s="400">
        <f>Q213+R213+S213+Q214+R214+S214</f>
        <v>5775.52</v>
      </c>
      <c r="R216" s="414"/>
      <c r="S216" s="415"/>
      <c r="T216" s="141"/>
      <c r="U216" s="141"/>
      <c r="V216" s="141"/>
      <c r="W216" s="141"/>
      <c r="X216" s="141"/>
      <c r="Y216" s="141"/>
      <c r="Z216" s="141"/>
      <c r="AA216" s="67"/>
      <c r="AB216" s="85"/>
      <c r="AC216" s="86"/>
      <c r="AD216" s="68"/>
      <c r="AE216" s="68"/>
      <c r="AF216" s="68"/>
      <c r="AG216" s="68"/>
      <c r="AH216" s="417"/>
      <c r="AI216" s="417"/>
      <c r="AJ216" s="417"/>
      <c r="AK216" s="417"/>
    </row>
    <row r="217" spans="1:37" ht="22.5">
      <c r="A217" s="412"/>
      <c r="B217" s="133" t="s">
        <v>229</v>
      </c>
      <c r="C217" s="400">
        <f>C215+D215+E215+F215</f>
        <v>73002</v>
      </c>
      <c r="D217" s="414"/>
      <c r="E217" s="414"/>
      <c r="F217" s="415"/>
      <c r="G217" s="400">
        <f>G215+H215+I215</f>
        <v>5026</v>
      </c>
      <c r="H217" s="414"/>
      <c r="I217" s="415"/>
      <c r="J217" s="268"/>
      <c r="K217" s="268"/>
      <c r="L217" s="400">
        <f>L215+M215+N215</f>
        <v>3042</v>
      </c>
      <c r="M217" s="414"/>
      <c r="N217" s="415"/>
      <c r="O217" s="141"/>
      <c r="P217" s="85"/>
      <c r="Q217" s="400">
        <f>Q215+R215+S215</f>
        <v>6189</v>
      </c>
      <c r="R217" s="414"/>
      <c r="S217" s="415"/>
      <c r="T217" s="141"/>
      <c r="U217" s="141"/>
      <c r="V217" s="141"/>
      <c r="W217" s="141"/>
      <c r="X217" s="141"/>
      <c r="Y217" s="141"/>
      <c r="Z217" s="141"/>
      <c r="AA217" s="67"/>
      <c r="AB217" s="85"/>
      <c r="AC217" s="86"/>
      <c r="AD217" s="68"/>
      <c r="AE217" s="68"/>
      <c r="AF217" s="68"/>
      <c r="AG217" s="68"/>
      <c r="AH217" s="417"/>
      <c r="AI217" s="417"/>
      <c r="AJ217" s="417"/>
      <c r="AK217" s="417"/>
    </row>
    <row r="218" spans="1:37" ht="22.5">
      <c r="A218" s="413"/>
      <c r="B218" s="93" t="s">
        <v>223</v>
      </c>
      <c r="C218" s="406">
        <f>C216/C217</f>
        <v>0.94028256075176009</v>
      </c>
      <c r="D218" s="409"/>
      <c r="E218" s="409"/>
      <c r="F218" s="410"/>
      <c r="G218" s="406">
        <f>G216/G217</f>
        <v>1.8068046159968165</v>
      </c>
      <c r="H218" s="409"/>
      <c r="I218" s="410"/>
      <c r="J218" s="267"/>
      <c r="K218" s="267"/>
      <c r="L218" s="406">
        <f>L216/L217</f>
        <v>0.89837228796844182</v>
      </c>
      <c r="M218" s="409"/>
      <c r="N218" s="410"/>
      <c r="O218" s="142">
        <f>(O213+O214)/O215</f>
        <v>1</v>
      </c>
      <c r="P218" s="87">
        <f>(P213+P214)/P215</f>
        <v>0.99244476182268138</v>
      </c>
      <c r="Q218" s="406">
        <f>Q216/Q217</f>
        <v>0.93319114558086935</v>
      </c>
      <c r="R218" s="409"/>
      <c r="S218" s="410"/>
      <c r="T218" s="142">
        <f t="shared" ref="T218:Z218" si="34">(T213+T214)/T215</f>
        <v>0.94956453634085225</v>
      </c>
      <c r="U218" s="142">
        <f t="shared" si="34"/>
        <v>2.2765017667844525</v>
      </c>
      <c r="V218" s="142">
        <f t="shared" si="34"/>
        <v>0.92316647264260765</v>
      </c>
      <c r="W218" s="142">
        <f t="shared" si="34"/>
        <v>0.99315068493150682</v>
      </c>
      <c r="X218" s="142">
        <f t="shared" si="34"/>
        <v>0.90909090909090906</v>
      </c>
      <c r="Y218" s="142">
        <f t="shared" si="34"/>
        <v>0.87698412698412698</v>
      </c>
      <c r="Z218" s="142">
        <f t="shared" si="34"/>
        <v>0.90243902439024393</v>
      </c>
      <c r="AA218" s="69"/>
      <c r="AB218" s="87">
        <f>(AB213+AB214)/AB215</f>
        <v>1.050920428462127</v>
      </c>
      <c r="AC218" s="88">
        <f>(AC213+AC214)/AC215</f>
        <v>1.0005502752118443</v>
      </c>
      <c r="AD218" s="84" t="e">
        <f>AD213/$AG$173</f>
        <v>#DIV/0!</v>
      </c>
      <c r="AE218" s="84" t="e">
        <f>AE213/$AG$173</f>
        <v>#DIV/0!</v>
      </c>
      <c r="AF218" s="84" t="e">
        <f>AF213/$AG$173</f>
        <v>#DIV/0!</v>
      </c>
      <c r="AG218" s="134" t="e">
        <f>AG213/$AG$173</f>
        <v>#DIV/0!</v>
      </c>
      <c r="AH218" s="418"/>
      <c r="AI218" s="418"/>
      <c r="AJ218" s="418"/>
      <c r="AK218" s="418"/>
    </row>
    <row r="219" spans="1:37" ht="23.25">
      <c r="A219" s="411" t="s">
        <v>264</v>
      </c>
      <c r="B219" s="89" t="s">
        <v>225</v>
      </c>
      <c r="C219" s="147">
        <v>8529</v>
      </c>
      <c r="D219" s="147">
        <v>36126</v>
      </c>
      <c r="E219" s="147">
        <v>3941</v>
      </c>
      <c r="F219" s="147">
        <v>19688</v>
      </c>
      <c r="G219" s="147">
        <v>1651</v>
      </c>
      <c r="H219" s="147">
        <v>4944</v>
      </c>
      <c r="I219" s="147">
        <v>2483</v>
      </c>
      <c r="J219" s="147"/>
      <c r="K219" s="147"/>
      <c r="L219" s="147">
        <v>36</v>
      </c>
      <c r="M219" s="147">
        <v>443</v>
      </c>
      <c r="N219" s="147">
        <v>2174</v>
      </c>
      <c r="O219" s="147">
        <v>151</v>
      </c>
      <c r="P219" s="85">
        <f>SUM(C219:O219)</f>
        <v>80166</v>
      </c>
      <c r="Q219" s="147">
        <v>1234</v>
      </c>
      <c r="R219" s="147">
        <v>2491</v>
      </c>
      <c r="S219" s="147">
        <v>2009</v>
      </c>
      <c r="T219" s="147">
        <v>3046</v>
      </c>
      <c r="U219" s="147">
        <v>2586</v>
      </c>
      <c r="V219" s="147">
        <v>791</v>
      </c>
      <c r="W219" s="147">
        <v>296</v>
      </c>
      <c r="X219" s="147">
        <v>718</v>
      </c>
      <c r="Y219" s="81">
        <v>226</v>
      </c>
      <c r="Z219" s="81">
        <v>125</v>
      </c>
      <c r="AA219" s="67"/>
      <c r="AB219" s="85">
        <f>SUM(Q219:AA219)</f>
        <v>13522</v>
      </c>
      <c r="AC219" s="86">
        <f>P219+AB219</f>
        <v>93688</v>
      </c>
      <c r="AD219" s="82">
        <v>18</v>
      </c>
      <c r="AE219" s="82">
        <v>3</v>
      </c>
      <c r="AF219" s="82">
        <v>0</v>
      </c>
      <c r="AG219" s="83">
        <f>SUM(AD219:AF219)</f>
        <v>21</v>
      </c>
      <c r="AH219" s="416">
        <v>2617</v>
      </c>
      <c r="AI219" s="416">
        <v>3110</v>
      </c>
      <c r="AJ219" s="416">
        <v>533</v>
      </c>
      <c r="AK219" s="416">
        <f>SUM(AH219:AJ224)</f>
        <v>6260</v>
      </c>
    </row>
    <row r="220" spans="1:37" ht="22.5">
      <c r="A220" s="412"/>
      <c r="B220" s="133" t="s">
        <v>226</v>
      </c>
      <c r="C220" s="147">
        <v>38.380499999999998</v>
      </c>
      <c r="D220" s="147">
        <v>162.56699999999998</v>
      </c>
      <c r="E220" s="147">
        <v>17.734499999999997</v>
      </c>
      <c r="F220" s="147">
        <v>88.595999999999989</v>
      </c>
      <c r="G220" s="147">
        <v>0</v>
      </c>
      <c r="H220" s="147">
        <v>0</v>
      </c>
      <c r="I220" s="147">
        <v>0</v>
      </c>
      <c r="J220" s="147"/>
      <c r="K220" s="147"/>
      <c r="L220" s="147">
        <v>45</v>
      </c>
      <c r="M220" s="147">
        <v>1.9934999999999998</v>
      </c>
      <c r="N220" s="147">
        <v>9.7829999999999995</v>
      </c>
      <c r="O220" s="147">
        <v>0</v>
      </c>
      <c r="P220" s="85">
        <f>SUM(C220:O220)</f>
        <v>364.05449999999996</v>
      </c>
      <c r="Q220" s="147">
        <v>33.340000000000003</v>
      </c>
      <c r="R220" s="147">
        <v>0</v>
      </c>
      <c r="S220" s="147">
        <v>0</v>
      </c>
      <c r="T220" s="147">
        <v>30.46</v>
      </c>
      <c r="U220" s="147">
        <v>0</v>
      </c>
      <c r="V220" s="147">
        <v>0</v>
      </c>
      <c r="W220" s="147">
        <v>0</v>
      </c>
      <c r="X220" s="147">
        <v>143.6</v>
      </c>
      <c r="Y220" s="147">
        <v>0</v>
      </c>
      <c r="Z220" s="147">
        <v>0</v>
      </c>
      <c r="AA220" s="67"/>
      <c r="AB220" s="85">
        <f>SUM(Q220:AA220)</f>
        <v>207.4</v>
      </c>
      <c r="AC220" s="86">
        <f>P220+AB220</f>
        <v>571.45449999999994</v>
      </c>
      <c r="AD220" s="82"/>
      <c r="AE220" s="82"/>
      <c r="AF220" s="82"/>
      <c r="AG220" s="83"/>
      <c r="AH220" s="417"/>
      <c r="AI220" s="417"/>
      <c r="AJ220" s="417"/>
      <c r="AK220" s="417"/>
    </row>
    <row r="221" spans="1:37" ht="22.5">
      <c r="A221" s="412"/>
      <c r="B221" s="133" t="s">
        <v>227</v>
      </c>
      <c r="C221" s="141">
        <v>9252</v>
      </c>
      <c r="D221" s="141">
        <v>37456</v>
      </c>
      <c r="E221" s="141">
        <v>4675</v>
      </c>
      <c r="F221" s="141">
        <v>21619</v>
      </c>
      <c r="G221" s="141">
        <v>1710</v>
      </c>
      <c r="H221" s="141">
        <v>763</v>
      </c>
      <c r="I221" s="141">
        <v>2553</v>
      </c>
      <c r="J221" s="141"/>
      <c r="K221" s="141"/>
      <c r="L221" s="141">
        <v>102</v>
      </c>
      <c r="M221" s="141">
        <v>470</v>
      </c>
      <c r="N221" s="141">
        <v>2470</v>
      </c>
      <c r="O221" s="141">
        <v>151</v>
      </c>
      <c r="P221" s="85">
        <f>SUM(C221:O221)</f>
        <v>81221</v>
      </c>
      <c r="Q221" s="141">
        <v>1403</v>
      </c>
      <c r="R221" s="141">
        <v>2766</v>
      </c>
      <c r="S221" s="141">
        <v>2020</v>
      </c>
      <c r="T221" s="141">
        <v>3192</v>
      </c>
      <c r="U221" s="141">
        <v>1132</v>
      </c>
      <c r="V221" s="141">
        <v>859</v>
      </c>
      <c r="W221" s="141">
        <v>305</v>
      </c>
      <c r="X221" s="141">
        <v>990</v>
      </c>
      <c r="Y221" s="141">
        <v>252</v>
      </c>
      <c r="Z221" s="141">
        <v>164</v>
      </c>
      <c r="AA221" s="67"/>
      <c r="AB221" s="85">
        <f>SUM(Q221:AA221)</f>
        <v>13083</v>
      </c>
      <c r="AC221" s="86">
        <f>P221+AB221</f>
        <v>94304</v>
      </c>
      <c r="AD221" s="68"/>
      <c r="AE221" s="68"/>
      <c r="AF221" s="68"/>
      <c r="AG221" s="68"/>
      <c r="AH221" s="417"/>
      <c r="AI221" s="417"/>
      <c r="AJ221" s="417"/>
      <c r="AK221" s="417"/>
    </row>
    <row r="222" spans="1:37" ht="22.5">
      <c r="A222" s="412"/>
      <c r="B222" s="133" t="s">
        <v>228</v>
      </c>
      <c r="C222" s="400">
        <f>C219+D219+E219+F219+C220+D220+E220+F220</f>
        <v>68591.278000000006</v>
      </c>
      <c r="D222" s="414"/>
      <c r="E222" s="414"/>
      <c r="F222" s="415"/>
      <c r="G222" s="400">
        <f>G219+H219+I219+G220+H220+I220</f>
        <v>9078</v>
      </c>
      <c r="H222" s="414"/>
      <c r="I222" s="415"/>
      <c r="J222" s="268"/>
      <c r="K222" s="268"/>
      <c r="L222" s="400">
        <f>L219+M219+N219+L220+M220+N220</f>
        <v>2709.7764999999999</v>
      </c>
      <c r="M222" s="414"/>
      <c r="N222" s="415"/>
      <c r="O222" s="141"/>
      <c r="P222" s="85"/>
      <c r="Q222" s="400">
        <f>Q219+R219+S219+Q220+R220+S220</f>
        <v>5767.34</v>
      </c>
      <c r="R222" s="414"/>
      <c r="S222" s="415"/>
      <c r="T222" s="141"/>
      <c r="U222" s="141"/>
      <c r="V222" s="141"/>
      <c r="W222" s="141"/>
      <c r="X222" s="141"/>
      <c r="Y222" s="141"/>
      <c r="Z222" s="141"/>
      <c r="AA222" s="67"/>
      <c r="AB222" s="85"/>
      <c r="AC222" s="86"/>
      <c r="AD222" s="68"/>
      <c r="AE222" s="68"/>
      <c r="AF222" s="68"/>
      <c r="AG222" s="68"/>
      <c r="AH222" s="417"/>
      <c r="AI222" s="417"/>
      <c r="AJ222" s="417"/>
      <c r="AK222" s="417"/>
    </row>
    <row r="223" spans="1:37" ht="22.5">
      <c r="A223" s="412"/>
      <c r="B223" s="133" t="s">
        <v>229</v>
      </c>
      <c r="C223" s="400">
        <f>C221+D221+E221+F221</f>
        <v>73002</v>
      </c>
      <c r="D223" s="414"/>
      <c r="E223" s="414"/>
      <c r="F223" s="415"/>
      <c r="G223" s="400">
        <f>G221+H221+I221</f>
        <v>5026</v>
      </c>
      <c r="H223" s="414"/>
      <c r="I223" s="415"/>
      <c r="J223" s="268"/>
      <c r="K223" s="268"/>
      <c r="L223" s="400">
        <f>L221+M221+N221</f>
        <v>3042</v>
      </c>
      <c r="M223" s="414"/>
      <c r="N223" s="415"/>
      <c r="O223" s="141"/>
      <c r="P223" s="85"/>
      <c r="Q223" s="400">
        <f>Q221+R221+S221</f>
        <v>6189</v>
      </c>
      <c r="R223" s="414"/>
      <c r="S223" s="415"/>
      <c r="T223" s="141"/>
      <c r="U223" s="141"/>
      <c r="V223" s="141"/>
      <c r="W223" s="141"/>
      <c r="X223" s="141"/>
      <c r="Y223" s="141"/>
      <c r="Z223" s="141"/>
      <c r="AA223" s="67"/>
      <c r="AB223" s="85"/>
      <c r="AC223" s="86"/>
      <c r="AD223" s="68"/>
      <c r="AE223" s="68"/>
      <c r="AF223" s="68"/>
      <c r="AG223" s="68"/>
      <c r="AH223" s="417"/>
      <c r="AI223" s="417"/>
      <c r="AJ223" s="417"/>
      <c r="AK223" s="417"/>
    </row>
    <row r="224" spans="1:37" ht="22.5">
      <c r="A224" s="413"/>
      <c r="B224" s="93" t="s">
        <v>223</v>
      </c>
      <c r="C224" s="406">
        <f>C222/C223</f>
        <v>0.93958080600531502</v>
      </c>
      <c r="D224" s="409"/>
      <c r="E224" s="409"/>
      <c r="F224" s="410"/>
      <c r="G224" s="406">
        <f>G222/G223</f>
        <v>1.806207719856745</v>
      </c>
      <c r="H224" s="409"/>
      <c r="I224" s="410"/>
      <c r="J224" s="267"/>
      <c r="K224" s="267"/>
      <c r="L224" s="406">
        <f>L222/L223</f>
        <v>0.89078780407626557</v>
      </c>
      <c r="M224" s="409"/>
      <c r="N224" s="410"/>
      <c r="O224" s="142">
        <f>(O219+O220)/O221</f>
        <v>1</v>
      </c>
      <c r="P224" s="87">
        <f>(P219+P220)/P221</f>
        <v>0.99149301904679821</v>
      </c>
      <c r="Q224" s="406">
        <f>Q222/Q223</f>
        <v>0.93186944579091935</v>
      </c>
      <c r="R224" s="409"/>
      <c r="S224" s="410"/>
      <c r="T224" s="142">
        <f t="shared" ref="T224:Z224" si="35">(T219+T220)/T221</f>
        <v>0.96380325814536338</v>
      </c>
      <c r="U224" s="142">
        <f t="shared" si="35"/>
        <v>2.2844522968197878</v>
      </c>
      <c r="V224" s="142">
        <f t="shared" si="35"/>
        <v>0.92083818393480787</v>
      </c>
      <c r="W224" s="142">
        <f t="shared" si="35"/>
        <v>0.97049180327868856</v>
      </c>
      <c r="X224" s="142">
        <f t="shared" si="35"/>
        <v>0.87030303030303036</v>
      </c>
      <c r="Y224" s="142">
        <f t="shared" si="35"/>
        <v>0.89682539682539686</v>
      </c>
      <c r="Z224" s="142">
        <f t="shared" si="35"/>
        <v>0.76219512195121952</v>
      </c>
      <c r="AA224" s="69"/>
      <c r="AB224" s="87">
        <f>(AB219+AB220)/AB221</f>
        <v>1.0494076282198272</v>
      </c>
      <c r="AC224" s="88">
        <f>(AC219+AC220)/AC221</f>
        <v>0.99952763933661359</v>
      </c>
      <c r="AD224" s="84" t="e">
        <f>AD219/$AG$173</f>
        <v>#DIV/0!</v>
      </c>
      <c r="AE224" s="84" t="e">
        <f>AE219/$AG$173</f>
        <v>#DIV/0!</v>
      </c>
      <c r="AF224" s="84" t="e">
        <f>AF219/$AG$173</f>
        <v>#DIV/0!</v>
      </c>
      <c r="AG224" s="134" t="e">
        <f>AG219/$AG$173</f>
        <v>#DIV/0!</v>
      </c>
      <c r="AH224" s="418"/>
      <c r="AI224" s="418"/>
      <c r="AJ224" s="418"/>
      <c r="AK224" s="418"/>
    </row>
    <row r="225" spans="1:37" ht="23.25">
      <c r="A225" s="411" t="s">
        <v>265</v>
      </c>
      <c r="B225" s="89" t="s">
        <v>225</v>
      </c>
      <c r="C225" s="147">
        <v>8546</v>
      </c>
      <c r="D225" s="147">
        <v>36390</v>
      </c>
      <c r="E225" s="147">
        <v>3897</v>
      </c>
      <c r="F225" s="147">
        <v>19848</v>
      </c>
      <c r="G225" s="147">
        <v>1652</v>
      </c>
      <c r="H225" s="147">
        <v>4972</v>
      </c>
      <c r="I225" s="147">
        <v>2478</v>
      </c>
      <c r="J225" s="147"/>
      <c r="K225" s="147"/>
      <c r="L225" s="147">
        <v>44</v>
      </c>
      <c r="M225" s="147">
        <v>446</v>
      </c>
      <c r="N225" s="147">
        <v>2231</v>
      </c>
      <c r="O225" s="147">
        <v>151</v>
      </c>
      <c r="P225" s="85">
        <f>SUM(C225:O225)</f>
        <v>80655</v>
      </c>
      <c r="Q225" s="147">
        <v>1269</v>
      </c>
      <c r="R225" s="147">
        <v>2511</v>
      </c>
      <c r="S225" s="147">
        <v>2006</v>
      </c>
      <c r="T225" s="147">
        <v>3058</v>
      </c>
      <c r="U225" s="147">
        <v>2581</v>
      </c>
      <c r="V225" s="147">
        <v>790</v>
      </c>
      <c r="W225" s="147">
        <v>300</v>
      </c>
      <c r="X225" s="147">
        <v>723</v>
      </c>
      <c r="Y225" s="81">
        <v>228</v>
      </c>
      <c r="Z225" s="81">
        <v>125</v>
      </c>
      <c r="AA225" s="67"/>
      <c r="AB225" s="85">
        <f>SUM(Q225:AA225)</f>
        <v>13591</v>
      </c>
      <c r="AC225" s="86">
        <f>P225+AB225</f>
        <v>94246</v>
      </c>
      <c r="AD225" s="82">
        <v>19</v>
      </c>
      <c r="AE225" s="82">
        <v>2</v>
      </c>
      <c r="AF225" s="82">
        <v>0</v>
      </c>
      <c r="AG225" s="83">
        <f>SUM(AD225:AF225)</f>
        <v>21</v>
      </c>
      <c r="AH225" s="416">
        <v>1808</v>
      </c>
      <c r="AI225" s="416">
        <v>1586</v>
      </c>
      <c r="AJ225" s="416">
        <v>392</v>
      </c>
      <c r="AK225" s="416">
        <f>SUM(AH225:AJ230)</f>
        <v>3786</v>
      </c>
    </row>
    <row r="226" spans="1:37" ht="22.5">
      <c r="A226" s="412"/>
      <c r="B226" s="133" t="s">
        <v>226</v>
      </c>
      <c r="C226" s="147">
        <v>38.456999999999994</v>
      </c>
      <c r="D226" s="147">
        <v>163.755</v>
      </c>
      <c r="E226" s="147">
        <v>17.5365</v>
      </c>
      <c r="F226" s="147">
        <v>89.315999999999988</v>
      </c>
      <c r="G226" s="147">
        <v>0</v>
      </c>
      <c r="H226" s="147">
        <v>0</v>
      </c>
      <c r="I226" s="147">
        <v>0</v>
      </c>
      <c r="J226" s="147"/>
      <c r="K226" s="147"/>
      <c r="L226" s="147">
        <v>48</v>
      </c>
      <c r="M226" s="147">
        <v>2.0069999999999997</v>
      </c>
      <c r="N226" s="147">
        <v>10.039499999999999</v>
      </c>
      <c r="O226" s="147">
        <v>0</v>
      </c>
      <c r="P226" s="85">
        <f>SUM(C226:O226)</f>
        <v>369.11099999999993</v>
      </c>
      <c r="Q226" s="147">
        <v>33.69</v>
      </c>
      <c r="R226" s="147">
        <v>0</v>
      </c>
      <c r="S226" s="147">
        <v>0</v>
      </c>
      <c r="T226" s="147">
        <v>30.580000000000002</v>
      </c>
      <c r="U226" s="147">
        <v>0</v>
      </c>
      <c r="V226" s="147">
        <v>0</v>
      </c>
      <c r="W226" s="147">
        <v>0</v>
      </c>
      <c r="X226" s="147">
        <v>144.6</v>
      </c>
      <c r="Y226" s="147">
        <v>0</v>
      </c>
      <c r="Z226" s="147">
        <v>0</v>
      </c>
      <c r="AA226" s="67"/>
      <c r="AB226" s="85">
        <f>SUM(Q226:AA226)</f>
        <v>208.87</v>
      </c>
      <c r="AC226" s="86">
        <f>P226+AB226</f>
        <v>577.98099999999999</v>
      </c>
      <c r="AD226" s="82"/>
      <c r="AE226" s="82"/>
      <c r="AF226" s="82"/>
      <c r="AG226" s="83"/>
      <c r="AH226" s="417"/>
      <c r="AI226" s="417"/>
      <c r="AJ226" s="417"/>
      <c r="AK226" s="417"/>
    </row>
    <row r="227" spans="1:37" ht="22.5">
      <c r="A227" s="412"/>
      <c r="B227" s="133" t="s">
        <v>227</v>
      </c>
      <c r="C227" s="141">
        <v>9252</v>
      </c>
      <c r="D227" s="141">
        <v>37456</v>
      </c>
      <c r="E227" s="141">
        <v>4675</v>
      </c>
      <c r="F227" s="141">
        <v>21619</v>
      </c>
      <c r="G227" s="141">
        <v>1710</v>
      </c>
      <c r="H227" s="141">
        <v>763</v>
      </c>
      <c r="I227" s="141">
        <v>2553</v>
      </c>
      <c r="J227" s="141"/>
      <c r="K227" s="141"/>
      <c r="L227" s="141">
        <v>102</v>
      </c>
      <c r="M227" s="141">
        <v>470</v>
      </c>
      <c r="N227" s="141">
        <v>2470</v>
      </c>
      <c r="O227" s="141">
        <v>151</v>
      </c>
      <c r="P227" s="85">
        <f>SUM(C227:O227)</f>
        <v>81221</v>
      </c>
      <c r="Q227" s="141">
        <v>1403</v>
      </c>
      <c r="R227" s="141">
        <v>2766</v>
      </c>
      <c r="S227" s="141">
        <v>2020</v>
      </c>
      <c r="T227" s="141">
        <v>3192</v>
      </c>
      <c r="U227" s="141">
        <v>1132</v>
      </c>
      <c r="V227" s="141">
        <v>859</v>
      </c>
      <c r="W227" s="141">
        <v>305</v>
      </c>
      <c r="X227" s="141">
        <v>990</v>
      </c>
      <c r="Y227" s="141">
        <v>252</v>
      </c>
      <c r="Z227" s="141">
        <v>164</v>
      </c>
      <c r="AA227" s="67"/>
      <c r="AB227" s="85">
        <f>SUM(Q227:AA227)</f>
        <v>13083</v>
      </c>
      <c r="AC227" s="86">
        <f>P227+AB227</f>
        <v>94304</v>
      </c>
      <c r="AD227" s="68"/>
      <c r="AE227" s="68"/>
      <c r="AF227" s="68"/>
      <c r="AG227" s="68"/>
      <c r="AH227" s="417"/>
      <c r="AI227" s="417"/>
      <c r="AJ227" s="417"/>
      <c r="AK227" s="417"/>
    </row>
    <row r="228" spans="1:37" ht="22.5">
      <c r="A228" s="412"/>
      <c r="B228" s="133" t="s">
        <v>228</v>
      </c>
      <c r="C228" s="400">
        <f>C225+D225+E225+F225+C226+D226+E226+F226</f>
        <v>68990.064500000008</v>
      </c>
      <c r="D228" s="414"/>
      <c r="E228" s="414"/>
      <c r="F228" s="415"/>
      <c r="G228" s="400">
        <f>G225+H225+I225+G226+H226+I226</f>
        <v>9102</v>
      </c>
      <c r="H228" s="414"/>
      <c r="I228" s="415"/>
      <c r="J228" s="268"/>
      <c r="K228" s="268"/>
      <c r="L228" s="400">
        <f>L225+M225+N225+L226+M226+N226</f>
        <v>2781.0464999999999</v>
      </c>
      <c r="M228" s="414"/>
      <c r="N228" s="415"/>
      <c r="O228" s="141"/>
      <c r="P228" s="85"/>
      <c r="Q228" s="400">
        <f>Q225+R225+S225+Q226+R226+S226</f>
        <v>5819.69</v>
      </c>
      <c r="R228" s="414"/>
      <c r="S228" s="415"/>
      <c r="T228" s="141"/>
      <c r="U228" s="141"/>
      <c r="V228" s="141"/>
      <c r="W228" s="141"/>
      <c r="X228" s="141"/>
      <c r="Y228" s="141"/>
      <c r="Z228" s="141"/>
      <c r="AA228" s="67"/>
      <c r="AB228" s="85"/>
      <c r="AC228" s="86"/>
      <c r="AD228" s="68"/>
      <c r="AE228" s="68"/>
      <c r="AF228" s="68"/>
      <c r="AG228" s="68"/>
      <c r="AH228" s="417"/>
      <c r="AI228" s="417"/>
      <c r="AJ228" s="417"/>
      <c r="AK228" s="417"/>
    </row>
    <row r="229" spans="1:37" ht="22.5">
      <c r="A229" s="412"/>
      <c r="B229" s="133" t="s">
        <v>229</v>
      </c>
      <c r="C229" s="400">
        <f>C227+D227+E227+F227</f>
        <v>73002</v>
      </c>
      <c r="D229" s="414"/>
      <c r="E229" s="414"/>
      <c r="F229" s="415"/>
      <c r="G229" s="400">
        <f>G227+H227+I227</f>
        <v>5026</v>
      </c>
      <c r="H229" s="414"/>
      <c r="I229" s="415"/>
      <c r="J229" s="268"/>
      <c r="K229" s="268"/>
      <c r="L229" s="400">
        <f>L227+M227+N227</f>
        <v>3042</v>
      </c>
      <c r="M229" s="414"/>
      <c r="N229" s="415"/>
      <c r="O229" s="141"/>
      <c r="P229" s="85"/>
      <c r="Q229" s="400">
        <f>Q227+R227+S227</f>
        <v>6189</v>
      </c>
      <c r="R229" s="414"/>
      <c r="S229" s="415"/>
      <c r="T229" s="141"/>
      <c r="U229" s="141"/>
      <c r="V229" s="141"/>
      <c r="W229" s="141"/>
      <c r="X229" s="141"/>
      <c r="Y229" s="141"/>
      <c r="Z229" s="141"/>
      <c r="AA229" s="67"/>
      <c r="AB229" s="85"/>
      <c r="AC229" s="86"/>
      <c r="AD229" s="68"/>
      <c r="AE229" s="68"/>
      <c r="AF229" s="68"/>
      <c r="AG229" s="68"/>
      <c r="AH229" s="417"/>
      <c r="AI229" s="417"/>
      <c r="AJ229" s="417"/>
      <c r="AK229" s="417"/>
    </row>
    <row r="230" spans="1:37" ht="22.5">
      <c r="A230" s="413"/>
      <c r="B230" s="93" t="s">
        <v>223</v>
      </c>
      <c r="C230" s="406">
        <f>C228/C229</f>
        <v>0.94504348510999714</v>
      </c>
      <c r="D230" s="409"/>
      <c r="E230" s="409"/>
      <c r="F230" s="410"/>
      <c r="G230" s="406">
        <f>G228/G229</f>
        <v>1.8109828889773179</v>
      </c>
      <c r="H230" s="409"/>
      <c r="I230" s="410"/>
      <c r="J230" s="267"/>
      <c r="K230" s="267"/>
      <c r="L230" s="406">
        <f>L228/L229</f>
        <v>0.91421646942800783</v>
      </c>
      <c r="M230" s="409"/>
      <c r="N230" s="410"/>
      <c r="O230" s="142">
        <f>(O225+O226)/O227</f>
        <v>1</v>
      </c>
      <c r="P230" s="87">
        <f>(P225+P226)/P227</f>
        <v>0.9975758855468414</v>
      </c>
      <c r="Q230" s="406">
        <f>Q228/Q229</f>
        <v>0.94032800129261584</v>
      </c>
      <c r="R230" s="409"/>
      <c r="S230" s="410"/>
      <c r="T230" s="142">
        <f t="shared" ref="T230:Z230" si="36">(T225+T226)/T227</f>
        <v>0.9676002506265664</v>
      </c>
      <c r="U230" s="142">
        <f t="shared" si="36"/>
        <v>2.2800353356890461</v>
      </c>
      <c r="V230" s="142">
        <f t="shared" si="36"/>
        <v>0.91967403958090799</v>
      </c>
      <c r="W230" s="142">
        <f t="shared" si="36"/>
        <v>0.98360655737704916</v>
      </c>
      <c r="X230" s="142">
        <f t="shared" si="36"/>
        <v>0.87636363636363634</v>
      </c>
      <c r="Y230" s="142">
        <f t="shared" si="36"/>
        <v>0.90476190476190477</v>
      </c>
      <c r="Z230" s="142">
        <f t="shared" si="36"/>
        <v>0.76219512195121952</v>
      </c>
      <c r="AA230" s="69"/>
      <c r="AB230" s="87">
        <f>(AB225+AB226)/AB227</f>
        <v>1.0547940074906368</v>
      </c>
      <c r="AC230" s="88">
        <f>(AC225+AC226)/AC227</f>
        <v>1.0055138806413302</v>
      </c>
      <c r="AD230" s="84" t="e">
        <f>AD225/$AG$173</f>
        <v>#DIV/0!</v>
      </c>
      <c r="AE230" s="84" t="e">
        <f>AE225/$AG$173</f>
        <v>#DIV/0!</v>
      </c>
      <c r="AF230" s="84" t="e">
        <f>AF225/$AG$173</f>
        <v>#DIV/0!</v>
      </c>
      <c r="AG230" s="134" t="e">
        <f>AG225/$AG$173</f>
        <v>#DIV/0!</v>
      </c>
      <c r="AH230" s="418"/>
      <c r="AI230" s="418"/>
      <c r="AJ230" s="418"/>
      <c r="AK230" s="418"/>
    </row>
    <row r="231" spans="1:37" ht="23.25">
      <c r="A231" s="411" t="s">
        <v>266</v>
      </c>
      <c r="B231" s="89" t="s">
        <v>225</v>
      </c>
      <c r="C231" s="147">
        <v>8493</v>
      </c>
      <c r="D231" s="147">
        <v>36416</v>
      </c>
      <c r="E231" s="147">
        <v>3847</v>
      </c>
      <c r="F231" s="147">
        <v>20191</v>
      </c>
      <c r="G231" s="147">
        <v>1653</v>
      </c>
      <c r="H231" s="147">
        <v>5009</v>
      </c>
      <c r="I231" s="147">
        <v>2473</v>
      </c>
      <c r="J231" s="147"/>
      <c r="K231" s="147"/>
      <c r="L231" s="147">
        <v>50</v>
      </c>
      <c r="M231" s="147">
        <v>450</v>
      </c>
      <c r="N231" s="147">
        <v>2077</v>
      </c>
      <c r="O231" s="147">
        <v>150</v>
      </c>
      <c r="P231" s="85">
        <f>SUM(C231:O231)</f>
        <v>80809</v>
      </c>
      <c r="Q231" s="147">
        <v>1277</v>
      </c>
      <c r="R231" s="147">
        <v>2483</v>
      </c>
      <c r="S231" s="147">
        <v>1997</v>
      </c>
      <c r="T231" s="147">
        <v>3019</v>
      </c>
      <c r="U231" s="147">
        <v>2622</v>
      </c>
      <c r="V231" s="147">
        <v>792</v>
      </c>
      <c r="W231" s="147">
        <v>299</v>
      </c>
      <c r="X231" s="147">
        <v>729</v>
      </c>
      <c r="Y231" s="81">
        <v>235</v>
      </c>
      <c r="Z231" s="81">
        <v>126</v>
      </c>
      <c r="AA231" s="67"/>
      <c r="AB231" s="85">
        <f>SUM(Q231:AA231)</f>
        <v>13579</v>
      </c>
      <c r="AC231" s="86">
        <f>P231+AB231</f>
        <v>94388</v>
      </c>
      <c r="AD231" s="82">
        <v>18</v>
      </c>
      <c r="AE231" s="82">
        <v>3</v>
      </c>
      <c r="AF231" s="82">
        <v>0</v>
      </c>
      <c r="AG231" s="83">
        <f>SUM(AD231:AF231)</f>
        <v>21</v>
      </c>
      <c r="AH231" s="416">
        <v>2034</v>
      </c>
      <c r="AI231" s="416">
        <v>2498</v>
      </c>
      <c r="AJ231" s="416">
        <v>800</v>
      </c>
      <c r="AK231" s="416">
        <f>SUM(AH231:AJ236)</f>
        <v>5332</v>
      </c>
    </row>
    <row r="232" spans="1:37" ht="22.5">
      <c r="A232" s="412"/>
      <c r="B232" s="133" t="s">
        <v>226</v>
      </c>
      <c r="C232" s="147">
        <v>38.218499999999999</v>
      </c>
      <c r="D232" s="147">
        <v>163.87199999999999</v>
      </c>
      <c r="E232" s="147">
        <v>17.311499999999999</v>
      </c>
      <c r="F232" s="147">
        <v>90.859499999999997</v>
      </c>
      <c r="G232" s="147">
        <v>0</v>
      </c>
      <c r="H232" s="147">
        <v>0</v>
      </c>
      <c r="I232" s="147">
        <v>0</v>
      </c>
      <c r="J232" s="147"/>
      <c r="K232" s="147"/>
      <c r="L232" s="147">
        <v>45</v>
      </c>
      <c r="M232" s="147">
        <v>2.0249999999999999</v>
      </c>
      <c r="N232" s="147">
        <v>9.3464999999999989</v>
      </c>
      <c r="O232" s="147">
        <v>0</v>
      </c>
      <c r="P232" s="85">
        <f>SUM(C232:O232)</f>
        <v>366.63299999999992</v>
      </c>
      <c r="Q232" s="147">
        <v>33.769999999999996</v>
      </c>
      <c r="R232" s="147">
        <v>0</v>
      </c>
      <c r="S232" s="147">
        <v>0</v>
      </c>
      <c r="T232" s="147">
        <v>30.19</v>
      </c>
      <c r="U232" s="147">
        <v>0</v>
      </c>
      <c r="V232" s="147">
        <v>0</v>
      </c>
      <c r="W232" s="147">
        <v>0</v>
      </c>
      <c r="X232" s="147">
        <v>145.80000000000001</v>
      </c>
      <c r="Y232" s="147">
        <v>0</v>
      </c>
      <c r="Z232" s="147">
        <v>0</v>
      </c>
      <c r="AA232" s="67"/>
      <c r="AB232" s="85">
        <f>SUM(Q232:AA232)</f>
        <v>209.76</v>
      </c>
      <c r="AC232" s="86">
        <f>P232+AB232</f>
        <v>576.39299999999992</v>
      </c>
      <c r="AD232" s="82"/>
      <c r="AE232" s="82"/>
      <c r="AF232" s="82"/>
      <c r="AG232" s="83"/>
      <c r="AH232" s="417"/>
      <c r="AI232" s="417"/>
      <c r="AJ232" s="417"/>
      <c r="AK232" s="417"/>
    </row>
    <row r="233" spans="1:37" ht="22.5">
      <c r="A233" s="412"/>
      <c r="B233" s="133" t="s">
        <v>227</v>
      </c>
      <c r="C233" s="141">
        <v>9252</v>
      </c>
      <c r="D233" s="141">
        <v>37456</v>
      </c>
      <c r="E233" s="141">
        <v>4675</v>
      </c>
      <c r="F233" s="141">
        <v>21619</v>
      </c>
      <c r="G233" s="141">
        <v>1710</v>
      </c>
      <c r="H233" s="141">
        <v>763</v>
      </c>
      <c r="I233" s="141">
        <v>2553</v>
      </c>
      <c r="J233" s="141"/>
      <c r="K233" s="141"/>
      <c r="L233" s="141">
        <v>102</v>
      </c>
      <c r="M233" s="141">
        <v>470</v>
      </c>
      <c r="N233" s="141">
        <v>2470</v>
      </c>
      <c r="O233" s="141">
        <v>151</v>
      </c>
      <c r="P233" s="85">
        <f>SUM(C233:O233)</f>
        <v>81221</v>
      </c>
      <c r="Q233" s="141">
        <v>1403</v>
      </c>
      <c r="R233" s="141">
        <v>2766</v>
      </c>
      <c r="S233" s="141">
        <v>2020</v>
      </c>
      <c r="T233" s="141">
        <v>3192</v>
      </c>
      <c r="U233" s="141">
        <v>1132</v>
      </c>
      <c r="V233" s="141">
        <v>859</v>
      </c>
      <c r="W233" s="141">
        <v>305</v>
      </c>
      <c r="X233" s="141">
        <v>990</v>
      </c>
      <c r="Y233" s="141">
        <v>252</v>
      </c>
      <c r="Z233" s="141">
        <v>164</v>
      </c>
      <c r="AA233" s="67"/>
      <c r="AB233" s="85">
        <f>SUM(Q233:AA233)</f>
        <v>13083</v>
      </c>
      <c r="AC233" s="86">
        <f>P233+AB233</f>
        <v>94304</v>
      </c>
      <c r="AD233" s="68"/>
      <c r="AE233" s="68"/>
      <c r="AF233" s="68"/>
      <c r="AG233" s="68"/>
      <c r="AH233" s="417"/>
      <c r="AI233" s="417"/>
      <c r="AJ233" s="417"/>
      <c r="AK233" s="417"/>
    </row>
    <row r="234" spans="1:37" ht="22.5">
      <c r="A234" s="412"/>
      <c r="B234" s="133" t="s">
        <v>228</v>
      </c>
      <c r="C234" s="400">
        <f>C231+D231+E231+F231+C232+D232+E232+F232</f>
        <v>69257.261500000008</v>
      </c>
      <c r="D234" s="414"/>
      <c r="E234" s="414"/>
      <c r="F234" s="415"/>
      <c r="G234" s="400">
        <f>G231+H231+I231+G232+H232+I232</f>
        <v>9135</v>
      </c>
      <c r="H234" s="414"/>
      <c r="I234" s="415"/>
      <c r="J234" s="268"/>
      <c r="K234" s="268"/>
      <c r="L234" s="400">
        <f>L231+M231+N231+L232+M232+N232</f>
        <v>2633.3715000000002</v>
      </c>
      <c r="M234" s="414"/>
      <c r="N234" s="415"/>
      <c r="O234" s="141"/>
      <c r="P234" s="85"/>
      <c r="Q234" s="400">
        <f>Q231+R231+S231+Q232+R232+S232</f>
        <v>5790.77</v>
      </c>
      <c r="R234" s="414"/>
      <c r="S234" s="415"/>
      <c r="T234" s="141"/>
      <c r="U234" s="141"/>
      <c r="V234" s="141"/>
      <c r="W234" s="141"/>
      <c r="X234" s="141"/>
      <c r="Y234" s="141"/>
      <c r="Z234" s="141"/>
      <c r="AA234" s="67"/>
      <c r="AB234" s="85"/>
      <c r="AC234" s="86"/>
      <c r="AD234" s="68"/>
      <c r="AE234" s="68"/>
      <c r="AF234" s="68"/>
      <c r="AG234" s="68"/>
      <c r="AH234" s="417"/>
      <c r="AI234" s="417"/>
      <c r="AJ234" s="417"/>
      <c r="AK234" s="417"/>
    </row>
    <row r="235" spans="1:37" ht="22.5">
      <c r="A235" s="412"/>
      <c r="B235" s="133" t="s">
        <v>229</v>
      </c>
      <c r="C235" s="400">
        <f>C233+D233+E233+F233</f>
        <v>73002</v>
      </c>
      <c r="D235" s="414"/>
      <c r="E235" s="414"/>
      <c r="F235" s="415"/>
      <c r="G235" s="400">
        <f>G233+H233+I233</f>
        <v>5026</v>
      </c>
      <c r="H235" s="414"/>
      <c r="I235" s="415"/>
      <c r="J235" s="268"/>
      <c r="K235" s="268"/>
      <c r="L235" s="400">
        <f>L233+M233+N233</f>
        <v>3042</v>
      </c>
      <c r="M235" s="414"/>
      <c r="N235" s="415"/>
      <c r="O235" s="141"/>
      <c r="P235" s="85"/>
      <c r="Q235" s="400">
        <f>Q233+R233+S233</f>
        <v>6189</v>
      </c>
      <c r="R235" s="414"/>
      <c r="S235" s="415"/>
      <c r="T235" s="141"/>
      <c r="U235" s="141"/>
      <c r="V235" s="141"/>
      <c r="W235" s="141"/>
      <c r="X235" s="141"/>
      <c r="Y235" s="141"/>
      <c r="Z235" s="141"/>
      <c r="AA235" s="67"/>
      <c r="AB235" s="85"/>
      <c r="AC235" s="86"/>
      <c r="AD235" s="68"/>
      <c r="AE235" s="68"/>
      <c r="AF235" s="68"/>
      <c r="AG235" s="68"/>
      <c r="AH235" s="417"/>
      <c r="AI235" s="417"/>
      <c r="AJ235" s="417"/>
      <c r="AK235" s="417"/>
    </row>
    <row r="236" spans="1:37" ht="22.5">
      <c r="A236" s="413"/>
      <c r="B236" s="93" t="s">
        <v>223</v>
      </c>
      <c r="C236" s="406">
        <f>C234/C235</f>
        <v>0.94870361770910394</v>
      </c>
      <c r="D236" s="409"/>
      <c r="E236" s="409"/>
      <c r="F236" s="410"/>
      <c r="G236" s="406">
        <f>G234/G235</f>
        <v>1.8175487465181059</v>
      </c>
      <c r="H236" s="409"/>
      <c r="I236" s="410"/>
      <c r="J236" s="267"/>
      <c r="K236" s="267"/>
      <c r="L236" s="406">
        <f>L234/L235</f>
        <v>0.86567110453648921</v>
      </c>
      <c r="M236" s="409"/>
      <c r="N236" s="410"/>
      <c r="O236" s="142">
        <f>(O231+O232)/O233</f>
        <v>0.99337748344370858</v>
      </c>
      <c r="P236" s="87">
        <f>(P231+P232)/P233</f>
        <v>0.99944143755925197</v>
      </c>
      <c r="Q236" s="406">
        <f>Q234/Q235</f>
        <v>0.93565519470027481</v>
      </c>
      <c r="R236" s="409"/>
      <c r="S236" s="410"/>
      <c r="T236" s="142">
        <f t="shared" ref="T236:Z236" si="37">(T231+T232)/T233</f>
        <v>0.95526002506265661</v>
      </c>
      <c r="U236" s="142">
        <f t="shared" si="37"/>
        <v>2.3162544169611308</v>
      </c>
      <c r="V236" s="142">
        <f t="shared" si="37"/>
        <v>0.92200232828870776</v>
      </c>
      <c r="W236" s="142">
        <f t="shared" si="37"/>
        <v>0.98032786885245904</v>
      </c>
      <c r="X236" s="142">
        <f t="shared" si="37"/>
        <v>0.88363636363636355</v>
      </c>
      <c r="Y236" s="142">
        <f t="shared" si="37"/>
        <v>0.93253968253968256</v>
      </c>
      <c r="Z236" s="142">
        <f t="shared" si="37"/>
        <v>0.76829268292682928</v>
      </c>
      <c r="AA236" s="69"/>
      <c r="AB236" s="87">
        <f>(AB231+AB232)/AB233</f>
        <v>1.0539448138806085</v>
      </c>
      <c r="AC236" s="88">
        <f>(AC231+AC232)/AC233</f>
        <v>1.0070028100610791</v>
      </c>
      <c r="AD236" s="84" t="e">
        <f>AD231/$AG$173</f>
        <v>#DIV/0!</v>
      </c>
      <c r="AE236" s="84" t="e">
        <f>AE231/$AG$173</f>
        <v>#DIV/0!</v>
      </c>
      <c r="AF236" s="84" t="e">
        <f>AF231/$AG$173</f>
        <v>#DIV/0!</v>
      </c>
      <c r="AG236" s="134" t="e">
        <f>AG231/$AG$173</f>
        <v>#DIV/0!</v>
      </c>
      <c r="AH236" s="418"/>
      <c r="AI236" s="418"/>
      <c r="AJ236" s="418"/>
      <c r="AK236" s="418"/>
    </row>
    <row r="237" spans="1:37" ht="23.25">
      <c r="A237" s="411" t="s">
        <v>267</v>
      </c>
      <c r="B237" s="89" t="s">
        <v>225</v>
      </c>
      <c r="C237" s="147">
        <v>8493</v>
      </c>
      <c r="D237" s="147">
        <v>36416</v>
      </c>
      <c r="E237" s="147">
        <v>3847</v>
      </c>
      <c r="F237" s="147">
        <v>20191</v>
      </c>
      <c r="G237" s="147">
        <v>1653</v>
      </c>
      <c r="H237" s="147">
        <v>5009</v>
      </c>
      <c r="I237" s="147">
        <v>2473</v>
      </c>
      <c r="J237" s="147"/>
      <c r="K237" s="147"/>
      <c r="L237" s="147">
        <v>50</v>
      </c>
      <c r="M237" s="147">
        <v>450</v>
      </c>
      <c r="N237" s="147">
        <v>2077</v>
      </c>
      <c r="O237" s="147">
        <v>150</v>
      </c>
      <c r="P237" s="85">
        <f>SUM(C237:O237)</f>
        <v>80809</v>
      </c>
      <c r="Q237" s="147">
        <v>1277</v>
      </c>
      <c r="R237" s="147">
        <v>2483</v>
      </c>
      <c r="S237" s="147">
        <v>1997</v>
      </c>
      <c r="T237" s="147">
        <v>3019</v>
      </c>
      <c r="U237" s="147">
        <v>2622</v>
      </c>
      <c r="V237" s="147">
        <v>792</v>
      </c>
      <c r="W237" s="147">
        <v>299</v>
      </c>
      <c r="X237" s="147">
        <v>729</v>
      </c>
      <c r="Y237" s="81">
        <v>235</v>
      </c>
      <c r="Z237" s="81">
        <v>126</v>
      </c>
      <c r="AA237" s="67"/>
      <c r="AB237" s="85">
        <f>SUM(Q237:AA237)</f>
        <v>13579</v>
      </c>
      <c r="AC237" s="86">
        <f>P237+AB237</f>
        <v>94388</v>
      </c>
      <c r="AD237" s="82">
        <v>18</v>
      </c>
      <c r="AE237" s="82">
        <v>3</v>
      </c>
      <c r="AF237" s="82">
        <v>0</v>
      </c>
      <c r="AG237" s="83">
        <f>SUM(AD237:AF237)</f>
        <v>21</v>
      </c>
      <c r="AH237" s="416">
        <v>2034</v>
      </c>
      <c r="AI237" s="416">
        <v>2498</v>
      </c>
      <c r="AJ237" s="416">
        <v>800</v>
      </c>
      <c r="AK237" s="416">
        <f>SUM(AH237:AJ242)</f>
        <v>5332</v>
      </c>
    </row>
    <row r="238" spans="1:37" ht="22.5">
      <c r="A238" s="412"/>
      <c r="B238" s="133" t="s">
        <v>226</v>
      </c>
      <c r="C238" s="147">
        <v>38.218499999999999</v>
      </c>
      <c r="D238" s="147">
        <v>163.87199999999999</v>
      </c>
      <c r="E238" s="147">
        <v>17.311499999999999</v>
      </c>
      <c r="F238" s="147">
        <v>90.859499999999997</v>
      </c>
      <c r="G238" s="147">
        <v>0</v>
      </c>
      <c r="H238" s="147">
        <v>0</v>
      </c>
      <c r="I238" s="147">
        <v>0</v>
      </c>
      <c r="J238" s="147"/>
      <c r="K238" s="147"/>
      <c r="L238" s="147">
        <v>45</v>
      </c>
      <c r="M238" s="147">
        <v>2.0249999999999999</v>
      </c>
      <c r="N238" s="147">
        <v>9.3464999999999989</v>
      </c>
      <c r="O238" s="147">
        <v>0</v>
      </c>
      <c r="P238" s="85">
        <f>SUM(C238:O238)</f>
        <v>366.63299999999992</v>
      </c>
      <c r="Q238" s="147">
        <v>33.769999999999996</v>
      </c>
      <c r="R238" s="147">
        <v>0</v>
      </c>
      <c r="S238" s="147">
        <v>0</v>
      </c>
      <c r="T238" s="147">
        <v>30.19</v>
      </c>
      <c r="U238" s="147">
        <v>0</v>
      </c>
      <c r="V238" s="147">
        <v>0</v>
      </c>
      <c r="W238" s="147">
        <v>0</v>
      </c>
      <c r="X238" s="147">
        <v>145.80000000000001</v>
      </c>
      <c r="Y238" s="147">
        <v>0</v>
      </c>
      <c r="Z238" s="147">
        <v>0</v>
      </c>
      <c r="AA238" s="67"/>
      <c r="AB238" s="85">
        <f>SUM(Q238:AA238)</f>
        <v>209.76</v>
      </c>
      <c r="AC238" s="86">
        <f>P238+AB238</f>
        <v>576.39299999999992</v>
      </c>
      <c r="AD238" s="82"/>
      <c r="AE238" s="82"/>
      <c r="AF238" s="82"/>
      <c r="AG238" s="83"/>
      <c r="AH238" s="417"/>
      <c r="AI238" s="417"/>
      <c r="AJ238" s="417"/>
      <c r="AK238" s="417"/>
    </row>
    <row r="239" spans="1:37" ht="22.5">
      <c r="A239" s="412"/>
      <c r="B239" s="133" t="s">
        <v>227</v>
      </c>
      <c r="C239" s="141">
        <v>9252</v>
      </c>
      <c r="D239" s="141">
        <v>37456</v>
      </c>
      <c r="E239" s="141">
        <v>4675</v>
      </c>
      <c r="F239" s="141">
        <v>21619</v>
      </c>
      <c r="G239" s="141">
        <v>1710</v>
      </c>
      <c r="H239" s="141">
        <v>763</v>
      </c>
      <c r="I239" s="141">
        <v>2553</v>
      </c>
      <c r="J239" s="141"/>
      <c r="K239" s="141"/>
      <c r="L239" s="141">
        <v>102</v>
      </c>
      <c r="M239" s="141">
        <v>470</v>
      </c>
      <c r="N239" s="141">
        <v>2470</v>
      </c>
      <c r="O239" s="141">
        <v>151</v>
      </c>
      <c r="P239" s="85">
        <f>SUM(C239:O239)</f>
        <v>81221</v>
      </c>
      <c r="Q239" s="141">
        <v>1403</v>
      </c>
      <c r="R239" s="141">
        <v>2766</v>
      </c>
      <c r="S239" s="141">
        <v>2020</v>
      </c>
      <c r="T239" s="141">
        <v>3192</v>
      </c>
      <c r="U239" s="141">
        <v>1132</v>
      </c>
      <c r="V239" s="141">
        <v>859</v>
      </c>
      <c r="W239" s="141">
        <v>305</v>
      </c>
      <c r="X239" s="141">
        <v>990</v>
      </c>
      <c r="Y239" s="141">
        <v>252</v>
      </c>
      <c r="Z239" s="141">
        <v>164</v>
      </c>
      <c r="AA239" s="67"/>
      <c r="AB239" s="85">
        <f>SUM(Q239:AA239)</f>
        <v>13083</v>
      </c>
      <c r="AC239" s="86">
        <f>P239+AB239</f>
        <v>94304</v>
      </c>
      <c r="AD239" s="68"/>
      <c r="AE239" s="68"/>
      <c r="AF239" s="68"/>
      <c r="AG239" s="68"/>
      <c r="AH239" s="417"/>
      <c r="AI239" s="417"/>
      <c r="AJ239" s="417"/>
      <c r="AK239" s="417"/>
    </row>
    <row r="240" spans="1:37" ht="22.5">
      <c r="A240" s="412"/>
      <c r="B240" s="133" t="s">
        <v>228</v>
      </c>
      <c r="C240" s="400">
        <f>C237+D237+E237+F237+C238+D238+E238+F238</f>
        <v>69257.261500000008</v>
      </c>
      <c r="D240" s="414"/>
      <c r="E240" s="414"/>
      <c r="F240" s="415"/>
      <c r="G240" s="400">
        <f>G237+H237+I237+G238+H238+I238</f>
        <v>9135</v>
      </c>
      <c r="H240" s="414"/>
      <c r="I240" s="415"/>
      <c r="J240" s="268"/>
      <c r="K240" s="268"/>
      <c r="L240" s="400">
        <f>L237+M237+N237+L238+M238+N238</f>
        <v>2633.3715000000002</v>
      </c>
      <c r="M240" s="414"/>
      <c r="N240" s="415"/>
      <c r="O240" s="141"/>
      <c r="P240" s="85"/>
      <c r="Q240" s="400">
        <f>Q237+R237+S237+Q238+R238+S238</f>
        <v>5790.77</v>
      </c>
      <c r="R240" s="414"/>
      <c r="S240" s="415"/>
      <c r="T240" s="141"/>
      <c r="U240" s="141"/>
      <c r="V240" s="141"/>
      <c r="W240" s="141"/>
      <c r="X240" s="141"/>
      <c r="Y240" s="141"/>
      <c r="Z240" s="141"/>
      <c r="AA240" s="67"/>
      <c r="AB240" s="85"/>
      <c r="AC240" s="86"/>
      <c r="AD240" s="68"/>
      <c r="AE240" s="68"/>
      <c r="AF240" s="68"/>
      <c r="AG240" s="68"/>
      <c r="AH240" s="417"/>
      <c r="AI240" s="417"/>
      <c r="AJ240" s="417"/>
      <c r="AK240" s="417"/>
    </row>
    <row r="241" spans="1:37" ht="22.5">
      <c r="A241" s="412"/>
      <c r="B241" s="133" t="s">
        <v>229</v>
      </c>
      <c r="C241" s="400">
        <f>C239+D239+E239+F239</f>
        <v>73002</v>
      </c>
      <c r="D241" s="414"/>
      <c r="E241" s="414"/>
      <c r="F241" s="415"/>
      <c r="G241" s="400">
        <f>G239+H239+I239</f>
        <v>5026</v>
      </c>
      <c r="H241" s="414"/>
      <c r="I241" s="415"/>
      <c r="J241" s="268"/>
      <c r="K241" s="268"/>
      <c r="L241" s="400">
        <f>L239+M239+N239</f>
        <v>3042</v>
      </c>
      <c r="M241" s="414"/>
      <c r="N241" s="415"/>
      <c r="O241" s="141"/>
      <c r="P241" s="85"/>
      <c r="Q241" s="400">
        <f>Q239+R239+S239</f>
        <v>6189</v>
      </c>
      <c r="R241" s="414"/>
      <c r="S241" s="415"/>
      <c r="T241" s="141"/>
      <c r="U241" s="141"/>
      <c r="V241" s="141"/>
      <c r="W241" s="141"/>
      <c r="X241" s="141"/>
      <c r="Y241" s="141"/>
      <c r="Z241" s="141"/>
      <c r="AA241" s="67"/>
      <c r="AB241" s="85"/>
      <c r="AC241" s="86"/>
      <c r="AD241" s="68"/>
      <c r="AE241" s="68"/>
      <c r="AF241" s="68"/>
      <c r="AG241" s="68"/>
      <c r="AH241" s="417"/>
      <c r="AI241" s="417"/>
      <c r="AJ241" s="417"/>
      <c r="AK241" s="417"/>
    </row>
    <row r="242" spans="1:37" ht="22.5">
      <c r="A242" s="413"/>
      <c r="B242" s="93" t="s">
        <v>223</v>
      </c>
      <c r="C242" s="406">
        <f>C240/C241</f>
        <v>0.94870361770910394</v>
      </c>
      <c r="D242" s="409"/>
      <c r="E242" s="409"/>
      <c r="F242" s="410"/>
      <c r="G242" s="406">
        <f>G240/G241</f>
        <v>1.8175487465181059</v>
      </c>
      <c r="H242" s="409"/>
      <c r="I242" s="410"/>
      <c r="J242" s="267"/>
      <c r="K242" s="267"/>
      <c r="L242" s="406">
        <f>L240/L241</f>
        <v>0.86567110453648921</v>
      </c>
      <c r="M242" s="409"/>
      <c r="N242" s="410"/>
      <c r="O242" s="142">
        <f>(O237+O238)/O239</f>
        <v>0.99337748344370858</v>
      </c>
      <c r="P242" s="87">
        <f>(P237+P238)/P239</f>
        <v>0.99944143755925197</v>
      </c>
      <c r="Q242" s="406">
        <f>Q240/Q241</f>
        <v>0.93565519470027481</v>
      </c>
      <c r="R242" s="409"/>
      <c r="S242" s="410"/>
      <c r="T242" s="142">
        <f t="shared" ref="T242:Z242" si="38">(T237+T238)/T239</f>
        <v>0.95526002506265661</v>
      </c>
      <c r="U242" s="142">
        <f t="shared" si="38"/>
        <v>2.3162544169611308</v>
      </c>
      <c r="V242" s="142">
        <f t="shared" si="38"/>
        <v>0.92200232828870776</v>
      </c>
      <c r="W242" s="142">
        <f t="shared" si="38"/>
        <v>0.98032786885245904</v>
      </c>
      <c r="X242" s="142">
        <f t="shared" si="38"/>
        <v>0.88363636363636355</v>
      </c>
      <c r="Y242" s="142">
        <f t="shared" si="38"/>
        <v>0.93253968253968256</v>
      </c>
      <c r="Z242" s="142">
        <f t="shared" si="38"/>
        <v>0.76829268292682928</v>
      </c>
      <c r="AA242" s="69"/>
      <c r="AB242" s="87">
        <f>(AB237+AB238)/AB239</f>
        <v>1.0539448138806085</v>
      </c>
      <c r="AC242" s="88">
        <f>(AC237+AC238)/AC239</f>
        <v>1.0070028100610791</v>
      </c>
      <c r="AD242" s="84" t="e">
        <f>AD237/$AG$173</f>
        <v>#DIV/0!</v>
      </c>
      <c r="AE242" s="84" t="e">
        <f>AE237/$AG$173</f>
        <v>#DIV/0!</v>
      </c>
      <c r="AF242" s="84" t="e">
        <f>AF237/$AG$173</f>
        <v>#DIV/0!</v>
      </c>
      <c r="AG242" s="134" t="e">
        <f>AG237/$AG$173</f>
        <v>#DIV/0!</v>
      </c>
      <c r="AH242" s="418"/>
      <c r="AI242" s="418"/>
      <c r="AJ242" s="418"/>
      <c r="AK242" s="418"/>
    </row>
    <row r="243" spans="1:37" ht="23.25">
      <c r="A243" s="411" t="s">
        <v>268</v>
      </c>
      <c r="B243" s="89" t="s">
        <v>225</v>
      </c>
      <c r="C243" s="147">
        <v>8518</v>
      </c>
      <c r="D243" s="147">
        <v>36440</v>
      </c>
      <c r="E243" s="147">
        <v>3833</v>
      </c>
      <c r="F243" s="147">
        <v>20336</v>
      </c>
      <c r="G243" s="147">
        <v>1651</v>
      </c>
      <c r="H243" s="147">
        <v>5037</v>
      </c>
      <c r="I243" s="147">
        <v>2499</v>
      </c>
      <c r="J243" s="147"/>
      <c r="K243" s="147"/>
      <c r="L243" s="147">
        <v>32</v>
      </c>
      <c r="M243" s="147">
        <v>448</v>
      </c>
      <c r="N243" s="147">
        <v>2141</v>
      </c>
      <c r="O243" s="147">
        <v>150</v>
      </c>
      <c r="P243" s="85">
        <f>SUM(C243:O243)</f>
        <v>81085</v>
      </c>
      <c r="Q243" s="147">
        <v>1255</v>
      </c>
      <c r="R243" s="147">
        <v>2520</v>
      </c>
      <c r="S243" s="147">
        <v>1998</v>
      </c>
      <c r="T243" s="147">
        <v>3020</v>
      </c>
      <c r="U243" s="147">
        <v>2624</v>
      </c>
      <c r="V243" s="147">
        <v>800</v>
      </c>
      <c r="W243" s="147">
        <v>299</v>
      </c>
      <c r="X243" s="147">
        <v>728</v>
      </c>
      <c r="Y243" s="81">
        <v>241</v>
      </c>
      <c r="Z243" s="81">
        <v>126</v>
      </c>
      <c r="AA243" s="67"/>
      <c r="AB243" s="85">
        <f>SUM(Q243:AA243)</f>
        <v>13611</v>
      </c>
      <c r="AC243" s="86">
        <f>P243+AB243</f>
        <v>94696</v>
      </c>
      <c r="AD243" s="82">
        <v>18</v>
      </c>
      <c r="AE243" s="82">
        <v>3</v>
      </c>
      <c r="AF243" s="82">
        <v>0</v>
      </c>
      <c r="AG243" s="83">
        <f>SUM(AD243:AF243)</f>
        <v>21</v>
      </c>
      <c r="AH243" s="416">
        <v>1766</v>
      </c>
      <c r="AI243" s="416">
        <v>1786</v>
      </c>
      <c r="AJ243" s="416">
        <v>478</v>
      </c>
      <c r="AK243" s="416">
        <f>SUM(AH243:AJ248)</f>
        <v>4030</v>
      </c>
    </row>
    <row r="244" spans="1:37" ht="22.5">
      <c r="A244" s="412"/>
      <c r="B244" s="133" t="s">
        <v>226</v>
      </c>
      <c r="C244" s="147">
        <v>38.330999999999996</v>
      </c>
      <c r="D244" s="147">
        <v>163.98</v>
      </c>
      <c r="E244" s="147">
        <v>17.2485</v>
      </c>
      <c r="F244" s="147">
        <v>91.511999999999986</v>
      </c>
      <c r="G244" s="147">
        <v>0</v>
      </c>
      <c r="H244" s="147">
        <v>0</v>
      </c>
      <c r="I244" s="147">
        <v>0</v>
      </c>
      <c r="J244" s="147"/>
      <c r="K244" s="147"/>
      <c r="L244" s="147">
        <v>42</v>
      </c>
      <c r="M244" s="147">
        <v>2.016</v>
      </c>
      <c r="N244" s="147">
        <v>9.6344999999999992</v>
      </c>
      <c r="O244" s="147">
        <v>0</v>
      </c>
      <c r="P244" s="85">
        <f>SUM(C244:O244)</f>
        <v>364.72199999999998</v>
      </c>
      <c r="Q244" s="147">
        <v>33.549999999999997</v>
      </c>
      <c r="R244" s="147">
        <v>0</v>
      </c>
      <c r="S244" s="147">
        <v>0</v>
      </c>
      <c r="T244" s="147">
        <v>30.2</v>
      </c>
      <c r="U244" s="147">
        <v>0</v>
      </c>
      <c r="V244" s="147">
        <v>0</v>
      </c>
      <c r="W244" s="147">
        <v>0</v>
      </c>
      <c r="X244" s="147">
        <v>145.6</v>
      </c>
      <c r="Y244" s="147">
        <v>0</v>
      </c>
      <c r="Z244" s="147">
        <v>0</v>
      </c>
      <c r="AA244" s="67"/>
      <c r="AB244" s="85">
        <f>SUM(Q244:AA244)</f>
        <v>209.35</v>
      </c>
      <c r="AC244" s="86">
        <f>P244+AB244</f>
        <v>574.072</v>
      </c>
      <c r="AD244" s="82"/>
      <c r="AE244" s="82"/>
      <c r="AF244" s="82"/>
      <c r="AG244" s="83"/>
      <c r="AH244" s="417"/>
      <c r="AI244" s="417"/>
      <c r="AJ244" s="417"/>
      <c r="AK244" s="417"/>
    </row>
    <row r="245" spans="1:37" ht="22.5">
      <c r="A245" s="412"/>
      <c r="B245" s="133" t="s">
        <v>227</v>
      </c>
      <c r="C245" s="141">
        <v>9252</v>
      </c>
      <c r="D245" s="141">
        <v>37456</v>
      </c>
      <c r="E245" s="141">
        <v>4675</v>
      </c>
      <c r="F245" s="141">
        <v>21619</v>
      </c>
      <c r="G245" s="141">
        <v>1710</v>
      </c>
      <c r="H245" s="141">
        <v>763</v>
      </c>
      <c r="I245" s="141">
        <v>2553</v>
      </c>
      <c r="J245" s="141"/>
      <c r="K245" s="141"/>
      <c r="L245" s="141">
        <v>102</v>
      </c>
      <c r="M245" s="141">
        <v>470</v>
      </c>
      <c r="N245" s="141">
        <v>2470</v>
      </c>
      <c r="O245" s="141">
        <v>151</v>
      </c>
      <c r="P245" s="85">
        <f>SUM(C245:O245)</f>
        <v>81221</v>
      </c>
      <c r="Q245" s="141">
        <v>1403</v>
      </c>
      <c r="R245" s="141">
        <v>2766</v>
      </c>
      <c r="S245" s="141">
        <v>2020</v>
      </c>
      <c r="T245" s="141">
        <v>3192</v>
      </c>
      <c r="U245" s="141">
        <v>1132</v>
      </c>
      <c r="V245" s="141">
        <v>859</v>
      </c>
      <c r="W245" s="141">
        <v>305</v>
      </c>
      <c r="X245" s="141">
        <v>990</v>
      </c>
      <c r="Y245" s="141">
        <v>252</v>
      </c>
      <c r="Z245" s="141">
        <v>164</v>
      </c>
      <c r="AA245" s="67"/>
      <c r="AB245" s="85">
        <f>SUM(Q245:AA245)</f>
        <v>13083</v>
      </c>
      <c r="AC245" s="86">
        <f>P245+AB245</f>
        <v>94304</v>
      </c>
      <c r="AD245" s="68"/>
      <c r="AE245" s="68"/>
      <c r="AF245" s="68"/>
      <c r="AG245" s="68"/>
      <c r="AH245" s="417"/>
      <c r="AI245" s="417"/>
      <c r="AJ245" s="417"/>
      <c r="AK245" s="417"/>
    </row>
    <row r="246" spans="1:37" ht="22.5">
      <c r="A246" s="412"/>
      <c r="B246" s="133" t="s">
        <v>228</v>
      </c>
      <c r="C246" s="400">
        <f>C243+D243+E243+F243+C244+D244+E244+F244</f>
        <v>69438.071500000005</v>
      </c>
      <c r="D246" s="414"/>
      <c r="E246" s="414"/>
      <c r="F246" s="415"/>
      <c r="G246" s="400">
        <f>G243+H243+I243+G244+H244+I244</f>
        <v>9187</v>
      </c>
      <c r="H246" s="414"/>
      <c r="I246" s="415"/>
      <c r="J246" s="268"/>
      <c r="K246" s="268"/>
      <c r="L246" s="400">
        <f>L243+M243+N243+L244+M244+N244</f>
        <v>2674.6505000000002</v>
      </c>
      <c r="M246" s="414"/>
      <c r="N246" s="415"/>
      <c r="O246" s="141"/>
      <c r="P246" s="85"/>
      <c r="Q246" s="400">
        <f>Q243+R243+S243+Q244+R244+S244</f>
        <v>5806.55</v>
      </c>
      <c r="R246" s="414"/>
      <c r="S246" s="415"/>
      <c r="T246" s="141"/>
      <c r="U246" s="141"/>
      <c r="V246" s="141"/>
      <c r="W246" s="141"/>
      <c r="X246" s="141"/>
      <c r="Y246" s="141"/>
      <c r="Z246" s="141"/>
      <c r="AA246" s="67"/>
      <c r="AB246" s="85"/>
      <c r="AC246" s="86"/>
      <c r="AD246" s="68"/>
      <c r="AE246" s="68"/>
      <c r="AF246" s="68"/>
      <c r="AG246" s="68"/>
      <c r="AH246" s="417"/>
      <c r="AI246" s="417"/>
      <c r="AJ246" s="417"/>
      <c r="AK246" s="417"/>
    </row>
    <row r="247" spans="1:37" ht="22.5">
      <c r="A247" s="412"/>
      <c r="B247" s="133" t="s">
        <v>229</v>
      </c>
      <c r="C247" s="400">
        <f>C245+D245+E245+F245</f>
        <v>73002</v>
      </c>
      <c r="D247" s="414"/>
      <c r="E247" s="414"/>
      <c r="F247" s="415"/>
      <c r="G247" s="400">
        <f>G245+H245+I245</f>
        <v>5026</v>
      </c>
      <c r="H247" s="414"/>
      <c r="I247" s="415"/>
      <c r="J247" s="268"/>
      <c r="K247" s="268"/>
      <c r="L247" s="400">
        <f>L245+M245+N245</f>
        <v>3042</v>
      </c>
      <c r="M247" s="414"/>
      <c r="N247" s="415"/>
      <c r="O247" s="141"/>
      <c r="P247" s="85"/>
      <c r="Q247" s="400">
        <f>Q245+R245+S245</f>
        <v>6189</v>
      </c>
      <c r="R247" s="414"/>
      <c r="S247" s="415"/>
      <c r="T247" s="141"/>
      <c r="U247" s="141"/>
      <c r="V247" s="141"/>
      <c r="W247" s="141"/>
      <c r="X247" s="141"/>
      <c r="Y247" s="141"/>
      <c r="Z247" s="141"/>
      <c r="AA247" s="67"/>
      <c r="AB247" s="85"/>
      <c r="AC247" s="86"/>
      <c r="AD247" s="68"/>
      <c r="AE247" s="68"/>
      <c r="AF247" s="68"/>
      <c r="AG247" s="68"/>
      <c r="AH247" s="417"/>
      <c r="AI247" s="417"/>
      <c r="AJ247" s="417"/>
      <c r="AK247" s="417"/>
    </row>
    <row r="248" spans="1:37" ht="22.5">
      <c r="A248" s="413"/>
      <c r="B248" s="93" t="s">
        <v>223</v>
      </c>
      <c r="C248" s="406">
        <f>C246/C247</f>
        <v>0.95118039916714614</v>
      </c>
      <c r="D248" s="409"/>
      <c r="E248" s="409"/>
      <c r="F248" s="410"/>
      <c r="G248" s="406">
        <f>G246/G247</f>
        <v>1.8278949462793475</v>
      </c>
      <c r="H248" s="409"/>
      <c r="I248" s="410"/>
      <c r="J248" s="267"/>
      <c r="K248" s="267"/>
      <c r="L248" s="406">
        <f>L246/L247</f>
        <v>0.87924079552925716</v>
      </c>
      <c r="M248" s="409"/>
      <c r="N248" s="410"/>
      <c r="O248" s="142">
        <f>(O243+O244)/O245</f>
        <v>0.99337748344370858</v>
      </c>
      <c r="P248" s="87">
        <f>(P243+P244)/P245</f>
        <v>1.0028160451114858</v>
      </c>
      <c r="Q248" s="406">
        <f>Q246/Q247</f>
        <v>0.93820487962514143</v>
      </c>
      <c r="R248" s="409"/>
      <c r="S248" s="410"/>
      <c r="T248" s="142">
        <f t="shared" ref="T248:Z248" si="39">(T243+T244)/T245</f>
        <v>0.95557644110275686</v>
      </c>
      <c r="U248" s="142">
        <f t="shared" si="39"/>
        <v>2.3180212014134276</v>
      </c>
      <c r="V248" s="142">
        <f t="shared" si="39"/>
        <v>0.93131548311990686</v>
      </c>
      <c r="W248" s="142">
        <f t="shared" si="39"/>
        <v>0.98032786885245904</v>
      </c>
      <c r="X248" s="142">
        <f t="shared" si="39"/>
        <v>0.88242424242424244</v>
      </c>
      <c r="Y248" s="142">
        <f t="shared" si="39"/>
        <v>0.95634920634920639</v>
      </c>
      <c r="Z248" s="142">
        <f t="shared" si="39"/>
        <v>0.76829268292682928</v>
      </c>
      <c r="AA248" s="69"/>
      <c r="AB248" s="87">
        <f>(AB243+AB244)/AB245</f>
        <v>1.056359397691661</v>
      </c>
      <c r="AC248" s="88">
        <f>(AC243+AC244)/AC245</f>
        <v>1.0102442314217848</v>
      </c>
      <c r="AD248" s="84" t="e">
        <f>AD243/$AG$173</f>
        <v>#DIV/0!</v>
      </c>
      <c r="AE248" s="84" t="e">
        <f>AE243/$AG$173</f>
        <v>#DIV/0!</v>
      </c>
      <c r="AF248" s="84" t="e">
        <f>AF243/$AG$173</f>
        <v>#DIV/0!</v>
      </c>
      <c r="AG248" s="134" t="e">
        <f>AG243/$AG$173</f>
        <v>#DIV/0!</v>
      </c>
      <c r="AH248" s="418"/>
      <c r="AI248" s="418"/>
      <c r="AJ248" s="418"/>
      <c r="AK248" s="418"/>
    </row>
    <row r="249" spans="1:37" ht="23.25">
      <c r="A249" s="411" t="s">
        <v>269</v>
      </c>
      <c r="B249" s="89" t="s">
        <v>225</v>
      </c>
      <c r="C249" s="147">
        <v>8518</v>
      </c>
      <c r="D249" s="147">
        <v>36358</v>
      </c>
      <c r="E249" s="147">
        <v>3819</v>
      </c>
      <c r="F249" s="147">
        <v>20337</v>
      </c>
      <c r="G249" s="147">
        <v>1658</v>
      </c>
      <c r="H249" s="147">
        <v>5027</v>
      </c>
      <c r="I249" s="147">
        <v>2484</v>
      </c>
      <c r="J249" s="147"/>
      <c r="K249" s="147"/>
      <c r="L249" s="147">
        <v>37</v>
      </c>
      <c r="M249" s="147">
        <v>443</v>
      </c>
      <c r="N249" s="147">
        <v>2113</v>
      </c>
      <c r="O249" s="147">
        <v>150</v>
      </c>
      <c r="P249" s="85">
        <f>SUM(C249:O249)</f>
        <v>80944</v>
      </c>
      <c r="Q249" s="147">
        <v>1231</v>
      </c>
      <c r="R249" s="147">
        <v>2560</v>
      </c>
      <c r="S249" s="147">
        <v>1992</v>
      </c>
      <c r="T249" s="147">
        <v>3019</v>
      </c>
      <c r="U249" s="147">
        <v>2612</v>
      </c>
      <c r="V249" s="147">
        <v>803</v>
      </c>
      <c r="W249" s="147">
        <v>299</v>
      </c>
      <c r="X249" s="147">
        <v>729</v>
      </c>
      <c r="Y249" s="81">
        <v>247</v>
      </c>
      <c r="Z249" s="81">
        <v>126</v>
      </c>
      <c r="AA249" s="67"/>
      <c r="AB249" s="85">
        <f>SUM(Q249:AA249)</f>
        <v>13618</v>
      </c>
      <c r="AC249" s="86">
        <f>P249+AB249</f>
        <v>94562</v>
      </c>
      <c r="AD249" s="82">
        <v>18</v>
      </c>
      <c r="AE249" s="82">
        <v>3</v>
      </c>
      <c r="AF249" s="82">
        <v>0</v>
      </c>
      <c r="AG249" s="83">
        <f>SUM(AD249:AF249)</f>
        <v>21</v>
      </c>
      <c r="AH249" s="416">
        <v>1762</v>
      </c>
      <c r="AI249" s="416">
        <v>2207</v>
      </c>
      <c r="AJ249" s="416">
        <v>405</v>
      </c>
      <c r="AK249" s="416">
        <f>SUM(AH249:AJ254)</f>
        <v>4374</v>
      </c>
    </row>
    <row r="250" spans="1:37" ht="22.5">
      <c r="A250" s="412"/>
      <c r="B250" s="133" t="s">
        <v>226</v>
      </c>
      <c r="C250" s="147">
        <v>38.330999999999996</v>
      </c>
      <c r="D250" s="147">
        <v>163.61099999999999</v>
      </c>
      <c r="E250" s="147">
        <v>17.185499999999998</v>
      </c>
      <c r="F250" s="147">
        <v>91.516499999999994</v>
      </c>
      <c r="G250" s="147">
        <v>0</v>
      </c>
      <c r="H250" s="147">
        <v>0</v>
      </c>
      <c r="I250" s="147">
        <v>0</v>
      </c>
      <c r="J250" s="147"/>
      <c r="K250" s="147"/>
      <c r="L250" s="147">
        <v>53</v>
      </c>
      <c r="M250" s="147">
        <v>1.9934999999999998</v>
      </c>
      <c r="N250" s="147">
        <v>9.5084999999999997</v>
      </c>
      <c r="O250" s="147">
        <v>0</v>
      </c>
      <c r="P250" s="85">
        <f>SUM(C250:O250)</f>
        <v>375.14599999999996</v>
      </c>
      <c r="Q250" s="147">
        <v>33.31</v>
      </c>
      <c r="R250" s="147">
        <v>0</v>
      </c>
      <c r="S250" s="147">
        <v>0</v>
      </c>
      <c r="T250" s="147">
        <v>30.19</v>
      </c>
      <c r="U250" s="147">
        <v>0</v>
      </c>
      <c r="V250" s="147">
        <v>0</v>
      </c>
      <c r="W250" s="147">
        <v>0</v>
      </c>
      <c r="X250" s="147">
        <v>145.80000000000001</v>
      </c>
      <c r="Y250" s="147">
        <v>0</v>
      </c>
      <c r="Z250" s="147">
        <v>0</v>
      </c>
      <c r="AA250" s="67"/>
      <c r="AB250" s="85">
        <f>SUM(Q250:AA250)</f>
        <v>209.3</v>
      </c>
      <c r="AC250" s="86">
        <f>P250+AB250</f>
        <v>584.44599999999991</v>
      </c>
      <c r="AD250" s="82"/>
      <c r="AE250" s="82"/>
      <c r="AF250" s="82"/>
      <c r="AG250" s="83"/>
      <c r="AH250" s="417"/>
      <c r="AI250" s="417"/>
      <c r="AJ250" s="417"/>
      <c r="AK250" s="417"/>
    </row>
    <row r="251" spans="1:37" ht="22.5">
      <c r="A251" s="412"/>
      <c r="B251" s="133" t="s">
        <v>227</v>
      </c>
      <c r="C251" s="141">
        <v>9252</v>
      </c>
      <c r="D251" s="141">
        <v>37456</v>
      </c>
      <c r="E251" s="141">
        <v>4675</v>
      </c>
      <c r="F251" s="141">
        <v>21619</v>
      </c>
      <c r="G251" s="141">
        <v>1710</v>
      </c>
      <c r="H251" s="141">
        <v>763</v>
      </c>
      <c r="I251" s="141">
        <v>2553</v>
      </c>
      <c r="J251" s="141"/>
      <c r="K251" s="141"/>
      <c r="L251" s="141">
        <v>102</v>
      </c>
      <c r="M251" s="141">
        <v>470</v>
      </c>
      <c r="N251" s="141">
        <v>2470</v>
      </c>
      <c r="O251" s="141">
        <v>151</v>
      </c>
      <c r="P251" s="85">
        <f>SUM(C251:O251)</f>
        <v>81221</v>
      </c>
      <c r="Q251" s="141">
        <v>1403</v>
      </c>
      <c r="R251" s="141">
        <v>2766</v>
      </c>
      <c r="S251" s="141">
        <v>2020</v>
      </c>
      <c r="T251" s="141">
        <v>3192</v>
      </c>
      <c r="U251" s="141">
        <v>1132</v>
      </c>
      <c r="V251" s="141">
        <v>859</v>
      </c>
      <c r="W251" s="141">
        <v>305</v>
      </c>
      <c r="X251" s="141">
        <v>990</v>
      </c>
      <c r="Y251" s="141">
        <v>252</v>
      </c>
      <c r="Z251" s="141">
        <v>164</v>
      </c>
      <c r="AA251" s="67"/>
      <c r="AB251" s="85">
        <f>SUM(Q251:AA251)</f>
        <v>13083</v>
      </c>
      <c r="AC251" s="86">
        <f>P251+AB251</f>
        <v>94304</v>
      </c>
      <c r="AD251" s="68"/>
      <c r="AE251" s="68"/>
      <c r="AF251" s="68"/>
      <c r="AG251" s="68"/>
      <c r="AH251" s="417"/>
      <c r="AI251" s="417"/>
      <c r="AJ251" s="417"/>
      <c r="AK251" s="417"/>
    </row>
    <row r="252" spans="1:37" ht="22.5">
      <c r="A252" s="412"/>
      <c r="B252" s="133" t="s">
        <v>228</v>
      </c>
      <c r="C252" s="400">
        <f>C249+D249+E249+F249+C250+D250+E250+F250</f>
        <v>69342.644000000015</v>
      </c>
      <c r="D252" s="414"/>
      <c r="E252" s="414"/>
      <c r="F252" s="415"/>
      <c r="G252" s="400">
        <f>G249+H249+I249+G250+H250+I250</f>
        <v>9169</v>
      </c>
      <c r="H252" s="414"/>
      <c r="I252" s="415"/>
      <c r="J252" s="268"/>
      <c r="K252" s="268"/>
      <c r="L252" s="400">
        <f>L249+M249+N249+L250+M250+N250</f>
        <v>2657.502</v>
      </c>
      <c r="M252" s="414"/>
      <c r="N252" s="415"/>
      <c r="O252" s="141"/>
      <c r="P252" s="85"/>
      <c r="Q252" s="400">
        <f>Q249+R249+S249+Q250+R250+S250</f>
        <v>5816.31</v>
      </c>
      <c r="R252" s="414"/>
      <c r="S252" s="415"/>
      <c r="T252" s="141"/>
      <c r="U252" s="141"/>
      <c r="V252" s="141"/>
      <c r="W252" s="141"/>
      <c r="X252" s="141"/>
      <c r="Y252" s="141"/>
      <c r="Z252" s="141"/>
      <c r="AA252" s="67"/>
      <c r="AB252" s="85"/>
      <c r="AC252" s="86"/>
      <c r="AD252" s="68"/>
      <c r="AE252" s="68"/>
      <c r="AF252" s="68"/>
      <c r="AG252" s="68"/>
      <c r="AH252" s="417"/>
      <c r="AI252" s="417"/>
      <c r="AJ252" s="417"/>
      <c r="AK252" s="417"/>
    </row>
    <row r="253" spans="1:37" ht="22.5">
      <c r="A253" s="412"/>
      <c r="B253" s="133" t="s">
        <v>229</v>
      </c>
      <c r="C253" s="400">
        <f>C251+D251+E251+F251</f>
        <v>73002</v>
      </c>
      <c r="D253" s="414"/>
      <c r="E253" s="414"/>
      <c r="F253" s="415"/>
      <c r="G253" s="400">
        <f>G251+H251+I251</f>
        <v>5026</v>
      </c>
      <c r="H253" s="414"/>
      <c r="I253" s="415"/>
      <c r="J253" s="268"/>
      <c r="K253" s="268"/>
      <c r="L253" s="400">
        <f>L251+M251+N251</f>
        <v>3042</v>
      </c>
      <c r="M253" s="414"/>
      <c r="N253" s="415"/>
      <c r="O253" s="141"/>
      <c r="P253" s="85"/>
      <c r="Q253" s="400">
        <f>Q251+R251+S251</f>
        <v>6189</v>
      </c>
      <c r="R253" s="414"/>
      <c r="S253" s="415"/>
      <c r="T253" s="141"/>
      <c r="U253" s="141"/>
      <c r="V253" s="141"/>
      <c r="W253" s="141"/>
      <c r="X253" s="141"/>
      <c r="Y253" s="141"/>
      <c r="Z253" s="141"/>
      <c r="AA253" s="67"/>
      <c r="AB253" s="85"/>
      <c r="AC253" s="86"/>
      <c r="AD253" s="68"/>
      <c r="AE253" s="68"/>
      <c r="AF253" s="68"/>
      <c r="AG253" s="68"/>
      <c r="AH253" s="417"/>
      <c r="AI253" s="417"/>
      <c r="AJ253" s="417"/>
      <c r="AK253" s="417"/>
    </row>
    <row r="254" spans="1:37" ht="22.5">
      <c r="A254" s="413"/>
      <c r="B254" s="93" t="s">
        <v>223</v>
      </c>
      <c r="C254" s="406">
        <f>C252/C253</f>
        <v>0.94987320895317962</v>
      </c>
      <c r="D254" s="409"/>
      <c r="E254" s="409"/>
      <c r="F254" s="410"/>
      <c r="G254" s="406">
        <f>G252/G253</f>
        <v>1.8243135694389176</v>
      </c>
      <c r="H254" s="409"/>
      <c r="I254" s="410"/>
      <c r="J254" s="267"/>
      <c r="K254" s="267"/>
      <c r="L254" s="406">
        <f>L252/L253</f>
        <v>0.87360355029585801</v>
      </c>
      <c r="M254" s="409"/>
      <c r="N254" s="410"/>
      <c r="O254" s="142">
        <f>(O249+O250)/O251</f>
        <v>0.99337748344370858</v>
      </c>
      <c r="P254" s="87">
        <f>(P249+P250)/P251</f>
        <v>1.0012083820686768</v>
      </c>
      <c r="Q254" s="406">
        <f>Q252/Q253</f>
        <v>0.93978187106156086</v>
      </c>
      <c r="R254" s="409"/>
      <c r="S254" s="410"/>
      <c r="T254" s="142">
        <f t="shared" ref="T254:Z254" si="40">(T249+T250)/T251</f>
        <v>0.95526002506265661</v>
      </c>
      <c r="U254" s="142">
        <f t="shared" si="40"/>
        <v>2.3074204946996466</v>
      </c>
      <c r="V254" s="142">
        <f t="shared" si="40"/>
        <v>0.93480791618160652</v>
      </c>
      <c r="W254" s="142">
        <f t="shared" si="40"/>
        <v>0.98032786885245904</v>
      </c>
      <c r="X254" s="142">
        <f t="shared" si="40"/>
        <v>0.88363636363636355</v>
      </c>
      <c r="Y254" s="142">
        <f t="shared" si="40"/>
        <v>0.98015873015873012</v>
      </c>
      <c r="Z254" s="142">
        <f t="shared" si="40"/>
        <v>0.76829268292682928</v>
      </c>
      <c r="AA254" s="69"/>
      <c r="AB254" s="87">
        <f>(AB249+AB250)/AB251</f>
        <v>1.0568906214171061</v>
      </c>
      <c r="AC254" s="88">
        <f>(AC249+AC250)/AC251</f>
        <v>1.0089333008143875</v>
      </c>
      <c r="AD254" s="84" t="e">
        <f>AD249/$AG$173</f>
        <v>#DIV/0!</v>
      </c>
      <c r="AE254" s="84" t="e">
        <f>AE249/$AG$173</f>
        <v>#DIV/0!</v>
      </c>
      <c r="AF254" s="84" t="e">
        <f>AF249/$AG$173</f>
        <v>#DIV/0!</v>
      </c>
      <c r="AG254" s="134" t="e">
        <f>AG249/$AG$173</f>
        <v>#DIV/0!</v>
      </c>
      <c r="AH254" s="418"/>
      <c r="AI254" s="418"/>
      <c r="AJ254" s="418"/>
      <c r="AK254" s="418"/>
    </row>
    <row r="255" spans="1:37" ht="23.25">
      <c r="A255" s="411" t="s">
        <v>270</v>
      </c>
      <c r="B255" s="89" t="s">
        <v>225</v>
      </c>
      <c r="C255" s="147">
        <v>8523</v>
      </c>
      <c r="D255" s="147">
        <v>36391</v>
      </c>
      <c r="E255" s="147">
        <v>3815</v>
      </c>
      <c r="F255" s="147">
        <v>19891</v>
      </c>
      <c r="G255" s="147">
        <v>1655</v>
      </c>
      <c r="H255" s="147">
        <v>4749</v>
      </c>
      <c r="I255" s="147">
        <v>2459</v>
      </c>
      <c r="J255" s="147"/>
      <c r="K255" s="147"/>
      <c r="L255" s="147">
        <v>33</v>
      </c>
      <c r="M255" s="147">
        <v>450</v>
      </c>
      <c r="N255" s="147">
        <v>2116</v>
      </c>
      <c r="O255" s="147">
        <v>150</v>
      </c>
      <c r="P255" s="85">
        <f>SUM(C255:O255)</f>
        <v>80232</v>
      </c>
      <c r="Q255" s="147">
        <v>1261</v>
      </c>
      <c r="R255" s="147">
        <v>2570</v>
      </c>
      <c r="S255" s="147">
        <v>1998</v>
      </c>
      <c r="T255" s="147">
        <v>3046</v>
      </c>
      <c r="U255" s="147">
        <v>2599</v>
      </c>
      <c r="V255" s="147">
        <v>795</v>
      </c>
      <c r="W255" s="147">
        <v>300</v>
      </c>
      <c r="X255" s="147">
        <v>734</v>
      </c>
      <c r="Y255" s="81">
        <v>250</v>
      </c>
      <c r="Z255" s="81">
        <v>127</v>
      </c>
      <c r="AA255" s="67"/>
      <c r="AB255" s="85">
        <f>SUM(Q255:AA255)</f>
        <v>13680</v>
      </c>
      <c r="AC255" s="86">
        <f>P255+AB255</f>
        <v>93912</v>
      </c>
      <c r="AD255" s="82">
        <v>18</v>
      </c>
      <c r="AE255" s="82">
        <v>3</v>
      </c>
      <c r="AF255" s="82">
        <v>0</v>
      </c>
      <c r="AG255" s="83">
        <f>SUM(AD255:AF255)</f>
        <v>21</v>
      </c>
      <c r="AH255" s="397">
        <v>2070</v>
      </c>
      <c r="AI255" s="397">
        <v>2289</v>
      </c>
      <c r="AJ255" s="397">
        <v>410</v>
      </c>
      <c r="AK255" s="397">
        <f>SUM(AH255:AJ260)</f>
        <v>4769</v>
      </c>
    </row>
    <row r="256" spans="1:37" ht="22.5">
      <c r="A256" s="412"/>
      <c r="B256" s="133" t="s">
        <v>226</v>
      </c>
      <c r="C256" s="147">
        <v>38.353499999999997</v>
      </c>
      <c r="D256" s="147">
        <v>163.75949999999997</v>
      </c>
      <c r="E256" s="147">
        <v>17.1675</v>
      </c>
      <c r="F256" s="147">
        <v>89.509499999999989</v>
      </c>
      <c r="G256" s="147">
        <v>0</v>
      </c>
      <c r="H256" s="147">
        <v>0</v>
      </c>
      <c r="I256" s="147">
        <v>0</v>
      </c>
      <c r="J256" s="147"/>
      <c r="K256" s="147"/>
      <c r="L256" s="147">
        <v>53</v>
      </c>
      <c r="M256" s="147">
        <v>2.0249999999999999</v>
      </c>
      <c r="N256" s="147">
        <v>9.5219999999999985</v>
      </c>
      <c r="O256" s="147">
        <v>0</v>
      </c>
      <c r="P256" s="85">
        <f>SUM(C256:O256)</f>
        <v>373.33699999999993</v>
      </c>
      <c r="Q256" s="147">
        <v>33.61</v>
      </c>
      <c r="R256" s="147">
        <v>0</v>
      </c>
      <c r="S256" s="147">
        <v>0</v>
      </c>
      <c r="T256" s="147">
        <v>30.46</v>
      </c>
      <c r="U256" s="147">
        <v>0</v>
      </c>
      <c r="V256" s="147">
        <v>0</v>
      </c>
      <c r="W256" s="147">
        <v>0</v>
      </c>
      <c r="X256" s="147">
        <v>146.80000000000001</v>
      </c>
      <c r="Y256" s="147">
        <v>0</v>
      </c>
      <c r="Z256" s="147">
        <v>0</v>
      </c>
      <c r="AA256" s="67"/>
      <c r="AB256" s="85">
        <f>SUM(Q256:AA256)</f>
        <v>210.87</v>
      </c>
      <c r="AC256" s="86">
        <f>P256+AB256</f>
        <v>584.20699999999988</v>
      </c>
      <c r="AD256" s="82"/>
      <c r="AE256" s="82"/>
      <c r="AF256" s="82"/>
      <c r="AG256" s="83"/>
      <c r="AH256" s="398"/>
      <c r="AI256" s="398"/>
      <c r="AJ256" s="398"/>
      <c r="AK256" s="398"/>
    </row>
    <row r="257" spans="1:37" ht="22.5">
      <c r="A257" s="412"/>
      <c r="B257" s="133" t="s">
        <v>227</v>
      </c>
      <c r="C257" s="141">
        <v>9252</v>
      </c>
      <c r="D257" s="141">
        <v>37456</v>
      </c>
      <c r="E257" s="141">
        <v>4675</v>
      </c>
      <c r="F257" s="141">
        <v>21619</v>
      </c>
      <c r="G257" s="141">
        <v>1710</v>
      </c>
      <c r="H257" s="141">
        <v>763</v>
      </c>
      <c r="I257" s="141">
        <v>2553</v>
      </c>
      <c r="J257" s="141"/>
      <c r="K257" s="141"/>
      <c r="L257" s="141">
        <v>102</v>
      </c>
      <c r="M257" s="141">
        <v>470</v>
      </c>
      <c r="N257" s="141">
        <v>2470</v>
      </c>
      <c r="O257" s="141">
        <v>151</v>
      </c>
      <c r="P257" s="85">
        <f>SUM(C257:O257)</f>
        <v>81221</v>
      </c>
      <c r="Q257" s="141">
        <v>1403</v>
      </c>
      <c r="R257" s="141">
        <v>2766</v>
      </c>
      <c r="S257" s="141">
        <v>2020</v>
      </c>
      <c r="T257" s="141">
        <v>3192</v>
      </c>
      <c r="U257" s="141">
        <v>1132</v>
      </c>
      <c r="V257" s="141">
        <v>859</v>
      </c>
      <c r="W257" s="141">
        <v>305</v>
      </c>
      <c r="X257" s="141">
        <v>990</v>
      </c>
      <c r="Y257" s="141">
        <v>252</v>
      </c>
      <c r="Z257" s="141">
        <v>164</v>
      </c>
      <c r="AA257" s="67"/>
      <c r="AB257" s="85">
        <f>SUM(Q257:AA257)</f>
        <v>13083</v>
      </c>
      <c r="AC257" s="86">
        <f>P257+AB257</f>
        <v>94304</v>
      </c>
      <c r="AD257" s="68"/>
      <c r="AE257" s="68"/>
      <c r="AF257" s="68"/>
      <c r="AG257" s="68"/>
      <c r="AH257" s="398"/>
      <c r="AI257" s="398"/>
      <c r="AJ257" s="398"/>
      <c r="AK257" s="398"/>
    </row>
    <row r="258" spans="1:37" ht="22.5">
      <c r="A258" s="412"/>
      <c r="B258" s="133" t="s">
        <v>228</v>
      </c>
      <c r="C258" s="400">
        <f>C255+D255+E255+F255+C256+D256+E256+F256</f>
        <v>68928.789999999994</v>
      </c>
      <c r="D258" s="414"/>
      <c r="E258" s="414"/>
      <c r="F258" s="415"/>
      <c r="G258" s="400">
        <f>G255+H255+I255+G256+H256+I256</f>
        <v>8863</v>
      </c>
      <c r="H258" s="414"/>
      <c r="I258" s="415"/>
      <c r="J258" s="268"/>
      <c r="K258" s="268"/>
      <c r="L258" s="400">
        <f>L255+M255+N255+L256+M256+N256</f>
        <v>2663.547</v>
      </c>
      <c r="M258" s="414"/>
      <c r="N258" s="415"/>
      <c r="O258" s="141"/>
      <c r="P258" s="85"/>
      <c r="Q258" s="400">
        <f>Q255+R255+S255+Q256+R256+S256</f>
        <v>5862.61</v>
      </c>
      <c r="R258" s="414"/>
      <c r="S258" s="415"/>
      <c r="T258" s="141"/>
      <c r="U258" s="141"/>
      <c r="V258" s="141"/>
      <c r="W258" s="141"/>
      <c r="X258" s="141"/>
      <c r="Y258" s="141"/>
      <c r="Z258" s="141"/>
      <c r="AA258" s="67"/>
      <c r="AB258" s="85"/>
      <c r="AC258" s="86"/>
      <c r="AD258" s="68"/>
      <c r="AE258" s="68"/>
      <c r="AF258" s="68"/>
      <c r="AG258" s="68"/>
      <c r="AH258" s="398"/>
      <c r="AI258" s="398"/>
      <c r="AJ258" s="398"/>
      <c r="AK258" s="398"/>
    </row>
    <row r="259" spans="1:37" ht="22.5">
      <c r="A259" s="412"/>
      <c r="B259" s="133" t="s">
        <v>229</v>
      </c>
      <c r="C259" s="400">
        <f>C257+D257+E257+F257</f>
        <v>73002</v>
      </c>
      <c r="D259" s="414"/>
      <c r="E259" s="414"/>
      <c r="F259" s="415"/>
      <c r="G259" s="400">
        <f>G257+H257+I257</f>
        <v>5026</v>
      </c>
      <c r="H259" s="414"/>
      <c r="I259" s="415"/>
      <c r="J259" s="268"/>
      <c r="K259" s="268"/>
      <c r="L259" s="400">
        <f>L257+M257+N257</f>
        <v>3042</v>
      </c>
      <c r="M259" s="414"/>
      <c r="N259" s="415"/>
      <c r="O259" s="141"/>
      <c r="P259" s="85"/>
      <c r="Q259" s="400">
        <f>Q257+R257+S257</f>
        <v>6189</v>
      </c>
      <c r="R259" s="414"/>
      <c r="S259" s="415"/>
      <c r="T259" s="141"/>
      <c r="U259" s="141"/>
      <c r="V259" s="141"/>
      <c r="W259" s="141"/>
      <c r="X259" s="141"/>
      <c r="Y259" s="141"/>
      <c r="Z259" s="141"/>
      <c r="AA259" s="67"/>
      <c r="AB259" s="85"/>
      <c r="AC259" s="86"/>
      <c r="AD259" s="68"/>
      <c r="AE259" s="68"/>
      <c r="AF259" s="68"/>
      <c r="AG259" s="68"/>
      <c r="AH259" s="398"/>
      <c r="AI259" s="398"/>
      <c r="AJ259" s="398"/>
      <c r="AK259" s="398"/>
    </row>
    <row r="260" spans="1:37" ht="22.5">
      <c r="A260" s="413"/>
      <c r="B260" s="93" t="s">
        <v>223</v>
      </c>
      <c r="C260" s="406">
        <f>C258/C259</f>
        <v>0.94420413139366033</v>
      </c>
      <c r="D260" s="409"/>
      <c r="E260" s="409"/>
      <c r="F260" s="410"/>
      <c r="G260" s="406">
        <f>G258/G259</f>
        <v>1.7634301631516116</v>
      </c>
      <c r="H260" s="409"/>
      <c r="I260" s="410"/>
      <c r="J260" s="267"/>
      <c r="K260" s="267"/>
      <c r="L260" s="406">
        <f>L258/L259</f>
        <v>0.87559072978303754</v>
      </c>
      <c r="M260" s="409"/>
      <c r="N260" s="410"/>
      <c r="O260" s="142">
        <f>(O255+O256)/O257</f>
        <v>0.99337748344370858</v>
      </c>
      <c r="P260" s="87">
        <f>(P255+P256)/P257</f>
        <v>0.99241990371948141</v>
      </c>
      <c r="Q260" s="406">
        <f>Q258/Q259</f>
        <v>0.94726288576506701</v>
      </c>
      <c r="R260" s="409"/>
      <c r="S260" s="410"/>
      <c r="T260" s="142">
        <f t="shared" ref="T260:Z260" si="41">(T255+T256)/T257</f>
        <v>0.96380325814536338</v>
      </c>
      <c r="U260" s="142">
        <f t="shared" si="41"/>
        <v>2.2959363957597172</v>
      </c>
      <c r="V260" s="142">
        <f t="shared" si="41"/>
        <v>0.92549476135040742</v>
      </c>
      <c r="W260" s="142">
        <f t="shared" si="41"/>
        <v>0.98360655737704916</v>
      </c>
      <c r="X260" s="142">
        <f t="shared" si="41"/>
        <v>0.88969696969696965</v>
      </c>
      <c r="Y260" s="142">
        <f t="shared" si="41"/>
        <v>0.99206349206349209</v>
      </c>
      <c r="Z260" s="142">
        <f t="shared" si="41"/>
        <v>0.77439024390243905</v>
      </c>
      <c r="AA260" s="69"/>
      <c r="AB260" s="87">
        <f>(AB255+AB256)/AB257</f>
        <v>1.0617495987158909</v>
      </c>
      <c r="AC260" s="88">
        <f>(AC255+AC256)/AC257</f>
        <v>1.0020381638106548</v>
      </c>
      <c r="AD260" s="84" t="e">
        <f>AD255/$AG$173</f>
        <v>#DIV/0!</v>
      </c>
      <c r="AE260" s="84" t="e">
        <f>AE255/$AG$173</f>
        <v>#DIV/0!</v>
      </c>
      <c r="AF260" s="84" t="e">
        <f>AF255/$AG$173</f>
        <v>#DIV/0!</v>
      </c>
      <c r="AG260" s="134" t="e">
        <f>AG255/$AG$173</f>
        <v>#DIV/0!</v>
      </c>
      <c r="AH260" s="399"/>
      <c r="AI260" s="399"/>
      <c r="AJ260" s="399"/>
      <c r="AK260" s="399"/>
    </row>
    <row r="261" spans="1:37" ht="23.25">
      <c r="A261" s="411" t="s">
        <v>342</v>
      </c>
      <c r="B261" s="89" t="s">
        <v>225</v>
      </c>
      <c r="C261" s="256">
        <v>8112</v>
      </c>
      <c r="D261" s="256">
        <v>33987</v>
      </c>
      <c r="E261" s="256">
        <v>3467</v>
      </c>
      <c r="F261" s="256">
        <v>18490</v>
      </c>
      <c r="G261" s="256">
        <v>1656</v>
      </c>
      <c r="H261" s="256">
        <v>4751</v>
      </c>
      <c r="I261" s="256">
        <v>2453</v>
      </c>
      <c r="J261" s="256"/>
      <c r="K261" s="256"/>
      <c r="L261" s="257">
        <v>36</v>
      </c>
      <c r="M261" s="256">
        <v>448</v>
      </c>
      <c r="N261" s="257">
        <v>2197</v>
      </c>
      <c r="O261" s="256">
        <v>150</v>
      </c>
      <c r="P261" s="258">
        <f>SUM(C261:O261)</f>
        <v>75747</v>
      </c>
      <c r="Q261" s="256">
        <v>1238</v>
      </c>
      <c r="R261" s="256">
        <v>2481</v>
      </c>
      <c r="S261" s="256">
        <v>1991</v>
      </c>
      <c r="T261" s="256">
        <v>3037</v>
      </c>
      <c r="U261" s="256">
        <v>2515</v>
      </c>
      <c r="V261" s="256">
        <v>739</v>
      </c>
      <c r="W261" s="256">
        <v>303</v>
      </c>
      <c r="X261" s="256">
        <v>735</v>
      </c>
      <c r="Y261" s="259">
        <v>247</v>
      </c>
      <c r="Z261" s="259">
        <v>127</v>
      </c>
      <c r="AA261" s="67"/>
      <c r="AB261" s="85">
        <f>SUM(Q261:AA261)</f>
        <v>13413</v>
      </c>
      <c r="AC261" s="86">
        <f>P261+AB261</f>
        <v>89160</v>
      </c>
      <c r="AD261" s="82">
        <v>18</v>
      </c>
      <c r="AE261" s="82">
        <v>3</v>
      </c>
      <c r="AF261" s="82">
        <v>0</v>
      </c>
      <c r="AG261" s="83">
        <f>SUM(AD261:AF261)</f>
        <v>21</v>
      </c>
      <c r="AH261" s="397">
        <v>1982</v>
      </c>
      <c r="AI261" s="397">
        <v>3313</v>
      </c>
      <c r="AJ261" s="397">
        <v>715</v>
      </c>
      <c r="AK261" s="397">
        <f>SUM(AH261:AJ266)</f>
        <v>6010</v>
      </c>
    </row>
    <row r="262" spans="1:37" ht="22.5">
      <c r="A262" s="412"/>
      <c r="B262" s="133" t="s">
        <v>226</v>
      </c>
      <c r="C262" s="147">
        <v>36.503999999999998</v>
      </c>
      <c r="D262" s="147">
        <v>152.94149999999999</v>
      </c>
      <c r="E262" s="147">
        <v>15.6015</v>
      </c>
      <c r="F262" s="147">
        <v>83.204999999999998</v>
      </c>
      <c r="G262" s="147">
        <v>0</v>
      </c>
      <c r="H262" s="147">
        <v>0</v>
      </c>
      <c r="I262" s="147">
        <v>0</v>
      </c>
      <c r="J262" s="147"/>
      <c r="K262" s="147"/>
      <c r="L262" s="147">
        <v>46</v>
      </c>
      <c r="M262" s="147">
        <v>2.016</v>
      </c>
      <c r="N262" s="147">
        <v>9.8864999999999998</v>
      </c>
      <c r="O262" s="147">
        <v>0</v>
      </c>
      <c r="P262" s="85">
        <v>346.15449999999998</v>
      </c>
      <c r="Q262" s="147">
        <v>33.380000000000003</v>
      </c>
      <c r="R262" s="147">
        <v>0</v>
      </c>
      <c r="S262" s="147">
        <v>0</v>
      </c>
      <c r="T262" s="147">
        <v>30.37</v>
      </c>
      <c r="U262" s="147">
        <v>0</v>
      </c>
      <c r="V262" s="147">
        <v>0</v>
      </c>
      <c r="W262" s="147">
        <v>0</v>
      </c>
      <c r="X262" s="147">
        <v>147</v>
      </c>
      <c r="Y262" s="147">
        <v>0</v>
      </c>
      <c r="Z262" s="147">
        <v>0</v>
      </c>
      <c r="AA262" s="67"/>
      <c r="AB262" s="85">
        <f>SUM(Q262:AA262)</f>
        <v>210.75</v>
      </c>
      <c r="AC262" s="86">
        <f>P262+AB262</f>
        <v>556.90449999999998</v>
      </c>
      <c r="AD262" s="82"/>
      <c r="AE262" s="82"/>
      <c r="AF262" s="82"/>
      <c r="AG262" s="83"/>
      <c r="AH262" s="398"/>
      <c r="AI262" s="398"/>
      <c r="AJ262" s="398"/>
      <c r="AK262" s="398"/>
    </row>
    <row r="263" spans="1:37" ht="22.5">
      <c r="A263" s="412"/>
      <c r="B263" s="133" t="s">
        <v>227</v>
      </c>
      <c r="C263" s="141">
        <v>9252</v>
      </c>
      <c r="D263" s="141">
        <v>37456</v>
      </c>
      <c r="E263" s="141">
        <v>4675</v>
      </c>
      <c r="F263" s="141">
        <v>21619</v>
      </c>
      <c r="G263" s="141">
        <v>1710</v>
      </c>
      <c r="H263" s="141">
        <v>763</v>
      </c>
      <c r="I263" s="141">
        <v>2553</v>
      </c>
      <c r="J263" s="141"/>
      <c r="K263" s="141"/>
      <c r="L263" s="141">
        <v>102</v>
      </c>
      <c r="M263" s="141">
        <v>470</v>
      </c>
      <c r="N263" s="141">
        <v>2470</v>
      </c>
      <c r="O263" s="141">
        <v>151</v>
      </c>
      <c r="P263" s="85">
        <f>SUM(C263:O263)</f>
        <v>81221</v>
      </c>
      <c r="Q263" s="141">
        <v>1403</v>
      </c>
      <c r="R263" s="141">
        <v>2766</v>
      </c>
      <c r="S263" s="141">
        <v>2020</v>
      </c>
      <c r="T263" s="141">
        <v>3192</v>
      </c>
      <c r="U263" s="141">
        <v>1132</v>
      </c>
      <c r="V263" s="141">
        <v>859</v>
      </c>
      <c r="W263" s="141">
        <v>305</v>
      </c>
      <c r="X263" s="141">
        <v>990</v>
      </c>
      <c r="Y263" s="141">
        <v>252</v>
      </c>
      <c r="Z263" s="141">
        <v>164</v>
      </c>
      <c r="AA263" s="67"/>
      <c r="AB263" s="85">
        <f>SUM(Q263:AA263)</f>
        <v>13083</v>
      </c>
      <c r="AC263" s="86">
        <f>P263+AB263</f>
        <v>94304</v>
      </c>
      <c r="AD263" s="68"/>
      <c r="AE263" s="68"/>
      <c r="AF263" s="68"/>
      <c r="AG263" s="68"/>
      <c r="AH263" s="398"/>
      <c r="AI263" s="398"/>
      <c r="AJ263" s="398"/>
      <c r="AK263" s="398"/>
    </row>
    <row r="264" spans="1:37" ht="22.5">
      <c r="A264" s="412"/>
      <c r="B264" s="133" t="s">
        <v>228</v>
      </c>
      <c r="C264" s="400">
        <f>C261+D261+E261+F261+C262+D262+E262+F262</f>
        <v>64344.252</v>
      </c>
      <c r="D264" s="414"/>
      <c r="E264" s="414"/>
      <c r="F264" s="415"/>
      <c r="G264" s="400">
        <f>G261+H261+I261+G262+H262+I262</f>
        <v>8860</v>
      </c>
      <c r="H264" s="414"/>
      <c r="I264" s="415"/>
      <c r="J264" s="268"/>
      <c r="K264" s="268"/>
      <c r="L264" s="400">
        <f>L261+M261+N261+L262+M262+N262</f>
        <v>2738.9025000000001</v>
      </c>
      <c r="M264" s="414"/>
      <c r="N264" s="415"/>
      <c r="O264" s="141"/>
      <c r="P264" s="85"/>
      <c r="Q264" s="400">
        <f>Q261+R261+S261+Q262+R262+S262</f>
        <v>5743.38</v>
      </c>
      <c r="R264" s="414"/>
      <c r="S264" s="415"/>
      <c r="T264" s="141"/>
      <c r="U264" s="141"/>
      <c r="V264" s="141"/>
      <c r="W264" s="141"/>
      <c r="X264" s="141"/>
      <c r="Y264" s="141"/>
      <c r="Z264" s="141"/>
      <c r="AA264" s="67"/>
      <c r="AB264" s="85"/>
      <c r="AC264" s="86"/>
      <c r="AD264" s="68"/>
      <c r="AE264" s="68"/>
      <c r="AF264" s="68"/>
      <c r="AG264" s="68"/>
      <c r="AH264" s="398"/>
      <c r="AI264" s="398"/>
      <c r="AJ264" s="398"/>
      <c r="AK264" s="398"/>
    </row>
    <row r="265" spans="1:37" ht="22.5">
      <c r="A265" s="412"/>
      <c r="B265" s="133" t="s">
        <v>229</v>
      </c>
      <c r="C265" s="400">
        <f>C263+D263+E263+F263</f>
        <v>73002</v>
      </c>
      <c r="D265" s="414"/>
      <c r="E265" s="414"/>
      <c r="F265" s="415"/>
      <c r="G265" s="400">
        <f>G263+H263+I263</f>
        <v>5026</v>
      </c>
      <c r="H265" s="414"/>
      <c r="I265" s="415"/>
      <c r="J265" s="268"/>
      <c r="K265" s="268"/>
      <c r="L265" s="400">
        <f>L263+M263+N263</f>
        <v>3042</v>
      </c>
      <c r="M265" s="414"/>
      <c r="N265" s="415"/>
      <c r="O265" s="141"/>
      <c r="P265" s="85"/>
      <c r="Q265" s="400">
        <f>Q263+R263+S263</f>
        <v>6189</v>
      </c>
      <c r="R265" s="414"/>
      <c r="S265" s="415"/>
      <c r="T265" s="141"/>
      <c r="U265" s="141"/>
      <c r="V265" s="141"/>
      <c r="W265" s="141"/>
      <c r="X265" s="141"/>
      <c r="Y265" s="141"/>
      <c r="Z265" s="141"/>
      <c r="AA265" s="67"/>
      <c r="AB265" s="85"/>
      <c r="AC265" s="86"/>
      <c r="AD265" s="68"/>
      <c r="AE265" s="68"/>
      <c r="AF265" s="68"/>
      <c r="AG265" s="68"/>
      <c r="AH265" s="398"/>
      <c r="AI265" s="398"/>
      <c r="AJ265" s="398"/>
      <c r="AK265" s="398"/>
    </row>
    <row r="266" spans="1:37" ht="22.5">
      <c r="A266" s="413"/>
      <c r="B266" s="93" t="s">
        <v>223</v>
      </c>
      <c r="C266" s="406">
        <f>C264/C265</f>
        <v>0.88140396153530043</v>
      </c>
      <c r="D266" s="409"/>
      <c r="E266" s="409"/>
      <c r="F266" s="410"/>
      <c r="G266" s="406">
        <f>G264/G265</f>
        <v>1.7628332670115401</v>
      </c>
      <c r="H266" s="409"/>
      <c r="I266" s="410"/>
      <c r="J266" s="267"/>
      <c r="K266" s="267"/>
      <c r="L266" s="406">
        <f>L264/L265</f>
        <v>0.90036242603550298</v>
      </c>
      <c r="M266" s="409"/>
      <c r="N266" s="410"/>
      <c r="O266" s="142">
        <f>(O261+O262)/O263</f>
        <v>0.99337748344370858</v>
      </c>
      <c r="P266" s="87">
        <f>(P261+P262)/P263</f>
        <v>0.93686552123219369</v>
      </c>
      <c r="Q266" s="406">
        <f>Q264/Q265</f>
        <v>0.92799806107610283</v>
      </c>
      <c r="R266" s="409"/>
      <c r="S266" s="410"/>
      <c r="T266" s="142">
        <f t="shared" ref="T266:Z266" si="42">(T261+T262)/T263</f>
        <v>0.96095551378446109</v>
      </c>
      <c r="U266" s="142">
        <f t="shared" si="42"/>
        <v>2.2217314487632507</v>
      </c>
      <c r="V266" s="142">
        <f t="shared" si="42"/>
        <v>0.86030267753201395</v>
      </c>
      <c r="W266" s="142">
        <f t="shared" si="42"/>
        <v>0.99344262295081964</v>
      </c>
      <c r="X266" s="142">
        <f t="shared" si="42"/>
        <v>0.89090909090909087</v>
      </c>
      <c r="Y266" s="142">
        <f t="shared" si="42"/>
        <v>0.98015873015873012</v>
      </c>
      <c r="Z266" s="142">
        <f t="shared" si="42"/>
        <v>0.77439024390243905</v>
      </c>
      <c r="AA266" s="69"/>
      <c r="AB266" s="87">
        <f>(AB261+AB262)/AB263</f>
        <v>1.0413322632423756</v>
      </c>
      <c r="AC266" s="88">
        <f>(AC261+AC262)/AC263</f>
        <v>0.95135842063963361</v>
      </c>
      <c r="AD266" s="84" t="e">
        <f>AD261/$AG$173</f>
        <v>#DIV/0!</v>
      </c>
      <c r="AE266" s="84" t="e">
        <f>AE261/$AG$173</f>
        <v>#DIV/0!</v>
      </c>
      <c r="AF266" s="84" t="e">
        <f>AF261/$AG$173</f>
        <v>#DIV/0!</v>
      </c>
      <c r="AG266" s="134" t="e">
        <f>AG261/$AG$173</f>
        <v>#DIV/0!</v>
      </c>
      <c r="AH266" s="399"/>
      <c r="AI266" s="399"/>
      <c r="AJ266" s="399"/>
      <c r="AK266" s="399"/>
    </row>
    <row r="267" spans="1:37" ht="23.25">
      <c r="A267" s="411" t="s">
        <v>343</v>
      </c>
      <c r="B267" s="89" t="s">
        <v>225</v>
      </c>
      <c r="C267" s="256">
        <v>7722</v>
      </c>
      <c r="D267" s="256">
        <v>34295</v>
      </c>
      <c r="E267" s="256">
        <v>2848</v>
      </c>
      <c r="F267" s="256">
        <v>17694</v>
      </c>
      <c r="G267" s="256">
        <v>1656</v>
      </c>
      <c r="H267" s="256">
        <v>4668</v>
      </c>
      <c r="I267" s="256">
        <v>2442</v>
      </c>
      <c r="J267" s="256"/>
      <c r="K267" s="256"/>
      <c r="L267" s="257">
        <v>35</v>
      </c>
      <c r="M267" s="256">
        <v>451</v>
      </c>
      <c r="N267" s="257">
        <v>2195</v>
      </c>
      <c r="O267" s="256">
        <v>150</v>
      </c>
      <c r="P267" s="258">
        <f>SUM(C267:O267)</f>
        <v>74156</v>
      </c>
      <c r="Q267" s="256">
        <v>1253</v>
      </c>
      <c r="R267" s="256">
        <v>2400</v>
      </c>
      <c r="S267" s="256">
        <v>1982</v>
      </c>
      <c r="T267" s="256">
        <v>3049</v>
      </c>
      <c r="U267" s="256">
        <v>2450</v>
      </c>
      <c r="V267" s="256">
        <v>748</v>
      </c>
      <c r="W267" s="256">
        <v>303</v>
      </c>
      <c r="X267" s="256">
        <v>736</v>
      </c>
      <c r="Y267" s="259">
        <v>245</v>
      </c>
      <c r="Z267" s="259">
        <v>127</v>
      </c>
      <c r="AA267" s="67"/>
      <c r="AB267" s="85">
        <f>SUM(Q267:AA267)</f>
        <v>13293</v>
      </c>
      <c r="AC267" s="86">
        <f>P267+AB267</f>
        <v>87449</v>
      </c>
      <c r="AD267" s="82">
        <v>16</v>
      </c>
      <c r="AE267" s="82">
        <v>4</v>
      </c>
      <c r="AF267" s="82">
        <v>1</v>
      </c>
      <c r="AG267" s="83">
        <f>SUM(AD267:AF267)</f>
        <v>21</v>
      </c>
      <c r="AH267" s="397">
        <v>2496</v>
      </c>
      <c r="AI267" s="397">
        <v>6723</v>
      </c>
      <c r="AJ267" s="397">
        <v>5390</v>
      </c>
      <c r="AK267" s="397">
        <f>SUM(AH267:AJ272)</f>
        <v>14609</v>
      </c>
    </row>
    <row r="268" spans="1:37" ht="22.5">
      <c r="A268" s="412"/>
      <c r="B268" s="133" t="s">
        <v>226</v>
      </c>
      <c r="C268" s="147">
        <v>34.748999999999995</v>
      </c>
      <c r="D268" s="147">
        <v>154.32749999999999</v>
      </c>
      <c r="E268" s="147">
        <v>12.815999999999999</v>
      </c>
      <c r="F268" s="147">
        <v>79.62299999999999</v>
      </c>
      <c r="G268" s="147">
        <v>0</v>
      </c>
      <c r="H268" s="147">
        <v>0</v>
      </c>
      <c r="I268" s="147">
        <v>0</v>
      </c>
      <c r="J268" s="147"/>
      <c r="K268" s="147"/>
      <c r="L268" s="147">
        <v>46</v>
      </c>
      <c r="M268" s="147">
        <v>2.0294999999999996</v>
      </c>
      <c r="N268" s="147">
        <v>9.8774999999999995</v>
      </c>
      <c r="O268" s="147">
        <v>0</v>
      </c>
      <c r="P268" s="85">
        <v>346.15449999999998</v>
      </c>
      <c r="Q268" s="147">
        <v>33.53</v>
      </c>
      <c r="R268" s="147">
        <v>0</v>
      </c>
      <c r="S268" s="147">
        <v>0</v>
      </c>
      <c r="T268" s="147">
        <v>30.490000000000002</v>
      </c>
      <c r="U268" s="147">
        <v>0</v>
      </c>
      <c r="V268" s="147">
        <v>0</v>
      </c>
      <c r="W268" s="147">
        <v>0</v>
      </c>
      <c r="X268" s="147">
        <v>147.20000000000002</v>
      </c>
      <c r="Y268" s="147">
        <v>0</v>
      </c>
      <c r="Z268" s="147">
        <v>0</v>
      </c>
      <c r="AA268" s="67"/>
      <c r="AB268" s="85">
        <f>SUM(Q268:AA268)</f>
        <v>211.22000000000003</v>
      </c>
      <c r="AC268" s="86">
        <f>P268+AB268</f>
        <v>557.37450000000001</v>
      </c>
      <c r="AD268" s="82"/>
      <c r="AE268" s="82"/>
      <c r="AF268" s="82"/>
      <c r="AG268" s="83"/>
      <c r="AH268" s="398"/>
      <c r="AI268" s="398"/>
      <c r="AJ268" s="398"/>
      <c r="AK268" s="398"/>
    </row>
    <row r="269" spans="1:37" ht="22.5">
      <c r="A269" s="412"/>
      <c r="B269" s="133" t="s">
        <v>227</v>
      </c>
      <c r="C269" s="141">
        <v>9252</v>
      </c>
      <c r="D269" s="141">
        <v>37456</v>
      </c>
      <c r="E269" s="141">
        <v>4675</v>
      </c>
      <c r="F269" s="141">
        <v>21619</v>
      </c>
      <c r="G269" s="141">
        <v>1710</v>
      </c>
      <c r="H269" s="141">
        <v>763</v>
      </c>
      <c r="I269" s="141">
        <v>2553</v>
      </c>
      <c r="J269" s="141"/>
      <c r="K269" s="141"/>
      <c r="L269" s="141">
        <v>102</v>
      </c>
      <c r="M269" s="141">
        <v>470</v>
      </c>
      <c r="N269" s="141">
        <v>2470</v>
      </c>
      <c r="O269" s="141">
        <v>151</v>
      </c>
      <c r="P269" s="85">
        <f>SUM(C269:O269)</f>
        <v>81221</v>
      </c>
      <c r="Q269" s="141">
        <v>1403</v>
      </c>
      <c r="R269" s="141">
        <v>2766</v>
      </c>
      <c r="S269" s="141">
        <v>2020</v>
      </c>
      <c r="T269" s="141">
        <v>3192</v>
      </c>
      <c r="U269" s="141">
        <v>1132</v>
      </c>
      <c r="V269" s="141">
        <v>859</v>
      </c>
      <c r="W269" s="141">
        <v>305</v>
      </c>
      <c r="X269" s="141">
        <v>990</v>
      </c>
      <c r="Y269" s="141">
        <v>252</v>
      </c>
      <c r="Z269" s="141">
        <v>164</v>
      </c>
      <c r="AA269" s="67"/>
      <c r="AB269" s="85">
        <f>SUM(Q269:AA269)</f>
        <v>13083</v>
      </c>
      <c r="AC269" s="86">
        <f>P269+AB269</f>
        <v>94304</v>
      </c>
      <c r="AD269" s="68"/>
      <c r="AE269" s="68"/>
      <c r="AF269" s="68"/>
      <c r="AG269" s="68"/>
      <c r="AH269" s="398"/>
      <c r="AI269" s="398"/>
      <c r="AJ269" s="398"/>
      <c r="AK269" s="398"/>
    </row>
    <row r="270" spans="1:37" ht="22.5">
      <c r="A270" s="412"/>
      <c r="B270" s="133" t="s">
        <v>228</v>
      </c>
      <c r="C270" s="400">
        <f>C267+D267+E267+F267+C268+D268+E268+F268</f>
        <v>62840.515500000001</v>
      </c>
      <c r="D270" s="414"/>
      <c r="E270" s="414"/>
      <c r="F270" s="415"/>
      <c r="G270" s="400">
        <f>G267+H267+I267+G268+H268+I268</f>
        <v>8766</v>
      </c>
      <c r="H270" s="414"/>
      <c r="I270" s="415"/>
      <c r="J270" s="268"/>
      <c r="K270" s="268"/>
      <c r="L270" s="400">
        <f>L267+M267+N267+L268+M268+N268</f>
        <v>2738.9070000000002</v>
      </c>
      <c r="M270" s="414"/>
      <c r="N270" s="415"/>
      <c r="O270" s="141"/>
      <c r="P270" s="85"/>
      <c r="Q270" s="400">
        <f>Q267+R267+S267+Q268+R268+S268</f>
        <v>5668.53</v>
      </c>
      <c r="R270" s="414"/>
      <c r="S270" s="415"/>
      <c r="T270" s="141"/>
      <c r="U270" s="141"/>
      <c r="V270" s="141"/>
      <c r="W270" s="141"/>
      <c r="X270" s="141"/>
      <c r="Y270" s="141"/>
      <c r="Z270" s="141"/>
      <c r="AA270" s="67"/>
      <c r="AB270" s="85"/>
      <c r="AC270" s="86"/>
      <c r="AD270" s="68"/>
      <c r="AE270" s="68"/>
      <c r="AF270" s="68"/>
      <c r="AG270" s="68"/>
      <c r="AH270" s="398"/>
      <c r="AI270" s="398"/>
      <c r="AJ270" s="398"/>
      <c r="AK270" s="398"/>
    </row>
    <row r="271" spans="1:37" ht="22.5">
      <c r="A271" s="412"/>
      <c r="B271" s="133" t="s">
        <v>229</v>
      </c>
      <c r="C271" s="400">
        <f>C269+D269+E269+F269</f>
        <v>73002</v>
      </c>
      <c r="D271" s="414"/>
      <c r="E271" s="414"/>
      <c r="F271" s="415"/>
      <c r="G271" s="400">
        <f>G269+H269+I269</f>
        <v>5026</v>
      </c>
      <c r="H271" s="414"/>
      <c r="I271" s="415"/>
      <c r="J271" s="268"/>
      <c r="K271" s="268"/>
      <c r="L271" s="400">
        <f>L269+M269+N269</f>
        <v>3042</v>
      </c>
      <c r="M271" s="414"/>
      <c r="N271" s="415"/>
      <c r="O271" s="141"/>
      <c r="P271" s="85"/>
      <c r="Q271" s="400">
        <f>Q269+R269+S269</f>
        <v>6189</v>
      </c>
      <c r="R271" s="414"/>
      <c r="S271" s="415"/>
      <c r="T271" s="141"/>
      <c r="U271" s="141"/>
      <c r="V271" s="141"/>
      <c r="W271" s="141"/>
      <c r="X271" s="141"/>
      <c r="Y271" s="141"/>
      <c r="Z271" s="141"/>
      <c r="AA271" s="67"/>
      <c r="AB271" s="85"/>
      <c r="AC271" s="86"/>
      <c r="AD271" s="68"/>
      <c r="AE271" s="68"/>
      <c r="AF271" s="68"/>
      <c r="AG271" s="68"/>
      <c r="AH271" s="398"/>
      <c r="AI271" s="398"/>
      <c r="AJ271" s="398"/>
      <c r="AK271" s="398"/>
    </row>
    <row r="272" spans="1:37" ht="22.5">
      <c r="A272" s="413"/>
      <c r="B272" s="93" t="s">
        <v>223</v>
      </c>
      <c r="C272" s="406">
        <f>C270/C271</f>
        <v>0.86080539574258241</v>
      </c>
      <c r="D272" s="409"/>
      <c r="E272" s="409"/>
      <c r="F272" s="410"/>
      <c r="G272" s="406">
        <f>G270/G271</f>
        <v>1.7441305212892957</v>
      </c>
      <c r="H272" s="409"/>
      <c r="I272" s="410"/>
      <c r="J272" s="267"/>
      <c r="K272" s="267"/>
      <c r="L272" s="406">
        <f>L270/L271</f>
        <v>0.90036390532544386</v>
      </c>
      <c r="M272" s="409"/>
      <c r="N272" s="410"/>
      <c r="O272" s="142">
        <f>(O267+O268)/O269</f>
        <v>0.99337748344370858</v>
      </c>
      <c r="P272" s="87">
        <f>(P267+P268)/P269</f>
        <v>0.91727699117223382</v>
      </c>
      <c r="Q272" s="406">
        <f>Q270/Q271</f>
        <v>0.91590402326708675</v>
      </c>
      <c r="R272" s="409"/>
      <c r="S272" s="410"/>
      <c r="T272" s="142">
        <f t="shared" ref="T272:Z272" si="43">(T267+T268)/T269</f>
        <v>0.96475250626566411</v>
      </c>
      <c r="U272" s="142">
        <f t="shared" si="43"/>
        <v>2.1643109540636041</v>
      </c>
      <c r="V272" s="142">
        <f t="shared" si="43"/>
        <v>0.87077997671711294</v>
      </c>
      <c r="W272" s="142">
        <f t="shared" si="43"/>
        <v>0.99344262295081964</v>
      </c>
      <c r="X272" s="142">
        <f t="shared" si="43"/>
        <v>0.8921212121212122</v>
      </c>
      <c r="Y272" s="142">
        <f t="shared" si="43"/>
        <v>0.97222222222222221</v>
      </c>
      <c r="Z272" s="142">
        <f t="shared" si="43"/>
        <v>0.77439024390243905</v>
      </c>
      <c r="AA272" s="69"/>
      <c r="AB272" s="87">
        <f>(AB267+AB268)/AB269</f>
        <v>1.0321959795154017</v>
      </c>
      <c r="AC272" s="88">
        <f>(AC267+AC268)/AC269</f>
        <v>0.93321995355446219</v>
      </c>
      <c r="AD272" s="84" t="e">
        <f>AD267/$AG$173</f>
        <v>#DIV/0!</v>
      </c>
      <c r="AE272" s="84" t="e">
        <f>AE267/$AG$173</f>
        <v>#DIV/0!</v>
      </c>
      <c r="AF272" s="84" t="e">
        <f>AF267/$AG$173</f>
        <v>#DIV/0!</v>
      </c>
      <c r="AG272" s="134" t="e">
        <f>AG267/$AG$173</f>
        <v>#DIV/0!</v>
      </c>
      <c r="AH272" s="399"/>
      <c r="AI272" s="399"/>
      <c r="AJ272" s="399"/>
      <c r="AK272" s="399"/>
    </row>
    <row r="273" spans="1:37" ht="23.25">
      <c r="A273" s="411" t="s">
        <v>345</v>
      </c>
      <c r="B273" s="89" t="s">
        <v>225</v>
      </c>
      <c r="C273" s="256">
        <v>8789</v>
      </c>
      <c r="D273" s="256">
        <v>35214</v>
      </c>
      <c r="E273" s="256">
        <v>1955</v>
      </c>
      <c r="F273" s="256">
        <v>8842</v>
      </c>
      <c r="G273" s="256">
        <v>1664</v>
      </c>
      <c r="H273" s="256">
        <v>4637</v>
      </c>
      <c r="I273" s="256">
        <v>2675</v>
      </c>
      <c r="J273" s="256"/>
      <c r="K273" s="256"/>
      <c r="L273" s="257">
        <v>33</v>
      </c>
      <c r="M273" s="256">
        <v>449</v>
      </c>
      <c r="N273" s="257">
        <v>2219</v>
      </c>
      <c r="O273" s="256">
        <v>150</v>
      </c>
      <c r="P273" s="258">
        <f>SUM(C273:O273)</f>
        <v>66627</v>
      </c>
      <c r="Q273" s="256">
        <v>1177</v>
      </c>
      <c r="R273" s="256">
        <v>2458</v>
      </c>
      <c r="S273" s="256">
        <v>1988</v>
      </c>
      <c r="T273" s="256">
        <v>3060</v>
      </c>
      <c r="U273" s="256">
        <v>2427</v>
      </c>
      <c r="V273" s="256">
        <v>766</v>
      </c>
      <c r="W273" s="256">
        <v>306</v>
      </c>
      <c r="X273" s="256">
        <v>739</v>
      </c>
      <c r="Y273" s="259">
        <v>249</v>
      </c>
      <c r="Z273" s="259">
        <v>127</v>
      </c>
      <c r="AA273" s="67"/>
      <c r="AB273" s="85">
        <f>SUM(Q273:AA273)</f>
        <v>13297</v>
      </c>
      <c r="AC273" s="86">
        <f>P273+AB273</f>
        <v>79924</v>
      </c>
      <c r="AD273" s="82">
        <v>17</v>
      </c>
      <c r="AE273" s="82">
        <v>2</v>
      </c>
      <c r="AF273" s="82">
        <v>2</v>
      </c>
      <c r="AG273" s="83">
        <f>SUM(AD273:AF273)</f>
        <v>21</v>
      </c>
      <c r="AH273" s="397">
        <v>3118</v>
      </c>
      <c r="AI273" s="397">
        <v>19384</v>
      </c>
      <c r="AJ273" s="397">
        <v>16010</v>
      </c>
      <c r="AK273" s="397">
        <f>SUM(AH273:AJ278)</f>
        <v>38512</v>
      </c>
    </row>
    <row r="274" spans="1:37" ht="22.5">
      <c r="A274" s="412"/>
      <c r="B274" s="133" t="s">
        <v>226</v>
      </c>
      <c r="C274" s="147">
        <v>39.5505</v>
      </c>
      <c r="D274" s="147">
        <v>158.46299999999999</v>
      </c>
      <c r="E274" s="147">
        <v>8.7974999999999994</v>
      </c>
      <c r="F274" s="147">
        <v>39.788999999999994</v>
      </c>
      <c r="G274" s="147">
        <v>0</v>
      </c>
      <c r="H274" s="147">
        <v>0</v>
      </c>
      <c r="I274" s="147">
        <v>0</v>
      </c>
      <c r="J274" s="147"/>
      <c r="K274" s="147"/>
      <c r="L274" s="147">
        <v>46</v>
      </c>
      <c r="M274" s="147">
        <v>2.0204999999999997</v>
      </c>
      <c r="N274" s="147">
        <v>9.9855</v>
      </c>
      <c r="O274" s="147">
        <v>0</v>
      </c>
      <c r="P274" s="85">
        <v>346.15449999999998</v>
      </c>
      <c r="Q274" s="147">
        <v>32.769999999999996</v>
      </c>
      <c r="R274" s="147">
        <v>0</v>
      </c>
      <c r="S274" s="147">
        <v>0</v>
      </c>
      <c r="T274" s="147">
        <v>30.6</v>
      </c>
      <c r="U274" s="147">
        <v>0</v>
      </c>
      <c r="V274" s="147">
        <v>0</v>
      </c>
      <c r="W274" s="147">
        <v>0</v>
      </c>
      <c r="X274" s="147">
        <v>147.80000000000001</v>
      </c>
      <c r="Y274" s="147">
        <v>0</v>
      </c>
      <c r="Z274" s="147">
        <v>0</v>
      </c>
      <c r="AA274" s="67"/>
      <c r="AB274" s="85">
        <f>SUM(Q274:AA274)</f>
        <v>211.17000000000002</v>
      </c>
      <c r="AC274" s="86">
        <f>P274+AB274</f>
        <v>557.32449999999994</v>
      </c>
      <c r="AD274" s="82"/>
      <c r="AE274" s="82"/>
      <c r="AF274" s="82"/>
      <c r="AG274" s="83"/>
      <c r="AH274" s="398"/>
      <c r="AI274" s="398"/>
      <c r="AJ274" s="398"/>
      <c r="AK274" s="398"/>
    </row>
    <row r="275" spans="1:37" ht="22.5">
      <c r="A275" s="412"/>
      <c r="B275" s="133" t="s">
        <v>227</v>
      </c>
      <c r="C275" s="141">
        <v>9252</v>
      </c>
      <c r="D275" s="141">
        <v>37456</v>
      </c>
      <c r="E275" s="141">
        <v>4675</v>
      </c>
      <c r="F275" s="141">
        <v>21619</v>
      </c>
      <c r="G275" s="141">
        <v>1710</v>
      </c>
      <c r="H275" s="141">
        <v>763</v>
      </c>
      <c r="I275" s="141">
        <v>2553</v>
      </c>
      <c r="J275" s="141"/>
      <c r="K275" s="141"/>
      <c r="L275" s="141">
        <v>102</v>
      </c>
      <c r="M275" s="141">
        <v>470</v>
      </c>
      <c r="N275" s="141">
        <v>2470</v>
      </c>
      <c r="O275" s="141">
        <v>151</v>
      </c>
      <c r="P275" s="85">
        <f>SUM(C275:O275)</f>
        <v>81221</v>
      </c>
      <c r="Q275" s="141">
        <v>1403</v>
      </c>
      <c r="R275" s="141">
        <v>2766</v>
      </c>
      <c r="S275" s="141">
        <v>2020</v>
      </c>
      <c r="T275" s="141">
        <v>3192</v>
      </c>
      <c r="U275" s="141">
        <v>1132</v>
      </c>
      <c r="V275" s="141">
        <v>859</v>
      </c>
      <c r="W275" s="141">
        <v>305</v>
      </c>
      <c r="X275" s="141">
        <v>990</v>
      </c>
      <c r="Y275" s="141">
        <v>252</v>
      </c>
      <c r="Z275" s="141">
        <v>164</v>
      </c>
      <c r="AA275" s="67"/>
      <c r="AB275" s="85">
        <f>SUM(Q275:AA275)</f>
        <v>13083</v>
      </c>
      <c r="AC275" s="86">
        <f>P275+AB275</f>
        <v>94304</v>
      </c>
      <c r="AD275" s="68"/>
      <c r="AE275" s="68"/>
      <c r="AF275" s="68"/>
      <c r="AG275" s="68"/>
      <c r="AH275" s="398"/>
      <c r="AI275" s="398"/>
      <c r="AJ275" s="398"/>
      <c r="AK275" s="398"/>
    </row>
    <row r="276" spans="1:37" ht="22.5">
      <c r="A276" s="412"/>
      <c r="B276" s="133" t="s">
        <v>228</v>
      </c>
      <c r="C276" s="400">
        <f>C273+D273+E273+F273+C274+D274+E274+F274</f>
        <v>55046.6</v>
      </c>
      <c r="D276" s="414"/>
      <c r="E276" s="414"/>
      <c r="F276" s="415"/>
      <c r="G276" s="400">
        <f>G273+H273+I273+G274+H274+I274</f>
        <v>8976</v>
      </c>
      <c r="H276" s="414"/>
      <c r="I276" s="415"/>
      <c r="J276" s="268"/>
      <c r="K276" s="268"/>
      <c r="L276" s="400">
        <f>L273+M273+N273+L274+M274+N274</f>
        <v>2759.0059999999999</v>
      </c>
      <c r="M276" s="414"/>
      <c r="N276" s="415"/>
      <c r="O276" s="141"/>
      <c r="P276" s="85"/>
      <c r="Q276" s="400">
        <f>Q273+R273+S273+Q274+R274+S274</f>
        <v>5655.77</v>
      </c>
      <c r="R276" s="414"/>
      <c r="S276" s="415"/>
      <c r="T276" s="141"/>
      <c r="U276" s="141"/>
      <c r="V276" s="141"/>
      <c r="W276" s="141"/>
      <c r="X276" s="141"/>
      <c r="Y276" s="141"/>
      <c r="Z276" s="141"/>
      <c r="AA276" s="67"/>
      <c r="AB276" s="85"/>
      <c r="AC276" s="86"/>
      <c r="AD276" s="68"/>
      <c r="AE276" s="68"/>
      <c r="AF276" s="68"/>
      <c r="AG276" s="68"/>
      <c r="AH276" s="398"/>
      <c r="AI276" s="398"/>
      <c r="AJ276" s="398"/>
      <c r="AK276" s="398"/>
    </row>
    <row r="277" spans="1:37" ht="22.5">
      <c r="A277" s="412"/>
      <c r="B277" s="133" t="s">
        <v>229</v>
      </c>
      <c r="C277" s="400">
        <f>C275+D275+E275+F275</f>
        <v>73002</v>
      </c>
      <c r="D277" s="414"/>
      <c r="E277" s="414"/>
      <c r="F277" s="415"/>
      <c r="G277" s="400">
        <f>G275+H275+I275</f>
        <v>5026</v>
      </c>
      <c r="H277" s="414"/>
      <c r="I277" s="415"/>
      <c r="J277" s="268"/>
      <c r="K277" s="268"/>
      <c r="L277" s="400">
        <f>L275+M275+N275</f>
        <v>3042</v>
      </c>
      <c r="M277" s="414"/>
      <c r="N277" s="415"/>
      <c r="O277" s="141"/>
      <c r="P277" s="85"/>
      <c r="Q277" s="400">
        <f>Q275+R275+S275</f>
        <v>6189</v>
      </c>
      <c r="R277" s="414"/>
      <c r="S277" s="415"/>
      <c r="T277" s="141"/>
      <c r="U277" s="141"/>
      <c r="V277" s="141"/>
      <c r="W277" s="141"/>
      <c r="X277" s="141"/>
      <c r="Y277" s="141"/>
      <c r="Z277" s="141"/>
      <c r="AA277" s="67"/>
      <c r="AB277" s="85"/>
      <c r="AC277" s="86"/>
      <c r="AD277" s="68"/>
      <c r="AE277" s="68"/>
      <c r="AF277" s="68"/>
      <c r="AG277" s="68"/>
      <c r="AH277" s="398"/>
      <c r="AI277" s="398"/>
      <c r="AJ277" s="398"/>
      <c r="AK277" s="398"/>
    </row>
    <row r="278" spans="1:37" ht="22.5">
      <c r="A278" s="413"/>
      <c r="B278" s="93" t="s">
        <v>223</v>
      </c>
      <c r="C278" s="406">
        <f>C276/C277</f>
        <v>0.75404235500397243</v>
      </c>
      <c r="D278" s="409"/>
      <c r="E278" s="409"/>
      <c r="F278" s="410"/>
      <c r="G278" s="406">
        <f>G276/G277</f>
        <v>1.7859132510943097</v>
      </c>
      <c r="H278" s="409"/>
      <c r="I278" s="410"/>
      <c r="J278" s="267"/>
      <c r="K278" s="267"/>
      <c r="L278" s="406">
        <f>L276/L277</f>
        <v>0.90697107166337931</v>
      </c>
      <c r="M278" s="409"/>
      <c r="N278" s="410"/>
      <c r="O278" s="142">
        <f>(O273+O274)/O275</f>
        <v>0.99337748344370858</v>
      </c>
      <c r="P278" s="87">
        <f>(P273+P274)/P275</f>
        <v>0.82457928983883488</v>
      </c>
      <c r="Q278" s="406">
        <f>Q276/Q277</f>
        <v>0.91384230085635809</v>
      </c>
      <c r="R278" s="409"/>
      <c r="S278" s="410"/>
      <c r="T278" s="142">
        <f t="shared" ref="T278:Z278" si="44">(T273+T274)/T275</f>
        <v>0.96823308270676689</v>
      </c>
      <c r="U278" s="142">
        <f t="shared" si="44"/>
        <v>2.1439929328621909</v>
      </c>
      <c r="V278" s="142">
        <f t="shared" si="44"/>
        <v>0.8917345750873108</v>
      </c>
      <c r="W278" s="142">
        <f t="shared" si="44"/>
        <v>1.0032786885245901</v>
      </c>
      <c r="X278" s="142">
        <f t="shared" si="44"/>
        <v>0.89575757575757575</v>
      </c>
      <c r="Y278" s="142">
        <f t="shared" si="44"/>
        <v>0.98809523809523814</v>
      </c>
      <c r="Z278" s="142">
        <f t="shared" si="44"/>
        <v>0.77439024390243905</v>
      </c>
      <c r="AA278" s="69"/>
      <c r="AB278" s="87">
        <f>(AB273+AB274)/AB275</f>
        <v>1.0324978980356188</v>
      </c>
      <c r="AC278" s="88">
        <f>(AC273+AC274)/AC275</f>
        <v>0.85342429271292841</v>
      </c>
      <c r="AD278" s="84" t="e">
        <f>AD273/$AG$173</f>
        <v>#DIV/0!</v>
      </c>
      <c r="AE278" s="84" t="e">
        <f>AE273/$AG$173</f>
        <v>#DIV/0!</v>
      </c>
      <c r="AF278" s="84" t="e">
        <f>AF273/$AG$173</f>
        <v>#DIV/0!</v>
      </c>
      <c r="AG278" s="134" t="e">
        <f>AG273/$AG$173</f>
        <v>#DIV/0!</v>
      </c>
      <c r="AH278" s="399"/>
      <c r="AI278" s="399"/>
      <c r="AJ278" s="399"/>
      <c r="AK278" s="399"/>
    </row>
    <row r="279" spans="1:37" ht="23.25">
      <c r="A279" s="411" t="s">
        <v>347</v>
      </c>
      <c r="B279" s="89" t="s">
        <v>225</v>
      </c>
      <c r="C279" s="256">
        <v>8860</v>
      </c>
      <c r="D279" s="256">
        <v>31840</v>
      </c>
      <c r="E279" s="256">
        <v>1038</v>
      </c>
      <c r="F279" s="256">
        <v>867</v>
      </c>
      <c r="G279" s="256">
        <v>1666</v>
      </c>
      <c r="H279" s="256">
        <v>4653</v>
      </c>
      <c r="I279" s="256">
        <v>2589</v>
      </c>
      <c r="J279" s="256"/>
      <c r="K279" s="256"/>
      <c r="L279" s="257">
        <v>38</v>
      </c>
      <c r="M279" s="256">
        <v>448</v>
      </c>
      <c r="N279" s="257">
        <v>2207</v>
      </c>
      <c r="O279" s="256">
        <v>150</v>
      </c>
      <c r="P279" s="258">
        <f>SUM(C279:O279)</f>
        <v>54356</v>
      </c>
      <c r="Q279" s="256">
        <v>1199</v>
      </c>
      <c r="R279" s="256">
        <v>2497</v>
      </c>
      <c r="S279" s="256">
        <v>1985</v>
      </c>
      <c r="T279" s="256">
        <v>3063</v>
      </c>
      <c r="U279" s="256">
        <v>2431</v>
      </c>
      <c r="V279" s="256">
        <v>775</v>
      </c>
      <c r="W279" s="256">
        <v>305</v>
      </c>
      <c r="X279" s="256">
        <v>743</v>
      </c>
      <c r="Y279" s="259">
        <v>249</v>
      </c>
      <c r="Z279" s="259">
        <v>128</v>
      </c>
      <c r="AA279" s="67"/>
      <c r="AB279" s="85">
        <f>SUM(Q279:AA279)</f>
        <v>13375</v>
      </c>
      <c r="AC279" s="86">
        <f>P279+AB279</f>
        <v>67731</v>
      </c>
      <c r="AD279" s="82">
        <v>17</v>
      </c>
      <c r="AE279" s="82">
        <v>2</v>
      </c>
      <c r="AF279" s="82">
        <v>2</v>
      </c>
      <c r="AG279" s="83">
        <f>SUM(AD279:AF279)</f>
        <v>21</v>
      </c>
      <c r="AH279" s="397">
        <v>3013</v>
      </c>
      <c r="AI279" s="397">
        <v>2650</v>
      </c>
      <c r="AJ279" s="397">
        <v>14675</v>
      </c>
      <c r="AK279" s="397">
        <f>SUM(AH279:AJ284)</f>
        <v>20338</v>
      </c>
    </row>
    <row r="280" spans="1:37" ht="22.5">
      <c r="A280" s="412"/>
      <c r="B280" s="133" t="s">
        <v>226</v>
      </c>
      <c r="C280" s="147">
        <v>39.869999999999997</v>
      </c>
      <c r="D280" s="147">
        <v>143.28</v>
      </c>
      <c r="E280" s="147">
        <v>4.6709999999999994</v>
      </c>
      <c r="F280" s="147">
        <v>3.9014999999999995</v>
      </c>
      <c r="G280" s="147">
        <v>0</v>
      </c>
      <c r="H280" s="147">
        <v>0</v>
      </c>
      <c r="I280" s="147">
        <v>0</v>
      </c>
      <c r="J280" s="147"/>
      <c r="K280" s="147"/>
      <c r="L280" s="147">
        <v>38</v>
      </c>
      <c r="M280" s="147">
        <v>2.016</v>
      </c>
      <c r="N280" s="147">
        <v>9.9314999999999998</v>
      </c>
      <c r="O280" s="147">
        <v>0</v>
      </c>
      <c r="P280" s="85">
        <f>SUM(C280:O280)</f>
        <v>241.67</v>
      </c>
      <c r="Q280" s="147">
        <v>32.99</v>
      </c>
      <c r="R280" s="147">
        <v>0</v>
      </c>
      <c r="S280" s="147">
        <v>0</v>
      </c>
      <c r="T280" s="147">
        <v>30.63</v>
      </c>
      <c r="U280" s="147">
        <v>0</v>
      </c>
      <c r="V280" s="147">
        <v>0</v>
      </c>
      <c r="W280" s="147">
        <v>0</v>
      </c>
      <c r="X280" s="147">
        <v>148.6</v>
      </c>
      <c r="Y280" s="147">
        <v>0</v>
      </c>
      <c r="Z280" s="147">
        <v>0</v>
      </c>
      <c r="AA280" s="67"/>
      <c r="AB280" s="85">
        <f>SUM(Q280:AA280)</f>
        <v>212.22</v>
      </c>
      <c r="AC280" s="86">
        <f>P280+AB280</f>
        <v>453.89</v>
      </c>
      <c r="AD280" s="82"/>
      <c r="AE280" s="82"/>
      <c r="AF280" s="82"/>
      <c r="AG280" s="83"/>
      <c r="AH280" s="398"/>
      <c r="AI280" s="398"/>
      <c r="AJ280" s="398"/>
      <c r="AK280" s="398"/>
    </row>
    <row r="281" spans="1:37" ht="22.5">
      <c r="A281" s="412"/>
      <c r="B281" s="133" t="s">
        <v>227</v>
      </c>
      <c r="C281" s="141">
        <v>9252</v>
      </c>
      <c r="D281" s="141">
        <v>37456</v>
      </c>
      <c r="E281" s="141">
        <v>4675</v>
      </c>
      <c r="F281" s="141">
        <v>21619</v>
      </c>
      <c r="G281" s="141">
        <v>1710</v>
      </c>
      <c r="H281" s="141">
        <v>763</v>
      </c>
      <c r="I281" s="141">
        <v>2553</v>
      </c>
      <c r="J281" s="141"/>
      <c r="K281" s="141"/>
      <c r="L281" s="141">
        <v>102</v>
      </c>
      <c r="M281" s="141">
        <v>470</v>
      </c>
      <c r="N281" s="141">
        <v>2470</v>
      </c>
      <c r="O281" s="141">
        <v>151</v>
      </c>
      <c r="P281" s="85">
        <f>SUM(C281:O281)</f>
        <v>81221</v>
      </c>
      <c r="Q281" s="141">
        <v>1403</v>
      </c>
      <c r="R281" s="141">
        <v>2766</v>
      </c>
      <c r="S281" s="141">
        <v>2020</v>
      </c>
      <c r="T281" s="141">
        <v>3192</v>
      </c>
      <c r="U281" s="141">
        <v>1132</v>
      </c>
      <c r="V281" s="141">
        <v>859</v>
      </c>
      <c r="W281" s="141">
        <v>305</v>
      </c>
      <c r="X281" s="141">
        <v>990</v>
      </c>
      <c r="Y281" s="141">
        <v>252</v>
      </c>
      <c r="Z281" s="141">
        <v>164</v>
      </c>
      <c r="AA281" s="67"/>
      <c r="AB281" s="85">
        <f>SUM(Q281:AA281)</f>
        <v>13083</v>
      </c>
      <c r="AC281" s="86">
        <f>P281+AB281</f>
        <v>94304</v>
      </c>
      <c r="AD281" s="68"/>
      <c r="AE281" s="68"/>
      <c r="AF281" s="68"/>
      <c r="AG281" s="68"/>
      <c r="AH281" s="398"/>
      <c r="AI281" s="398"/>
      <c r="AJ281" s="398"/>
      <c r="AK281" s="398"/>
    </row>
    <row r="282" spans="1:37" ht="22.5">
      <c r="A282" s="412"/>
      <c r="B282" s="133" t="s">
        <v>228</v>
      </c>
      <c r="C282" s="400">
        <f>C279+D279+E279+F279+C280+D280+E280+F280</f>
        <v>42796.722500000003</v>
      </c>
      <c r="D282" s="414"/>
      <c r="E282" s="414"/>
      <c r="F282" s="415"/>
      <c r="G282" s="400">
        <f>G279+H279+I279+G280+H280+I280</f>
        <v>8908</v>
      </c>
      <c r="H282" s="414"/>
      <c r="I282" s="415"/>
      <c r="J282" s="268"/>
      <c r="K282" s="268"/>
      <c r="L282" s="400">
        <f>L279+M279+N279+L280+M280+N280</f>
        <v>2742.9475000000002</v>
      </c>
      <c r="M282" s="414"/>
      <c r="N282" s="415"/>
      <c r="O282" s="141"/>
      <c r="P282" s="85"/>
      <c r="Q282" s="400">
        <f>Q279+R279+S279+Q280+R280+S280</f>
        <v>5713.99</v>
      </c>
      <c r="R282" s="414"/>
      <c r="S282" s="415"/>
      <c r="T282" s="141"/>
      <c r="U282" s="141"/>
      <c r="V282" s="141"/>
      <c r="W282" s="141"/>
      <c r="X282" s="141"/>
      <c r="Y282" s="141"/>
      <c r="Z282" s="141"/>
      <c r="AA282" s="67"/>
      <c r="AB282" s="85"/>
      <c r="AC282" s="86"/>
      <c r="AD282" s="68"/>
      <c r="AE282" s="68"/>
      <c r="AF282" s="68"/>
      <c r="AG282" s="68"/>
      <c r="AH282" s="398"/>
      <c r="AI282" s="398"/>
      <c r="AJ282" s="398"/>
      <c r="AK282" s="398"/>
    </row>
    <row r="283" spans="1:37" ht="22.5">
      <c r="A283" s="412"/>
      <c r="B283" s="133" t="s">
        <v>229</v>
      </c>
      <c r="C283" s="400">
        <f>C281+D281+E281+F281</f>
        <v>73002</v>
      </c>
      <c r="D283" s="414"/>
      <c r="E283" s="414"/>
      <c r="F283" s="415"/>
      <c r="G283" s="400">
        <f>G281+H281+I281</f>
        <v>5026</v>
      </c>
      <c r="H283" s="414"/>
      <c r="I283" s="415"/>
      <c r="J283" s="268"/>
      <c r="K283" s="268"/>
      <c r="L283" s="400">
        <f>L281+M281+N281</f>
        <v>3042</v>
      </c>
      <c r="M283" s="414"/>
      <c r="N283" s="415"/>
      <c r="O283" s="141"/>
      <c r="P283" s="85"/>
      <c r="Q283" s="400">
        <f>Q281+R281+S281</f>
        <v>6189</v>
      </c>
      <c r="R283" s="414"/>
      <c r="S283" s="415"/>
      <c r="T283" s="141"/>
      <c r="U283" s="141"/>
      <c r="V283" s="141"/>
      <c r="W283" s="141"/>
      <c r="X283" s="141"/>
      <c r="Y283" s="141"/>
      <c r="Z283" s="141"/>
      <c r="AA283" s="67"/>
      <c r="AB283" s="85"/>
      <c r="AC283" s="86"/>
      <c r="AD283" s="68"/>
      <c r="AE283" s="68"/>
      <c r="AF283" s="68"/>
      <c r="AG283" s="68"/>
      <c r="AH283" s="398"/>
      <c r="AI283" s="398"/>
      <c r="AJ283" s="398"/>
      <c r="AK283" s="398"/>
    </row>
    <row r="284" spans="1:37" ht="22.5">
      <c r="A284" s="413"/>
      <c r="B284" s="93" t="s">
        <v>223</v>
      </c>
      <c r="C284" s="406">
        <f>C282/C283</f>
        <v>0.58624041122161041</v>
      </c>
      <c r="D284" s="409"/>
      <c r="E284" s="409"/>
      <c r="F284" s="410"/>
      <c r="G284" s="406">
        <f>G282/G283</f>
        <v>1.772383605252686</v>
      </c>
      <c r="H284" s="409"/>
      <c r="I284" s="410"/>
      <c r="J284" s="267"/>
      <c r="K284" s="267"/>
      <c r="L284" s="406">
        <f>L282/L283</f>
        <v>0.90169214332675873</v>
      </c>
      <c r="M284" s="409"/>
      <c r="N284" s="410"/>
      <c r="O284" s="142">
        <f>(O279+O280)/O281</f>
        <v>0.99337748344370858</v>
      </c>
      <c r="P284" s="87">
        <f>(P279+P280)/P281</f>
        <v>0.67221125078489552</v>
      </c>
      <c r="Q284" s="406">
        <f>Q282/Q283</f>
        <v>0.92324931329778637</v>
      </c>
      <c r="R284" s="409"/>
      <c r="S284" s="410"/>
      <c r="T284" s="142">
        <f t="shared" ref="T284:Z284" si="45">(T279+T280)/T281</f>
        <v>0.96918233082706773</v>
      </c>
      <c r="U284" s="142">
        <f t="shared" si="45"/>
        <v>2.1475265017667846</v>
      </c>
      <c r="V284" s="142">
        <f t="shared" si="45"/>
        <v>0.90221187427240979</v>
      </c>
      <c r="W284" s="142">
        <f t="shared" si="45"/>
        <v>1</v>
      </c>
      <c r="X284" s="142">
        <f t="shared" si="45"/>
        <v>0.90060606060606063</v>
      </c>
      <c r="Y284" s="142">
        <f t="shared" si="45"/>
        <v>0.98809523809523814</v>
      </c>
      <c r="Z284" s="142">
        <f t="shared" si="45"/>
        <v>0.78048780487804881</v>
      </c>
      <c r="AA284" s="69"/>
      <c r="AB284" s="87">
        <f>(AB279+AB280)/AB281</f>
        <v>1.0385400901933808</v>
      </c>
      <c r="AC284" s="88">
        <f>(AC279+AC280)/AC281</f>
        <v>0.7230328512046148</v>
      </c>
      <c r="AD284" s="84" t="e">
        <f>AD279/$AG$173</f>
        <v>#DIV/0!</v>
      </c>
      <c r="AE284" s="84" t="e">
        <f>AE279/$AG$173</f>
        <v>#DIV/0!</v>
      </c>
      <c r="AF284" s="84" t="e">
        <f>AF279/$AG$173</f>
        <v>#DIV/0!</v>
      </c>
      <c r="AG284" s="134" t="e">
        <f>AG279/$AG$173</f>
        <v>#DIV/0!</v>
      </c>
      <c r="AH284" s="399"/>
      <c r="AI284" s="399"/>
      <c r="AJ284" s="399"/>
      <c r="AK284" s="399"/>
    </row>
    <row r="285" spans="1:37" ht="23.25">
      <c r="A285" s="411" t="s">
        <v>349</v>
      </c>
      <c r="B285" s="89" t="s">
        <v>225</v>
      </c>
      <c r="C285" s="256">
        <v>7891</v>
      </c>
      <c r="D285" s="256">
        <v>25620</v>
      </c>
      <c r="E285" s="256">
        <v>794</v>
      </c>
      <c r="F285" s="256">
        <v>860</v>
      </c>
      <c r="G285" s="256">
        <v>1654</v>
      </c>
      <c r="H285" s="256">
        <v>4601</v>
      </c>
      <c r="I285" s="256">
        <v>2390</v>
      </c>
      <c r="J285" s="256"/>
      <c r="K285" s="256"/>
      <c r="L285" s="257">
        <v>35</v>
      </c>
      <c r="M285" s="256">
        <v>318</v>
      </c>
      <c r="N285" s="257">
        <v>2147</v>
      </c>
      <c r="O285" s="256">
        <v>150</v>
      </c>
      <c r="P285" s="258">
        <v>46460</v>
      </c>
      <c r="Q285" s="256">
        <v>1272</v>
      </c>
      <c r="R285" s="256">
        <v>2484</v>
      </c>
      <c r="S285" s="256">
        <v>1982</v>
      </c>
      <c r="T285" s="256">
        <v>3056</v>
      </c>
      <c r="U285" s="256">
        <v>2394</v>
      </c>
      <c r="V285" s="256">
        <v>778</v>
      </c>
      <c r="W285" s="256">
        <v>310</v>
      </c>
      <c r="X285" s="256">
        <v>747</v>
      </c>
      <c r="Y285" s="259">
        <v>249</v>
      </c>
      <c r="Z285" s="259">
        <v>128</v>
      </c>
      <c r="AA285" s="67"/>
      <c r="AB285" s="85">
        <f>SUM(Q285:AA285)</f>
        <v>13400</v>
      </c>
      <c r="AC285" s="86">
        <f>P285+AB285</f>
        <v>59860</v>
      </c>
      <c r="AD285" s="82">
        <v>15</v>
      </c>
      <c r="AE285" s="82">
        <v>1</v>
      </c>
      <c r="AF285" s="82">
        <v>5</v>
      </c>
      <c r="AG285" s="83">
        <f>SUM(AD285:AF285)</f>
        <v>21</v>
      </c>
      <c r="AH285" s="397">
        <v>2374</v>
      </c>
      <c r="AI285" s="397">
        <v>2954</v>
      </c>
      <c r="AJ285" s="397">
        <v>8734</v>
      </c>
      <c r="AK285" s="397">
        <f>SUM(AH285:AJ290)</f>
        <v>14062</v>
      </c>
    </row>
    <row r="286" spans="1:37" ht="22.5">
      <c r="A286" s="412"/>
      <c r="B286" s="133" t="s">
        <v>226</v>
      </c>
      <c r="C286" s="147">
        <v>35.509499999999996</v>
      </c>
      <c r="D286" s="147">
        <v>115.28999999999999</v>
      </c>
      <c r="E286" s="147">
        <v>3.5729999999999995</v>
      </c>
      <c r="F286" s="147">
        <v>3.8699999999999997</v>
      </c>
      <c r="G286" s="147">
        <v>0</v>
      </c>
      <c r="H286" s="147">
        <v>0</v>
      </c>
      <c r="I286" s="147">
        <v>0</v>
      </c>
      <c r="J286" s="147"/>
      <c r="K286" s="147"/>
      <c r="L286" s="147">
        <v>33</v>
      </c>
      <c r="M286" s="147">
        <v>1.4309999999999998</v>
      </c>
      <c r="N286" s="147">
        <v>9.6614999999999984</v>
      </c>
      <c r="O286" s="147">
        <v>0</v>
      </c>
      <c r="P286" s="85">
        <v>202.33500000000001</v>
      </c>
      <c r="Q286" s="147">
        <v>33.72</v>
      </c>
      <c r="R286" s="147">
        <v>0</v>
      </c>
      <c r="S286" s="147">
        <v>0</v>
      </c>
      <c r="T286" s="147">
        <v>30.560000000000002</v>
      </c>
      <c r="U286" s="147">
        <v>0</v>
      </c>
      <c r="V286" s="147">
        <v>0</v>
      </c>
      <c r="W286" s="147">
        <v>0</v>
      </c>
      <c r="X286" s="147">
        <v>149.4</v>
      </c>
      <c r="Y286" s="147">
        <v>0</v>
      </c>
      <c r="Z286" s="147">
        <v>0</v>
      </c>
      <c r="AA286" s="67"/>
      <c r="AB286" s="85">
        <f>SUM(Q286:AA286)</f>
        <v>213.68</v>
      </c>
      <c r="AC286" s="86">
        <f>P286+AB286</f>
        <v>416.01499999999999</v>
      </c>
      <c r="AD286" s="82"/>
      <c r="AE286" s="82"/>
      <c r="AF286" s="82"/>
      <c r="AG286" s="83"/>
      <c r="AH286" s="398"/>
      <c r="AI286" s="398"/>
      <c r="AJ286" s="398"/>
      <c r="AK286" s="398"/>
    </row>
    <row r="287" spans="1:37" ht="22.5">
      <c r="A287" s="412"/>
      <c r="B287" s="133" t="s">
        <v>227</v>
      </c>
      <c r="C287" s="141">
        <v>9252</v>
      </c>
      <c r="D287" s="141">
        <v>37456</v>
      </c>
      <c r="E287" s="141">
        <v>4675</v>
      </c>
      <c r="F287" s="141">
        <v>21619</v>
      </c>
      <c r="G287" s="141">
        <v>1710</v>
      </c>
      <c r="H287" s="141">
        <v>763</v>
      </c>
      <c r="I287" s="141">
        <v>2553</v>
      </c>
      <c r="J287" s="141"/>
      <c r="K287" s="141"/>
      <c r="L287" s="141">
        <v>102</v>
      </c>
      <c r="M287" s="141">
        <v>470</v>
      </c>
      <c r="N287" s="141">
        <v>2470</v>
      </c>
      <c r="O287" s="141">
        <v>151</v>
      </c>
      <c r="P287" s="85">
        <v>81221</v>
      </c>
      <c r="Q287" s="141">
        <v>1403</v>
      </c>
      <c r="R287" s="141">
        <v>2766</v>
      </c>
      <c r="S287" s="141">
        <v>2020</v>
      </c>
      <c r="T287" s="141">
        <v>3192</v>
      </c>
      <c r="U287" s="141">
        <v>1132</v>
      </c>
      <c r="V287" s="141">
        <v>859</v>
      </c>
      <c r="W287" s="141">
        <v>305</v>
      </c>
      <c r="X287" s="141">
        <v>990</v>
      </c>
      <c r="Y287" s="141">
        <v>252</v>
      </c>
      <c r="Z287" s="141">
        <v>164</v>
      </c>
      <c r="AA287" s="67"/>
      <c r="AB287" s="85">
        <f>SUM(Q287:AA287)</f>
        <v>13083</v>
      </c>
      <c r="AC287" s="86">
        <f>P287+AB287</f>
        <v>94304</v>
      </c>
      <c r="AD287" s="68"/>
      <c r="AE287" s="68"/>
      <c r="AF287" s="68"/>
      <c r="AG287" s="68"/>
      <c r="AH287" s="398"/>
      <c r="AI287" s="398"/>
      <c r="AJ287" s="398"/>
      <c r="AK287" s="398"/>
    </row>
    <row r="288" spans="1:37" ht="22.5">
      <c r="A288" s="412"/>
      <c r="B288" s="133" t="s">
        <v>228</v>
      </c>
      <c r="C288" s="400">
        <f>C285+D285+E285+F285+C286+D286+E286+F286</f>
        <v>35323.2425</v>
      </c>
      <c r="D288" s="414"/>
      <c r="E288" s="414"/>
      <c r="F288" s="415"/>
      <c r="G288" s="400">
        <f>G285+H285+I285+G286+H286+I286</f>
        <v>8645</v>
      </c>
      <c r="H288" s="414"/>
      <c r="I288" s="415"/>
      <c r="J288" s="268"/>
      <c r="K288" s="268"/>
      <c r="L288" s="400">
        <f>L285+M285+N285+L286+M286+N286</f>
        <v>2544.0925000000002</v>
      </c>
      <c r="M288" s="414"/>
      <c r="N288" s="415"/>
      <c r="O288" s="141"/>
      <c r="P288" s="85"/>
      <c r="Q288" s="400">
        <f>Q285+R285+S285+Q286+R286+S286</f>
        <v>5771.72</v>
      </c>
      <c r="R288" s="414"/>
      <c r="S288" s="415"/>
      <c r="T288" s="141"/>
      <c r="U288" s="141"/>
      <c r="V288" s="141"/>
      <c r="W288" s="141"/>
      <c r="X288" s="141"/>
      <c r="Y288" s="141"/>
      <c r="Z288" s="141"/>
      <c r="AA288" s="67"/>
      <c r="AB288" s="85"/>
      <c r="AC288" s="86"/>
      <c r="AD288" s="68"/>
      <c r="AE288" s="68"/>
      <c r="AF288" s="68"/>
      <c r="AG288" s="68"/>
      <c r="AH288" s="398"/>
      <c r="AI288" s="398"/>
      <c r="AJ288" s="398"/>
      <c r="AK288" s="398"/>
    </row>
    <row r="289" spans="1:37" ht="22.5">
      <c r="A289" s="412"/>
      <c r="B289" s="133" t="s">
        <v>229</v>
      </c>
      <c r="C289" s="400">
        <f>C287+D287+E287+F287</f>
        <v>73002</v>
      </c>
      <c r="D289" s="414"/>
      <c r="E289" s="414"/>
      <c r="F289" s="415"/>
      <c r="G289" s="400">
        <f>G287+H287+I287</f>
        <v>5026</v>
      </c>
      <c r="H289" s="414"/>
      <c r="I289" s="415"/>
      <c r="J289" s="268"/>
      <c r="K289" s="268"/>
      <c r="L289" s="400">
        <f>L287+M287+N287</f>
        <v>3042</v>
      </c>
      <c r="M289" s="414"/>
      <c r="N289" s="415"/>
      <c r="O289" s="141"/>
      <c r="P289" s="85"/>
      <c r="Q289" s="400">
        <f>Q287+R287+S287</f>
        <v>6189</v>
      </c>
      <c r="R289" s="414"/>
      <c r="S289" s="415"/>
      <c r="T289" s="141"/>
      <c r="U289" s="141"/>
      <c r="V289" s="141"/>
      <c r="W289" s="141"/>
      <c r="X289" s="141"/>
      <c r="Y289" s="141"/>
      <c r="Z289" s="141"/>
      <c r="AA289" s="67"/>
      <c r="AB289" s="85"/>
      <c r="AC289" s="86"/>
      <c r="AD289" s="68"/>
      <c r="AE289" s="68"/>
      <c r="AF289" s="68"/>
      <c r="AG289" s="68"/>
      <c r="AH289" s="398"/>
      <c r="AI289" s="398"/>
      <c r="AJ289" s="398"/>
      <c r="AK289" s="398"/>
    </row>
    <row r="290" spans="1:37" ht="22.5">
      <c r="A290" s="413"/>
      <c r="B290" s="93" t="s">
        <v>223</v>
      </c>
      <c r="C290" s="406">
        <f>C288/C289</f>
        <v>0.48386677762253089</v>
      </c>
      <c r="D290" s="409"/>
      <c r="E290" s="409"/>
      <c r="F290" s="410"/>
      <c r="G290" s="406">
        <f>G288/G289</f>
        <v>1.7200557103064067</v>
      </c>
      <c r="H290" s="409"/>
      <c r="I290" s="410"/>
      <c r="J290" s="267"/>
      <c r="K290" s="267"/>
      <c r="L290" s="406">
        <f>L288/L289</f>
        <v>0.83632232084155167</v>
      </c>
      <c r="M290" s="409"/>
      <c r="N290" s="410"/>
      <c r="O290" s="142">
        <f>(O285+O286)/O287</f>
        <v>0.99337748344370858</v>
      </c>
      <c r="P290" s="87">
        <f>(P285+P286)/P287</f>
        <v>0.57451071767153816</v>
      </c>
      <c r="Q290" s="406">
        <f>Q288/Q289</f>
        <v>0.93257715301341093</v>
      </c>
      <c r="R290" s="409"/>
      <c r="S290" s="410"/>
      <c r="T290" s="142">
        <f t="shared" ref="T290:Z290" si="46">(T285+T286)/T287</f>
        <v>0.96696741854636592</v>
      </c>
      <c r="U290" s="142">
        <f t="shared" si="46"/>
        <v>2.1148409893992932</v>
      </c>
      <c r="V290" s="142">
        <f t="shared" si="46"/>
        <v>0.90570430733410945</v>
      </c>
      <c r="W290" s="142">
        <f t="shared" si="46"/>
        <v>1.0163934426229508</v>
      </c>
      <c r="X290" s="142">
        <f t="shared" si="46"/>
        <v>0.9054545454545454</v>
      </c>
      <c r="Y290" s="142">
        <f t="shared" si="46"/>
        <v>0.98809523809523814</v>
      </c>
      <c r="Z290" s="142">
        <f t="shared" si="46"/>
        <v>0.78048780487804881</v>
      </c>
      <c r="AA290" s="69"/>
      <c r="AB290" s="87">
        <f>(AB285+AB286)/AB287</f>
        <v>1.0405625621034931</v>
      </c>
      <c r="AC290" s="88">
        <f>(AC285+AC286)/AC287</f>
        <v>0.63916710850016967</v>
      </c>
      <c r="AD290" s="84" t="e">
        <f>AD285/$AG$173</f>
        <v>#DIV/0!</v>
      </c>
      <c r="AE290" s="84" t="e">
        <f>AE285/$AG$173</f>
        <v>#DIV/0!</v>
      </c>
      <c r="AF290" s="84" t="e">
        <f>AF285/$AG$173</f>
        <v>#DIV/0!</v>
      </c>
      <c r="AG290" s="134" t="e">
        <f>AG285/$AG$173</f>
        <v>#DIV/0!</v>
      </c>
      <c r="AH290" s="399"/>
      <c r="AI290" s="399"/>
      <c r="AJ290" s="399"/>
      <c r="AK290" s="399"/>
    </row>
    <row r="291" spans="1:37" ht="36" customHeight="1">
      <c r="A291" s="396" t="s">
        <v>353</v>
      </c>
      <c r="B291" s="89" t="s">
        <v>225</v>
      </c>
      <c r="C291" s="256">
        <v>8100</v>
      </c>
      <c r="D291" s="256">
        <v>26740</v>
      </c>
      <c r="E291" s="256">
        <v>849</v>
      </c>
      <c r="F291" s="256">
        <v>872</v>
      </c>
      <c r="G291" s="256">
        <v>1659</v>
      </c>
      <c r="H291" s="256">
        <v>4492</v>
      </c>
      <c r="I291" s="256">
        <v>2395</v>
      </c>
      <c r="J291" s="269">
        <v>9369</v>
      </c>
      <c r="K291" s="269">
        <v>20931</v>
      </c>
      <c r="L291" s="257">
        <v>43</v>
      </c>
      <c r="M291" s="256">
        <v>318</v>
      </c>
      <c r="N291" s="257">
        <v>2282</v>
      </c>
      <c r="O291" s="256">
        <v>151</v>
      </c>
      <c r="P291" s="270">
        <f>SUM(C291:O291)</f>
        <v>78201</v>
      </c>
      <c r="Q291" s="256">
        <v>1252</v>
      </c>
      <c r="R291" s="256">
        <v>2526</v>
      </c>
      <c r="S291" s="256">
        <v>1984</v>
      </c>
      <c r="T291" s="256">
        <v>3037</v>
      </c>
      <c r="U291" s="256">
        <v>2362</v>
      </c>
      <c r="V291" s="256">
        <v>779</v>
      </c>
      <c r="W291" s="256">
        <v>316</v>
      </c>
      <c r="X291" s="256">
        <v>749</v>
      </c>
      <c r="Y291" s="259">
        <v>252</v>
      </c>
      <c r="Z291" s="259">
        <v>128</v>
      </c>
      <c r="AA291" s="67"/>
      <c r="AB291" s="85">
        <f>SUM(Q291:AA291)</f>
        <v>13385</v>
      </c>
      <c r="AC291" s="86">
        <f>P291+AB291</f>
        <v>91586</v>
      </c>
      <c r="AD291" s="82">
        <v>16</v>
      </c>
      <c r="AE291" s="82">
        <v>1</v>
      </c>
      <c r="AF291" s="82">
        <v>6</v>
      </c>
      <c r="AG291" s="83">
        <f>SUM(AD291:AF291)</f>
        <v>23</v>
      </c>
      <c r="AH291" s="397">
        <v>2764</v>
      </c>
      <c r="AI291" s="397">
        <v>1944</v>
      </c>
      <c r="AJ291" s="397">
        <v>362</v>
      </c>
      <c r="AK291" s="397">
        <f>SUM(AH291:AJ296)</f>
        <v>5070</v>
      </c>
    </row>
    <row r="292" spans="1:37" ht="36" customHeight="1">
      <c r="A292" s="396"/>
      <c r="B292" s="133" t="s">
        <v>226</v>
      </c>
      <c r="C292" s="147">
        <v>36.449999999999996</v>
      </c>
      <c r="D292" s="147">
        <v>120.32999999999998</v>
      </c>
      <c r="E292" s="147">
        <v>3.8204999999999996</v>
      </c>
      <c r="F292" s="147">
        <v>3.9239999999999995</v>
      </c>
      <c r="G292" s="147">
        <v>0</v>
      </c>
      <c r="H292" s="147">
        <v>0</v>
      </c>
      <c r="I292" s="147">
        <v>0</v>
      </c>
      <c r="J292" s="147">
        <v>0</v>
      </c>
      <c r="K292" s="147">
        <v>0</v>
      </c>
      <c r="L292" s="147">
        <v>32</v>
      </c>
      <c r="M292" s="147">
        <v>1.4309999999999998</v>
      </c>
      <c r="N292" s="147">
        <v>10.268999999999998</v>
      </c>
      <c r="O292" s="147">
        <v>0</v>
      </c>
      <c r="P292" s="270">
        <f>SUM(C292:O292)</f>
        <v>208.22450000000001</v>
      </c>
      <c r="Q292" s="147">
        <v>33.72</v>
      </c>
      <c r="R292" s="147">
        <v>0</v>
      </c>
      <c r="S292" s="147">
        <v>0</v>
      </c>
      <c r="T292" s="147">
        <v>30.560000000000002</v>
      </c>
      <c r="U292" s="147">
        <v>0</v>
      </c>
      <c r="V292" s="147">
        <v>0</v>
      </c>
      <c r="W292" s="147">
        <v>0</v>
      </c>
      <c r="X292" s="147">
        <v>149.4</v>
      </c>
      <c r="Y292" s="147">
        <v>0</v>
      </c>
      <c r="Z292" s="147">
        <v>0</v>
      </c>
      <c r="AA292" s="67"/>
      <c r="AB292" s="85">
        <f>SUM(Q292:AA292)</f>
        <v>213.68</v>
      </c>
      <c r="AC292" s="86">
        <f>P292+AB292</f>
        <v>421.90449999999998</v>
      </c>
      <c r="AD292" s="82"/>
      <c r="AE292" s="82"/>
      <c r="AF292" s="82"/>
      <c r="AG292" s="83"/>
      <c r="AH292" s="398"/>
      <c r="AI292" s="398"/>
      <c r="AJ292" s="398"/>
      <c r="AK292" s="398"/>
    </row>
    <row r="293" spans="1:37" ht="36" customHeight="1">
      <c r="A293" s="396"/>
      <c r="B293" s="133" t="s">
        <v>227</v>
      </c>
      <c r="C293" s="141">
        <v>9252</v>
      </c>
      <c r="D293" s="141">
        <v>37456</v>
      </c>
      <c r="E293" s="141">
        <v>1947</v>
      </c>
      <c r="F293" s="141">
        <v>1546</v>
      </c>
      <c r="G293" s="141">
        <v>1710</v>
      </c>
      <c r="H293" s="141">
        <v>763</v>
      </c>
      <c r="I293" s="141">
        <v>2553</v>
      </c>
      <c r="J293" s="141">
        <v>9369</v>
      </c>
      <c r="K293" s="141">
        <v>52576</v>
      </c>
      <c r="L293" s="141">
        <v>102</v>
      </c>
      <c r="M293" s="141">
        <v>470</v>
      </c>
      <c r="N293" s="141">
        <v>2470</v>
      </c>
      <c r="O293" s="141">
        <v>151</v>
      </c>
      <c r="P293" s="270">
        <f>SUM(C293:O293)</f>
        <v>120365</v>
      </c>
      <c r="Q293" s="141">
        <v>1403</v>
      </c>
      <c r="R293" s="141">
        <v>2766</v>
      </c>
      <c r="S293" s="141">
        <v>2020</v>
      </c>
      <c r="T293" s="141">
        <v>3192</v>
      </c>
      <c r="U293" s="141">
        <v>1132</v>
      </c>
      <c r="V293" s="141">
        <v>859</v>
      </c>
      <c r="W293" s="141">
        <v>305</v>
      </c>
      <c r="X293" s="141">
        <v>990</v>
      </c>
      <c r="Y293" s="141">
        <v>252</v>
      </c>
      <c r="Z293" s="141">
        <v>164</v>
      </c>
      <c r="AA293" s="67"/>
      <c r="AB293" s="85">
        <f>SUM(Q293:AA293)</f>
        <v>13083</v>
      </c>
      <c r="AC293" s="86">
        <f>P293+AB293</f>
        <v>133448</v>
      </c>
      <c r="AD293" s="68"/>
      <c r="AE293" s="68"/>
      <c r="AF293" s="68"/>
      <c r="AG293" s="68"/>
      <c r="AH293" s="398"/>
      <c r="AI293" s="398"/>
      <c r="AJ293" s="398"/>
      <c r="AK293" s="398"/>
    </row>
    <row r="294" spans="1:37" ht="36" customHeight="1">
      <c r="A294" s="396"/>
      <c r="B294" s="133" t="s">
        <v>228</v>
      </c>
      <c r="C294" s="400">
        <f>C291+D291+E291+F291+C292+D292+E292+F292</f>
        <v>36725.5245</v>
      </c>
      <c r="D294" s="401"/>
      <c r="E294" s="401"/>
      <c r="F294" s="402"/>
      <c r="G294" s="403">
        <f>G291+H291+I291+J291+K291+G292+H292+I292+J292+K292</f>
        <v>38846</v>
      </c>
      <c r="H294" s="404"/>
      <c r="I294" s="404"/>
      <c r="J294" s="404"/>
      <c r="K294" s="405"/>
      <c r="L294" s="400">
        <f>L291+M291+N291+L292+M292+N292</f>
        <v>2686.7</v>
      </c>
      <c r="M294" s="401"/>
      <c r="N294" s="402"/>
      <c r="O294" s="141"/>
      <c r="P294" s="85"/>
      <c r="Q294" s="400">
        <f>Q291+R291+S291+Q292+R292+S292</f>
        <v>5795.72</v>
      </c>
      <c r="R294" s="401"/>
      <c r="S294" s="402"/>
      <c r="T294" s="141"/>
      <c r="U294" s="141"/>
      <c r="V294" s="141"/>
      <c r="W294" s="141"/>
      <c r="X294" s="141"/>
      <c r="Y294" s="141"/>
      <c r="Z294" s="141"/>
      <c r="AA294" s="67"/>
      <c r="AB294" s="85"/>
      <c r="AC294" s="86"/>
      <c r="AD294" s="68"/>
      <c r="AE294" s="68"/>
      <c r="AF294" s="68"/>
      <c r="AG294" s="68"/>
      <c r="AH294" s="398"/>
      <c r="AI294" s="398"/>
      <c r="AJ294" s="398"/>
      <c r="AK294" s="398"/>
    </row>
    <row r="295" spans="1:37" ht="36" customHeight="1">
      <c r="A295" s="396"/>
      <c r="B295" s="133" t="s">
        <v>229</v>
      </c>
      <c r="C295" s="400">
        <f>C293+D293+E293+F293</f>
        <v>50201</v>
      </c>
      <c r="D295" s="401"/>
      <c r="E295" s="401"/>
      <c r="F295" s="402"/>
      <c r="G295" s="403">
        <f>G293+H293+I293+J293+K293</f>
        <v>66971</v>
      </c>
      <c r="H295" s="404"/>
      <c r="I295" s="404"/>
      <c r="J295" s="404"/>
      <c r="K295" s="405"/>
      <c r="L295" s="400">
        <f>L293+M293+N293</f>
        <v>3042</v>
      </c>
      <c r="M295" s="401"/>
      <c r="N295" s="402"/>
      <c r="O295" s="141"/>
      <c r="P295" s="85"/>
      <c r="Q295" s="400">
        <f>Q293+R293+S293</f>
        <v>6189</v>
      </c>
      <c r="R295" s="401"/>
      <c r="S295" s="402"/>
      <c r="T295" s="141"/>
      <c r="U295" s="141"/>
      <c r="V295" s="141"/>
      <c r="W295" s="141"/>
      <c r="X295" s="141"/>
      <c r="Y295" s="141"/>
      <c r="Z295" s="141"/>
      <c r="AA295" s="67"/>
      <c r="AB295" s="85"/>
      <c r="AC295" s="86"/>
      <c r="AD295" s="68"/>
      <c r="AE295" s="68"/>
      <c r="AF295" s="68"/>
      <c r="AG295" s="68"/>
      <c r="AH295" s="398"/>
      <c r="AI295" s="398"/>
      <c r="AJ295" s="398"/>
      <c r="AK295" s="398"/>
    </row>
    <row r="296" spans="1:37" ht="36" customHeight="1">
      <c r="A296" s="396"/>
      <c r="B296" s="93" t="s">
        <v>223</v>
      </c>
      <c r="C296" s="406">
        <f>C294/C295</f>
        <v>0.73156958028724528</v>
      </c>
      <c r="D296" s="407"/>
      <c r="E296" s="407"/>
      <c r="F296" s="408"/>
      <c r="G296" s="406">
        <f>G294/G295</f>
        <v>0.58004210777799348</v>
      </c>
      <c r="H296" s="409"/>
      <c r="I296" s="409"/>
      <c r="J296" s="409"/>
      <c r="K296" s="410"/>
      <c r="L296" s="406">
        <f>L294/L295</f>
        <v>0.88320184089414855</v>
      </c>
      <c r="M296" s="407"/>
      <c r="N296" s="408"/>
      <c r="O296" s="142">
        <f>(O291+O292)/O293</f>
        <v>1</v>
      </c>
      <c r="P296" s="87">
        <f>(P291+P292)/P293</f>
        <v>0.65142877497611429</v>
      </c>
      <c r="Q296" s="406">
        <f>Q294/Q295</f>
        <v>0.93645500080788502</v>
      </c>
      <c r="R296" s="407"/>
      <c r="S296" s="408"/>
      <c r="T296" s="142">
        <f t="shared" ref="T296:Z296" si="47">(T291+T292)/T293</f>
        <v>0.96101503759398499</v>
      </c>
      <c r="U296" s="142">
        <f t="shared" si="47"/>
        <v>2.0865724381625443</v>
      </c>
      <c r="V296" s="142">
        <f t="shared" si="47"/>
        <v>0.90686845168800934</v>
      </c>
      <c r="W296" s="142">
        <f t="shared" si="47"/>
        <v>1.0360655737704918</v>
      </c>
      <c r="X296" s="142">
        <f t="shared" si="47"/>
        <v>0.90747474747474743</v>
      </c>
      <c r="Y296" s="142">
        <f t="shared" si="47"/>
        <v>1</v>
      </c>
      <c r="Z296" s="142">
        <f t="shared" si="47"/>
        <v>0.78048780487804881</v>
      </c>
      <c r="AA296" s="69"/>
      <c r="AB296" s="87">
        <f>(AB291+AB292)/AB293</f>
        <v>1.0394160360773523</v>
      </c>
      <c r="AC296" s="88">
        <f>(AC291+AC292)/AC293</f>
        <v>0.68946634269528206</v>
      </c>
      <c r="AD296" s="84" t="e">
        <f>AD291/$AG$173</f>
        <v>#DIV/0!</v>
      </c>
      <c r="AE296" s="84" t="e">
        <f>AE291/$AG$173</f>
        <v>#DIV/0!</v>
      </c>
      <c r="AF296" s="84" t="e">
        <f>AF291/$AG$173</f>
        <v>#DIV/0!</v>
      </c>
      <c r="AG296" s="134" t="e">
        <f>AG291/$AG$173</f>
        <v>#DIV/0!</v>
      </c>
      <c r="AH296" s="399"/>
      <c r="AI296" s="399"/>
      <c r="AJ296" s="399"/>
      <c r="AK296" s="399"/>
    </row>
  </sheetData>
  <mergeCells count="842">
    <mergeCell ref="A285:A290"/>
    <mergeCell ref="AH285:AH290"/>
    <mergeCell ref="AI285:AI290"/>
    <mergeCell ref="AJ285:AJ290"/>
    <mergeCell ref="AK285:AK290"/>
    <mergeCell ref="C288:F288"/>
    <mergeCell ref="G288:I288"/>
    <mergeCell ref="L288:N288"/>
    <mergeCell ref="Q288:S288"/>
    <mergeCell ref="C289:F289"/>
    <mergeCell ref="G289:I289"/>
    <mergeCell ref="L289:N289"/>
    <mergeCell ref="Q289:S289"/>
    <mergeCell ref="C290:F290"/>
    <mergeCell ref="G290:I290"/>
    <mergeCell ref="L290:N290"/>
    <mergeCell ref="Q290:S290"/>
    <mergeCell ref="A279:A284"/>
    <mergeCell ref="AH279:AH284"/>
    <mergeCell ref="AI279:AI284"/>
    <mergeCell ref="AJ279:AJ284"/>
    <mergeCell ref="AK279:AK284"/>
    <mergeCell ref="C282:F282"/>
    <mergeCell ref="G282:I282"/>
    <mergeCell ref="L282:N282"/>
    <mergeCell ref="Q282:S282"/>
    <mergeCell ref="C283:F283"/>
    <mergeCell ref="G283:I283"/>
    <mergeCell ref="L283:N283"/>
    <mergeCell ref="Q283:S283"/>
    <mergeCell ref="C284:F284"/>
    <mergeCell ref="G284:I284"/>
    <mergeCell ref="L284:N284"/>
    <mergeCell ref="Q284:S284"/>
    <mergeCell ref="A255:A260"/>
    <mergeCell ref="AH255:AH260"/>
    <mergeCell ref="AI255:AI260"/>
    <mergeCell ref="AJ255:AJ260"/>
    <mergeCell ref="AK255:AK260"/>
    <mergeCell ref="C258:F258"/>
    <mergeCell ref="G258:I258"/>
    <mergeCell ref="L258:N258"/>
    <mergeCell ref="Q258:S258"/>
    <mergeCell ref="C259:F259"/>
    <mergeCell ref="G259:I259"/>
    <mergeCell ref="L259:N259"/>
    <mergeCell ref="Q259:S259"/>
    <mergeCell ref="C260:F260"/>
    <mergeCell ref="G260:I260"/>
    <mergeCell ref="L260:N260"/>
    <mergeCell ref="Q260:S260"/>
    <mergeCell ref="A249:A254"/>
    <mergeCell ref="AH249:AH254"/>
    <mergeCell ref="AI249:AI254"/>
    <mergeCell ref="AJ249:AJ254"/>
    <mergeCell ref="AK249:AK254"/>
    <mergeCell ref="C252:F252"/>
    <mergeCell ref="G252:I252"/>
    <mergeCell ref="L252:N252"/>
    <mergeCell ref="Q252:S252"/>
    <mergeCell ref="C253:F253"/>
    <mergeCell ref="G253:I253"/>
    <mergeCell ref="L253:N253"/>
    <mergeCell ref="Q253:S253"/>
    <mergeCell ref="C254:F254"/>
    <mergeCell ref="G254:I254"/>
    <mergeCell ref="L254:N254"/>
    <mergeCell ref="Q254:S254"/>
    <mergeCell ref="A219:A224"/>
    <mergeCell ref="AH219:AH224"/>
    <mergeCell ref="AI219:AI224"/>
    <mergeCell ref="AJ219:AJ224"/>
    <mergeCell ref="AK219:AK224"/>
    <mergeCell ref="C222:F222"/>
    <mergeCell ref="G222:I222"/>
    <mergeCell ref="L222:N222"/>
    <mergeCell ref="Q222:S222"/>
    <mergeCell ref="C223:F223"/>
    <mergeCell ref="G223:I223"/>
    <mergeCell ref="L223:N223"/>
    <mergeCell ref="Q223:S223"/>
    <mergeCell ref="C224:F224"/>
    <mergeCell ref="G224:I224"/>
    <mergeCell ref="L224:N224"/>
    <mergeCell ref="Q224:S224"/>
    <mergeCell ref="A213:A218"/>
    <mergeCell ref="AH213:AH218"/>
    <mergeCell ref="AI213:AI218"/>
    <mergeCell ref="AJ213:AJ218"/>
    <mergeCell ref="AK213:AK218"/>
    <mergeCell ref="C216:F216"/>
    <mergeCell ref="G216:I216"/>
    <mergeCell ref="L216:N216"/>
    <mergeCell ref="Q216:S216"/>
    <mergeCell ref="C217:F217"/>
    <mergeCell ref="G217:I217"/>
    <mergeCell ref="L217:N217"/>
    <mergeCell ref="Q217:S217"/>
    <mergeCell ref="C218:F218"/>
    <mergeCell ref="G218:I218"/>
    <mergeCell ref="L218:N218"/>
    <mergeCell ref="Q218:S218"/>
    <mergeCell ref="A207:A212"/>
    <mergeCell ref="AH207:AH212"/>
    <mergeCell ref="AI207:AI212"/>
    <mergeCell ref="AJ207:AJ212"/>
    <mergeCell ref="AK207:AK212"/>
    <mergeCell ref="C210:F210"/>
    <mergeCell ref="G210:I210"/>
    <mergeCell ref="L210:N210"/>
    <mergeCell ref="Q210:S210"/>
    <mergeCell ref="C211:F211"/>
    <mergeCell ref="G211:I211"/>
    <mergeCell ref="L211:N211"/>
    <mergeCell ref="Q211:S211"/>
    <mergeCell ref="C212:F212"/>
    <mergeCell ref="G212:I212"/>
    <mergeCell ref="L212:N212"/>
    <mergeCell ref="Q212:S212"/>
    <mergeCell ref="A201:A206"/>
    <mergeCell ref="AH201:AH206"/>
    <mergeCell ref="AI201:AI206"/>
    <mergeCell ref="AJ201:AJ206"/>
    <mergeCell ref="AK201:AK206"/>
    <mergeCell ref="C204:F204"/>
    <mergeCell ref="G204:I204"/>
    <mergeCell ref="L204:N204"/>
    <mergeCell ref="Q204:S204"/>
    <mergeCell ref="C205:F205"/>
    <mergeCell ref="G205:I205"/>
    <mergeCell ref="L205:N205"/>
    <mergeCell ref="Q205:S205"/>
    <mergeCell ref="C206:F206"/>
    <mergeCell ref="G206:I206"/>
    <mergeCell ref="L206:N206"/>
    <mergeCell ref="Q206:S206"/>
    <mergeCell ref="A195:A200"/>
    <mergeCell ref="AH195:AH200"/>
    <mergeCell ref="AI195:AI200"/>
    <mergeCell ref="AJ195:AJ200"/>
    <mergeCell ref="AK195:AK200"/>
    <mergeCell ref="C198:F198"/>
    <mergeCell ref="G198:I198"/>
    <mergeCell ref="L198:N198"/>
    <mergeCell ref="Q198:S198"/>
    <mergeCell ref="C199:F199"/>
    <mergeCell ref="G199:I199"/>
    <mergeCell ref="L199:N199"/>
    <mergeCell ref="Q199:S199"/>
    <mergeCell ref="C200:F200"/>
    <mergeCell ref="G200:I200"/>
    <mergeCell ref="L200:N200"/>
    <mergeCell ref="Q200:S200"/>
    <mergeCell ref="A183:A188"/>
    <mergeCell ref="AH183:AH188"/>
    <mergeCell ref="AI183:AI188"/>
    <mergeCell ref="AJ183:AJ188"/>
    <mergeCell ref="AK183:AK188"/>
    <mergeCell ref="C186:F186"/>
    <mergeCell ref="G186:I186"/>
    <mergeCell ref="L186:N186"/>
    <mergeCell ref="Q186:S186"/>
    <mergeCell ref="C187:F187"/>
    <mergeCell ref="G187:I187"/>
    <mergeCell ref="L187:N187"/>
    <mergeCell ref="Q187:S187"/>
    <mergeCell ref="C188:F188"/>
    <mergeCell ref="G188:I188"/>
    <mergeCell ref="L188:N188"/>
    <mergeCell ref="Q188:S188"/>
    <mergeCell ref="A171:A176"/>
    <mergeCell ref="AH171:AH176"/>
    <mergeCell ref="AI171:AI176"/>
    <mergeCell ref="AJ171:AJ176"/>
    <mergeCell ref="AK171:AK176"/>
    <mergeCell ref="C174:F174"/>
    <mergeCell ref="G174:I174"/>
    <mergeCell ref="L174:N174"/>
    <mergeCell ref="Q174:S174"/>
    <mergeCell ref="C175:F175"/>
    <mergeCell ref="G175:I175"/>
    <mergeCell ref="L175:N175"/>
    <mergeCell ref="Q175:S175"/>
    <mergeCell ref="C176:F176"/>
    <mergeCell ref="G176:I176"/>
    <mergeCell ref="L176:N176"/>
    <mergeCell ref="Q176:S176"/>
    <mergeCell ref="A141:A146"/>
    <mergeCell ref="AH141:AH146"/>
    <mergeCell ref="AI141:AI146"/>
    <mergeCell ref="AJ141:AJ146"/>
    <mergeCell ref="AK141:AK146"/>
    <mergeCell ref="C144:F144"/>
    <mergeCell ref="G144:I144"/>
    <mergeCell ref="L144:N144"/>
    <mergeCell ref="Q144:S144"/>
    <mergeCell ref="C145:F145"/>
    <mergeCell ref="G145:I145"/>
    <mergeCell ref="L145:N145"/>
    <mergeCell ref="Q145:S145"/>
    <mergeCell ref="C146:F146"/>
    <mergeCell ref="G146:I146"/>
    <mergeCell ref="L146:N146"/>
    <mergeCell ref="Q146:S146"/>
    <mergeCell ref="A123:A128"/>
    <mergeCell ref="AH123:AH128"/>
    <mergeCell ref="AI123:AI128"/>
    <mergeCell ref="AJ123:AJ128"/>
    <mergeCell ref="AK123:AK128"/>
    <mergeCell ref="C126:F126"/>
    <mergeCell ref="G126:I126"/>
    <mergeCell ref="L126:N126"/>
    <mergeCell ref="Q126:S126"/>
    <mergeCell ref="C127:F127"/>
    <mergeCell ref="G127:I127"/>
    <mergeCell ref="L127:N127"/>
    <mergeCell ref="Q127:S127"/>
    <mergeCell ref="C128:F128"/>
    <mergeCell ref="G128:I128"/>
    <mergeCell ref="L128:N128"/>
    <mergeCell ref="Q128:S128"/>
    <mergeCell ref="A117:A122"/>
    <mergeCell ref="AH117:AH122"/>
    <mergeCell ref="AI117:AI122"/>
    <mergeCell ref="AJ117:AJ122"/>
    <mergeCell ref="AK117:AK122"/>
    <mergeCell ref="C120:F120"/>
    <mergeCell ref="G120:I120"/>
    <mergeCell ref="L120:N120"/>
    <mergeCell ref="Q120:S120"/>
    <mergeCell ref="C121:F121"/>
    <mergeCell ref="G121:I121"/>
    <mergeCell ref="L121:N121"/>
    <mergeCell ref="Q121:S121"/>
    <mergeCell ref="C122:F122"/>
    <mergeCell ref="G122:I122"/>
    <mergeCell ref="L122:N122"/>
    <mergeCell ref="Q122:S122"/>
    <mergeCell ref="A99:A104"/>
    <mergeCell ref="AH99:AH104"/>
    <mergeCell ref="AI99:AI104"/>
    <mergeCell ref="AJ99:AJ104"/>
    <mergeCell ref="AK99:AK104"/>
    <mergeCell ref="C102:F102"/>
    <mergeCell ref="G102:I102"/>
    <mergeCell ref="L102:N102"/>
    <mergeCell ref="Q102:S102"/>
    <mergeCell ref="C103:F103"/>
    <mergeCell ref="G103:I103"/>
    <mergeCell ref="L103:N103"/>
    <mergeCell ref="Q103:S103"/>
    <mergeCell ref="C104:F104"/>
    <mergeCell ref="G104:I104"/>
    <mergeCell ref="L104:N104"/>
    <mergeCell ref="Q104:S104"/>
    <mergeCell ref="A93:A98"/>
    <mergeCell ref="AH93:AH98"/>
    <mergeCell ref="AI93:AI98"/>
    <mergeCell ref="AJ93:AJ98"/>
    <mergeCell ref="AK93:AK98"/>
    <mergeCell ref="C96:F96"/>
    <mergeCell ref="G96:I96"/>
    <mergeCell ref="L96:N96"/>
    <mergeCell ref="Q96:S96"/>
    <mergeCell ref="C97:F97"/>
    <mergeCell ref="G97:I97"/>
    <mergeCell ref="L97:N97"/>
    <mergeCell ref="Q97:S97"/>
    <mergeCell ref="C98:F98"/>
    <mergeCell ref="G98:I98"/>
    <mergeCell ref="L98:N98"/>
    <mergeCell ref="Q98:S98"/>
    <mergeCell ref="A81:A86"/>
    <mergeCell ref="AH81:AH86"/>
    <mergeCell ref="AI81:AI86"/>
    <mergeCell ref="AJ81:AJ86"/>
    <mergeCell ref="AK81:AK86"/>
    <mergeCell ref="C84:F84"/>
    <mergeCell ref="G84:I84"/>
    <mergeCell ref="L84:N84"/>
    <mergeCell ref="Q84:S84"/>
    <mergeCell ref="C85:F85"/>
    <mergeCell ref="G85:I85"/>
    <mergeCell ref="L85:N85"/>
    <mergeCell ref="Q85:S85"/>
    <mergeCell ref="C86:F86"/>
    <mergeCell ref="G86:I86"/>
    <mergeCell ref="L86:N86"/>
    <mergeCell ref="Q86:S86"/>
    <mergeCell ref="A75:A80"/>
    <mergeCell ref="AH75:AH80"/>
    <mergeCell ref="AI75:AI80"/>
    <mergeCell ref="AJ75:AJ80"/>
    <mergeCell ref="AK75:AK80"/>
    <mergeCell ref="C78:F78"/>
    <mergeCell ref="G78:I78"/>
    <mergeCell ref="L78:N78"/>
    <mergeCell ref="Q78:S78"/>
    <mergeCell ref="C79:F79"/>
    <mergeCell ref="G79:I79"/>
    <mergeCell ref="L79:N79"/>
    <mergeCell ref="Q79:S79"/>
    <mergeCell ref="C80:F80"/>
    <mergeCell ref="G80:I80"/>
    <mergeCell ref="L80:N80"/>
    <mergeCell ref="Q80:S80"/>
    <mergeCell ref="A63:A68"/>
    <mergeCell ref="AH63:AH68"/>
    <mergeCell ref="AI63:AI68"/>
    <mergeCell ref="AJ63:AJ68"/>
    <mergeCell ref="AK63:AK68"/>
    <mergeCell ref="C66:F66"/>
    <mergeCell ref="G66:I66"/>
    <mergeCell ref="L66:N66"/>
    <mergeCell ref="Q66:S66"/>
    <mergeCell ref="C67:F67"/>
    <mergeCell ref="G67:I67"/>
    <mergeCell ref="L67:N67"/>
    <mergeCell ref="Q67:S67"/>
    <mergeCell ref="C68:F68"/>
    <mergeCell ref="G68:I68"/>
    <mergeCell ref="L68:N68"/>
    <mergeCell ref="Q68:S68"/>
    <mergeCell ref="A57:A62"/>
    <mergeCell ref="AH57:AH62"/>
    <mergeCell ref="AI57:AI62"/>
    <mergeCell ref="AJ57:AJ62"/>
    <mergeCell ref="AK57:AK62"/>
    <mergeCell ref="C60:F60"/>
    <mergeCell ref="G60:I60"/>
    <mergeCell ref="L60:N60"/>
    <mergeCell ref="Q60:S60"/>
    <mergeCell ref="C61:F61"/>
    <mergeCell ref="G61:I61"/>
    <mergeCell ref="L61:N61"/>
    <mergeCell ref="Q61:S61"/>
    <mergeCell ref="C62:F62"/>
    <mergeCell ref="G62:I62"/>
    <mergeCell ref="L62:N62"/>
    <mergeCell ref="Q62:S62"/>
    <mergeCell ref="A51:A56"/>
    <mergeCell ref="AH51:AH56"/>
    <mergeCell ref="AI51:AI56"/>
    <mergeCell ref="AJ51:AJ56"/>
    <mergeCell ref="AK51:AK56"/>
    <mergeCell ref="C54:F54"/>
    <mergeCell ref="G54:I54"/>
    <mergeCell ref="L54:N54"/>
    <mergeCell ref="Q54:S54"/>
    <mergeCell ref="C55:F55"/>
    <mergeCell ref="G55:I55"/>
    <mergeCell ref="L55:N55"/>
    <mergeCell ref="Q55:S55"/>
    <mergeCell ref="C56:F56"/>
    <mergeCell ref="G56:I56"/>
    <mergeCell ref="L56:N56"/>
    <mergeCell ref="Q56:S56"/>
    <mergeCell ref="A45:A50"/>
    <mergeCell ref="AH45:AH50"/>
    <mergeCell ref="AI45:AI50"/>
    <mergeCell ref="AJ45:AJ50"/>
    <mergeCell ref="AK45:AK50"/>
    <mergeCell ref="C48:F48"/>
    <mergeCell ref="G48:I48"/>
    <mergeCell ref="L48:N48"/>
    <mergeCell ref="Q48:S48"/>
    <mergeCell ref="C49:F49"/>
    <mergeCell ref="G49:I49"/>
    <mergeCell ref="L49:N49"/>
    <mergeCell ref="Q49:S49"/>
    <mergeCell ref="C50:F50"/>
    <mergeCell ref="G50:I50"/>
    <mergeCell ref="L50:N50"/>
    <mergeCell ref="Q50:S50"/>
    <mergeCell ref="A39:A44"/>
    <mergeCell ref="AH39:AH44"/>
    <mergeCell ref="AI39:AI44"/>
    <mergeCell ref="AJ39:AJ44"/>
    <mergeCell ref="AK39:AK44"/>
    <mergeCell ref="C42:F42"/>
    <mergeCell ref="G42:I42"/>
    <mergeCell ref="L42:N42"/>
    <mergeCell ref="Q42:S42"/>
    <mergeCell ref="C43:F43"/>
    <mergeCell ref="G43:I43"/>
    <mergeCell ref="L43:N43"/>
    <mergeCell ref="Q43:S43"/>
    <mergeCell ref="C44:F44"/>
    <mergeCell ref="G44:I44"/>
    <mergeCell ref="L44:N44"/>
    <mergeCell ref="Q44:S44"/>
    <mergeCell ref="A27:A32"/>
    <mergeCell ref="AH27:AH32"/>
    <mergeCell ref="AI27:AI32"/>
    <mergeCell ref="AJ27:AJ32"/>
    <mergeCell ref="AK27:AK32"/>
    <mergeCell ref="C30:F30"/>
    <mergeCell ref="G30:I30"/>
    <mergeCell ref="L30:N30"/>
    <mergeCell ref="Q30:S30"/>
    <mergeCell ref="C31:F31"/>
    <mergeCell ref="G31:I31"/>
    <mergeCell ref="L31:N31"/>
    <mergeCell ref="Q31:S31"/>
    <mergeCell ref="C32:F32"/>
    <mergeCell ref="G32:I32"/>
    <mergeCell ref="L32:N32"/>
    <mergeCell ref="Q32:S32"/>
    <mergeCell ref="A21:A26"/>
    <mergeCell ref="AH21:AH26"/>
    <mergeCell ref="AI21:AI26"/>
    <mergeCell ref="AJ21:AJ26"/>
    <mergeCell ref="AK21:AK26"/>
    <mergeCell ref="C24:F24"/>
    <mergeCell ref="G24:I24"/>
    <mergeCell ref="L24:N24"/>
    <mergeCell ref="Q24:S24"/>
    <mergeCell ref="C25:F25"/>
    <mergeCell ref="G25:I25"/>
    <mergeCell ref="L25:N25"/>
    <mergeCell ref="Q25:S25"/>
    <mergeCell ref="C26:F26"/>
    <mergeCell ref="G26:I26"/>
    <mergeCell ref="L26:N26"/>
    <mergeCell ref="Q26:S26"/>
    <mergeCell ref="AJ9:AJ14"/>
    <mergeCell ref="AK9:AK14"/>
    <mergeCell ref="C12:F12"/>
    <mergeCell ref="G12:I12"/>
    <mergeCell ref="L12:N12"/>
    <mergeCell ref="Q12:S12"/>
    <mergeCell ref="C13:F13"/>
    <mergeCell ref="G13:I13"/>
    <mergeCell ref="L13:N13"/>
    <mergeCell ref="Q13:S13"/>
    <mergeCell ref="C14:F14"/>
    <mergeCell ref="G14:I14"/>
    <mergeCell ref="L14:N14"/>
    <mergeCell ref="Q14:S14"/>
    <mergeCell ref="A2:AH2"/>
    <mergeCell ref="AF3:AG3"/>
    <mergeCell ref="A4:B4"/>
    <mergeCell ref="C4:N4"/>
    <mergeCell ref="P4:Y4"/>
    <mergeCell ref="A6:B6"/>
    <mergeCell ref="L5:N5"/>
    <mergeCell ref="Q5:V5"/>
    <mergeCell ref="W5:Z5"/>
    <mergeCell ref="AH5:AH8"/>
    <mergeCell ref="A7:B7"/>
    <mergeCell ref="A5:B5"/>
    <mergeCell ref="AB5:AB7"/>
    <mergeCell ref="AC5:AC7"/>
    <mergeCell ref="AG5:AG7"/>
    <mergeCell ref="AD6:AD7"/>
    <mergeCell ref="AE6:AE7"/>
    <mergeCell ref="AF6:AF7"/>
    <mergeCell ref="C8:F8"/>
    <mergeCell ref="G8:I8"/>
    <mergeCell ref="L8:N8"/>
    <mergeCell ref="Q8:S8"/>
    <mergeCell ref="C5:K5"/>
    <mergeCell ref="AK15:AK20"/>
    <mergeCell ref="C18:F18"/>
    <mergeCell ref="G18:I18"/>
    <mergeCell ref="L18:N18"/>
    <mergeCell ref="Q18:S18"/>
    <mergeCell ref="C19:F19"/>
    <mergeCell ref="G19:I19"/>
    <mergeCell ref="L19:N19"/>
    <mergeCell ref="Q19:S19"/>
    <mergeCell ref="C20:F20"/>
    <mergeCell ref="G20:I20"/>
    <mergeCell ref="L20:N20"/>
    <mergeCell ref="Q20:S20"/>
    <mergeCell ref="A9:A14"/>
    <mergeCell ref="AH9:AH14"/>
    <mergeCell ref="AI9:AI14"/>
    <mergeCell ref="A33:A38"/>
    <mergeCell ref="AH33:AH38"/>
    <mergeCell ref="AI33:AI38"/>
    <mergeCell ref="AJ33:AJ38"/>
    <mergeCell ref="AK33:AK38"/>
    <mergeCell ref="C36:F36"/>
    <mergeCell ref="G36:I36"/>
    <mergeCell ref="L36:N36"/>
    <mergeCell ref="Q36:S36"/>
    <mergeCell ref="C37:F37"/>
    <mergeCell ref="G37:I37"/>
    <mergeCell ref="L37:N37"/>
    <mergeCell ref="Q37:S37"/>
    <mergeCell ref="C38:F38"/>
    <mergeCell ref="G38:I38"/>
    <mergeCell ref="L38:N38"/>
    <mergeCell ref="Q38:S38"/>
    <mergeCell ref="A15:A20"/>
    <mergeCell ref="AH15:AH20"/>
    <mergeCell ref="AI15:AI20"/>
    <mergeCell ref="AJ15:AJ20"/>
    <mergeCell ref="A69:A74"/>
    <mergeCell ref="AH69:AH74"/>
    <mergeCell ref="AI69:AI74"/>
    <mergeCell ref="AJ69:AJ74"/>
    <mergeCell ref="AK69:AK74"/>
    <mergeCell ref="C72:F72"/>
    <mergeCell ref="G72:I72"/>
    <mergeCell ref="L72:N72"/>
    <mergeCell ref="Q72:S72"/>
    <mergeCell ref="C73:F73"/>
    <mergeCell ref="G73:I73"/>
    <mergeCell ref="L73:N73"/>
    <mergeCell ref="Q73:S73"/>
    <mergeCell ref="C74:F74"/>
    <mergeCell ref="G74:I74"/>
    <mergeCell ref="L74:N74"/>
    <mergeCell ref="Q74:S74"/>
    <mergeCell ref="A87:A92"/>
    <mergeCell ref="AH87:AH92"/>
    <mergeCell ref="AI87:AI92"/>
    <mergeCell ref="AJ87:AJ92"/>
    <mergeCell ref="AK87:AK92"/>
    <mergeCell ref="C90:F90"/>
    <mergeCell ref="G90:I90"/>
    <mergeCell ref="L90:N90"/>
    <mergeCell ref="Q90:S90"/>
    <mergeCell ref="C91:F91"/>
    <mergeCell ref="G91:I91"/>
    <mergeCell ref="L91:N91"/>
    <mergeCell ref="Q91:S91"/>
    <mergeCell ref="C92:F92"/>
    <mergeCell ref="G92:I92"/>
    <mergeCell ref="L92:N92"/>
    <mergeCell ref="Q92:S92"/>
    <mergeCell ref="A105:A110"/>
    <mergeCell ref="AH105:AH110"/>
    <mergeCell ref="AI105:AI110"/>
    <mergeCell ref="AJ105:AJ110"/>
    <mergeCell ref="AK105:AK110"/>
    <mergeCell ref="C108:F108"/>
    <mergeCell ref="G108:I108"/>
    <mergeCell ref="L108:N108"/>
    <mergeCell ref="Q108:S108"/>
    <mergeCell ref="C109:F109"/>
    <mergeCell ref="G109:I109"/>
    <mergeCell ref="L109:N109"/>
    <mergeCell ref="Q109:S109"/>
    <mergeCell ref="C110:F110"/>
    <mergeCell ref="G110:I110"/>
    <mergeCell ref="L110:N110"/>
    <mergeCell ref="Q110:S110"/>
    <mergeCell ref="A111:A116"/>
    <mergeCell ref="AH111:AH116"/>
    <mergeCell ref="AI111:AI116"/>
    <mergeCell ref="AJ111:AJ116"/>
    <mergeCell ref="AK111:AK116"/>
    <mergeCell ref="C114:F114"/>
    <mergeCell ref="G114:I114"/>
    <mergeCell ref="L114:N114"/>
    <mergeCell ref="Q114:S114"/>
    <mergeCell ref="C115:F115"/>
    <mergeCell ref="G115:I115"/>
    <mergeCell ref="L115:N115"/>
    <mergeCell ref="Q115:S115"/>
    <mergeCell ref="C116:F116"/>
    <mergeCell ref="G116:I116"/>
    <mergeCell ref="L116:N116"/>
    <mergeCell ref="Q116:S116"/>
    <mergeCell ref="A129:A134"/>
    <mergeCell ref="AH129:AH134"/>
    <mergeCell ref="AI129:AI134"/>
    <mergeCell ref="AJ129:AJ134"/>
    <mergeCell ref="AK129:AK134"/>
    <mergeCell ref="C132:F132"/>
    <mergeCell ref="G132:I132"/>
    <mergeCell ref="L132:N132"/>
    <mergeCell ref="Q132:S132"/>
    <mergeCell ref="C133:F133"/>
    <mergeCell ref="G133:I133"/>
    <mergeCell ref="L133:N133"/>
    <mergeCell ref="Q133:S133"/>
    <mergeCell ref="C134:F134"/>
    <mergeCell ref="G134:I134"/>
    <mergeCell ref="L134:N134"/>
    <mergeCell ref="Q134:S134"/>
    <mergeCell ref="A135:A140"/>
    <mergeCell ref="AH135:AH140"/>
    <mergeCell ref="AI135:AI140"/>
    <mergeCell ref="AJ135:AJ140"/>
    <mergeCell ref="AK135:AK140"/>
    <mergeCell ref="C138:F138"/>
    <mergeCell ref="G138:I138"/>
    <mergeCell ref="L138:N138"/>
    <mergeCell ref="Q138:S138"/>
    <mergeCell ref="C139:F139"/>
    <mergeCell ref="G139:I139"/>
    <mergeCell ref="L139:N139"/>
    <mergeCell ref="Q139:S139"/>
    <mergeCell ref="C140:F140"/>
    <mergeCell ref="G140:I140"/>
    <mergeCell ref="L140:N140"/>
    <mergeCell ref="Q140:S140"/>
    <mergeCell ref="A147:A152"/>
    <mergeCell ref="AH147:AH152"/>
    <mergeCell ref="AI147:AI152"/>
    <mergeCell ref="AJ147:AJ152"/>
    <mergeCell ref="AK147:AK152"/>
    <mergeCell ref="C150:F150"/>
    <mergeCell ref="G150:I150"/>
    <mergeCell ref="L150:N150"/>
    <mergeCell ref="Q150:S150"/>
    <mergeCell ref="C151:F151"/>
    <mergeCell ref="G151:I151"/>
    <mergeCell ref="L151:N151"/>
    <mergeCell ref="Q151:S151"/>
    <mergeCell ref="C152:F152"/>
    <mergeCell ref="G152:I152"/>
    <mergeCell ref="L152:N152"/>
    <mergeCell ref="Q152:S152"/>
    <mergeCell ref="A153:A158"/>
    <mergeCell ref="AH153:AH158"/>
    <mergeCell ref="AI153:AI158"/>
    <mergeCell ref="AJ153:AJ158"/>
    <mergeCell ref="AK153:AK158"/>
    <mergeCell ref="C156:F156"/>
    <mergeCell ref="G156:I156"/>
    <mergeCell ref="L156:N156"/>
    <mergeCell ref="Q156:S156"/>
    <mergeCell ref="C157:F157"/>
    <mergeCell ref="G157:I157"/>
    <mergeCell ref="L157:N157"/>
    <mergeCell ref="Q157:S157"/>
    <mergeCell ref="C158:F158"/>
    <mergeCell ref="G158:I158"/>
    <mergeCell ref="L158:N158"/>
    <mergeCell ref="Q158:S158"/>
    <mergeCell ref="A159:A164"/>
    <mergeCell ref="AH159:AH164"/>
    <mergeCell ref="AI159:AI164"/>
    <mergeCell ref="AJ159:AJ164"/>
    <mergeCell ref="AK159:AK164"/>
    <mergeCell ref="C162:F162"/>
    <mergeCell ref="G162:I162"/>
    <mergeCell ref="L162:N162"/>
    <mergeCell ref="Q162:S162"/>
    <mergeCell ref="C163:F163"/>
    <mergeCell ref="G163:I163"/>
    <mergeCell ref="L163:N163"/>
    <mergeCell ref="Q163:S163"/>
    <mergeCell ref="C164:F164"/>
    <mergeCell ref="G164:I164"/>
    <mergeCell ref="L164:N164"/>
    <mergeCell ref="Q164:S164"/>
    <mergeCell ref="A165:A170"/>
    <mergeCell ref="AH165:AH170"/>
    <mergeCell ref="AI165:AI170"/>
    <mergeCell ref="AJ165:AJ170"/>
    <mergeCell ref="AK165:AK170"/>
    <mergeCell ref="C168:F168"/>
    <mergeCell ref="G168:I168"/>
    <mergeCell ref="L168:N168"/>
    <mergeCell ref="Q168:S168"/>
    <mergeCell ref="C169:F169"/>
    <mergeCell ref="G169:I169"/>
    <mergeCell ref="L169:N169"/>
    <mergeCell ref="Q169:S169"/>
    <mergeCell ref="C170:F170"/>
    <mergeCell ref="G170:I170"/>
    <mergeCell ref="L170:N170"/>
    <mergeCell ref="Q170:S170"/>
    <mergeCell ref="A177:A182"/>
    <mergeCell ref="AH177:AH182"/>
    <mergeCell ref="AI177:AI182"/>
    <mergeCell ref="AJ177:AJ182"/>
    <mergeCell ref="AK177:AK182"/>
    <mergeCell ref="C180:F180"/>
    <mergeCell ref="G180:I180"/>
    <mergeCell ref="L180:N180"/>
    <mergeCell ref="Q180:S180"/>
    <mergeCell ref="C181:F181"/>
    <mergeCell ref="G181:I181"/>
    <mergeCell ref="L181:N181"/>
    <mergeCell ref="Q181:S181"/>
    <mergeCell ref="C182:F182"/>
    <mergeCell ref="G182:I182"/>
    <mergeCell ref="L182:N182"/>
    <mergeCell ref="Q182:S182"/>
    <mergeCell ref="A189:A194"/>
    <mergeCell ref="AH189:AH194"/>
    <mergeCell ref="AI189:AI194"/>
    <mergeCell ref="AJ189:AJ194"/>
    <mergeCell ref="AK189:AK194"/>
    <mergeCell ref="C192:F192"/>
    <mergeCell ref="G192:I192"/>
    <mergeCell ref="L192:N192"/>
    <mergeCell ref="Q192:S192"/>
    <mergeCell ref="C193:F193"/>
    <mergeCell ref="G193:I193"/>
    <mergeCell ref="L193:N193"/>
    <mergeCell ref="Q193:S193"/>
    <mergeCell ref="C194:F194"/>
    <mergeCell ref="G194:I194"/>
    <mergeCell ref="L194:N194"/>
    <mergeCell ref="Q194:S194"/>
    <mergeCell ref="AK225:AK230"/>
    <mergeCell ref="C228:F228"/>
    <mergeCell ref="G228:I228"/>
    <mergeCell ref="L228:N228"/>
    <mergeCell ref="Q228:S228"/>
    <mergeCell ref="C229:F229"/>
    <mergeCell ref="G229:I229"/>
    <mergeCell ref="L229:N229"/>
    <mergeCell ref="Q229:S229"/>
    <mergeCell ref="C230:F230"/>
    <mergeCell ref="G230:I230"/>
    <mergeCell ref="L230:N230"/>
    <mergeCell ref="Q230:S230"/>
    <mergeCell ref="AI5:AI8"/>
    <mergeCell ref="AJ5:AJ8"/>
    <mergeCell ref="AK6:AK8"/>
    <mergeCell ref="A231:A236"/>
    <mergeCell ref="AH231:AH236"/>
    <mergeCell ref="AI231:AI236"/>
    <mergeCell ref="AJ231:AJ236"/>
    <mergeCell ref="AK231:AK236"/>
    <mergeCell ref="C234:F234"/>
    <mergeCell ref="G234:I234"/>
    <mergeCell ref="L234:N234"/>
    <mergeCell ref="Q234:S234"/>
    <mergeCell ref="C235:F235"/>
    <mergeCell ref="G235:I235"/>
    <mergeCell ref="L235:N235"/>
    <mergeCell ref="Q235:S235"/>
    <mergeCell ref="C236:F236"/>
    <mergeCell ref="G236:I236"/>
    <mergeCell ref="L236:N236"/>
    <mergeCell ref="Q236:S236"/>
    <mergeCell ref="A225:A230"/>
    <mergeCell ref="AH225:AH230"/>
    <mergeCell ref="AI225:AI230"/>
    <mergeCell ref="AJ225:AJ230"/>
    <mergeCell ref="A237:A242"/>
    <mergeCell ref="AH237:AH242"/>
    <mergeCell ref="AI237:AI242"/>
    <mergeCell ref="AJ237:AJ242"/>
    <mergeCell ref="AK237:AK242"/>
    <mergeCell ref="C240:F240"/>
    <mergeCell ref="G240:I240"/>
    <mergeCell ref="L240:N240"/>
    <mergeCell ref="Q240:S240"/>
    <mergeCell ref="C241:F241"/>
    <mergeCell ref="G241:I241"/>
    <mergeCell ref="L241:N241"/>
    <mergeCell ref="Q241:S241"/>
    <mergeCell ref="C242:F242"/>
    <mergeCell ref="G242:I242"/>
    <mergeCell ref="L242:N242"/>
    <mergeCell ref="Q242:S242"/>
    <mergeCell ref="A243:A248"/>
    <mergeCell ref="AH243:AH248"/>
    <mergeCell ref="AI243:AI248"/>
    <mergeCell ref="AJ243:AJ248"/>
    <mergeCell ref="AK243:AK248"/>
    <mergeCell ref="C246:F246"/>
    <mergeCell ref="G246:I246"/>
    <mergeCell ref="L246:N246"/>
    <mergeCell ref="Q246:S246"/>
    <mergeCell ref="C247:F247"/>
    <mergeCell ref="G247:I247"/>
    <mergeCell ref="L247:N247"/>
    <mergeCell ref="Q247:S247"/>
    <mergeCell ref="C248:F248"/>
    <mergeCell ref="G248:I248"/>
    <mergeCell ref="L248:N248"/>
    <mergeCell ref="Q248:S248"/>
    <mergeCell ref="A261:A266"/>
    <mergeCell ref="AH261:AH266"/>
    <mergeCell ref="AI261:AI266"/>
    <mergeCell ref="AJ261:AJ266"/>
    <mergeCell ref="AK261:AK266"/>
    <mergeCell ref="C264:F264"/>
    <mergeCell ref="G264:I264"/>
    <mergeCell ref="L264:N264"/>
    <mergeCell ref="Q264:S264"/>
    <mergeCell ref="C265:F265"/>
    <mergeCell ref="G265:I265"/>
    <mergeCell ref="L265:N265"/>
    <mergeCell ref="Q265:S265"/>
    <mergeCell ref="C266:F266"/>
    <mergeCell ref="G266:I266"/>
    <mergeCell ref="L266:N266"/>
    <mergeCell ref="Q266:S266"/>
    <mergeCell ref="A267:A272"/>
    <mergeCell ref="AH267:AH272"/>
    <mergeCell ref="AI267:AI272"/>
    <mergeCell ref="AJ267:AJ272"/>
    <mergeCell ref="AK267:AK272"/>
    <mergeCell ref="C270:F270"/>
    <mergeCell ref="G270:I270"/>
    <mergeCell ref="L270:N270"/>
    <mergeCell ref="Q270:S270"/>
    <mergeCell ref="C271:F271"/>
    <mergeCell ref="G271:I271"/>
    <mergeCell ref="L271:N271"/>
    <mergeCell ref="Q271:S271"/>
    <mergeCell ref="C272:F272"/>
    <mergeCell ref="G272:I272"/>
    <mergeCell ref="L272:N272"/>
    <mergeCell ref="Q272:S272"/>
    <mergeCell ref="A273:A278"/>
    <mergeCell ref="AH273:AH278"/>
    <mergeCell ref="AI273:AI278"/>
    <mergeCell ref="AJ273:AJ278"/>
    <mergeCell ref="AK273:AK278"/>
    <mergeCell ref="C276:F276"/>
    <mergeCell ref="G276:I276"/>
    <mergeCell ref="L276:N276"/>
    <mergeCell ref="Q276:S276"/>
    <mergeCell ref="C277:F277"/>
    <mergeCell ref="G277:I277"/>
    <mergeCell ref="L277:N277"/>
    <mergeCell ref="Q277:S277"/>
    <mergeCell ref="C278:F278"/>
    <mergeCell ref="G278:I278"/>
    <mergeCell ref="L278:N278"/>
    <mergeCell ref="Q278:S278"/>
    <mergeCell ref="A291:A296"/>
    <mergeCell ref="AH291:AH296"/>
    <mergeCell ref="AI291:AI296"/>
    <mergeCell ref="AJ291:AJ296"/>
    <mergeCell ref="AK291:AK296"/>
    <mergeCell ref="C294:F294"/>
    <mergeCell ref="G294:K294"/>
    <mergeCell ref="L294:N294"/>
    <mergeCell ref="Q294:S294"/>
    <mergeCell ref="C295:F295"/>
    <mergeCell ref="G295:K295"/>
    <mergeCell ref="L295:N295"/>
    <mergeCell ref="Q295:S295"/>
    <mergeCell ref="C296:F296"/>
    <mergeCell ref="G296:K296"/>
    <mergeCell ref="L296:N296"/>
    <mergeCell ref="Q296:S296"/>
  </mergeCells>
  <phoneticPr fontId="1" type="noConversion"/>
  <printOptions horizontalCentered="1"/>
  <pageMargins left="0" right="0" top="0.39370078740157483" bottom="0" header="0" footer="0"/>
  <pageSetup paperSize="9" scale="35" orientation="landscape" r:id="rId1"/>
  <headerFooter>
    <oddFooter>&amp;C&amp;"標楷體,標準"P10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R99"/>
  <sheetViews>
    <sheetView zoomScale="85" zoomScaleNormal="85" workbookViewId="0">
      <pane xSplit="3" ySplit="2" topLeftCell="D85" activePane="bottomRight" state="frozen"/>
      <selection pane="topRight" activeCell="D1" sqref="D1"/>
      <selection pane="bottomLeft" activeCell="A3" sqref="A3"/>
      <selection pane="bottomRight" activeCell="O100" sqref="O100"/>
    </sheetView>
  </sheetViews>
  <sheetFormatPr defaultRowHeight="16.5"/>
  <cols>
    <col min="1" max="1" width="9.875" customWidth="1"/>
    <col min="4" max="4" width="10.875" customWidth="1"/>
    <col min="5" max="14" width="9" customWidth="1"/>
    <col min="15" max="15" width="9.125" customWidth="1"/>
    <col min="16" max="16" width="9.875" bestFit="1" customWidth="1"/>
    <col min="17" max="18" width="9.125" bestFit="1" customWidth="1"/>
  </cols>
  <sheetData>
    <row r="2" spans="1:16">
      <c r="A2" s="451" t="s">
        <v>271</v>
      </c>
      <c r="B2" s="452"/>
      <c r="C2" s="453"/>
      <c r="D2" s="8" t="s">
        <v>272</v>
      </c>
      <c r="E2" s="8" t="s">
        <v>273</v>
      </c>
      <c r="F2" s="8" t="s">
        <v>274</v>
      </c>
      <c r="G2" s="8" t="s">
        <v>275</v>
      </c>
      <c r="H2" s="8" t="s">
        <v>276</v>
      </c>
      <c r="I2" s="8" t="s">
        <v>277</v>
      </c>
      <c r="J2" s="8" t="s">
        <v>278</v>
      </c>
      <c r="K2" s="8" t="s">
        <v>279</v>
      </c>
      <c r="L2" s="8" t="s">
        <v>280</v>
      </c>
      <c r="M2" s="8" t="s">
        <v>281</v>
      </c>
      <c r="N2" s="8" t="s">
        <v>282</v>
      </c>
      <c r="O2" s="8" t="s">
        <v>283</v>
      </c>
      <c r="P2" s="8" t="s">
        <v>284</v>
      </c>
    </row>
    <row r="3" spans="1:16">
      <c r="A3" s="280" t="s">
        <v>285</v>
      </c>
      <c r="B3" s="364" t="s">
        <v>286</v>
      </c>
      <c r="C3" s="2" t="s">
        <v>63</v>
      </c>
      <c r="D3" s="2">
        <v>5209</v>
      </c>
      <c r="E3" s="2">
        <v>3910</v>
      </c>
      <c r="F3" s="2">
        <v>3825</v>
      </c>
      <c r="G3" s="2">
        <v>5081</v>
      </c>
      <c r="H3" s="2">
        <v>4373</v>
      </c>
      <c r="I3" s="2">
        <v>4412</v>
      </c>
      <c r="J3" s="2">
        <v>4886</v>
      </c>
      <c r="K3" s="2">
        <v>3851</v>
      </c>
      <c r="L3" s="2">
        <v>3918</v>
      </c>
      <c r="M3" s="2">
        <v>3585</v>
      </c>
      <c r="N3" s="2">
        <v>4418</v>
      </c>
      <c r="O3" s="2">
        <v>2901</v>
      </c>
      <c r="P3" s="2">
        <v>50369</v>
      </c>
    </row>
    <row r="4" spans="1:16">
      <c r="A4" s="280"/>
      <c r="B4" s="357"/>
      <c r="C4" s="2" t="s">
        <v>65</v>
      </c>
      <c r="D4" s="2">
        <v>9072</v>
      </c>
      <c r="E4" s="2">
        <v>10025</v>
      </c>
      <c r="F4" s="2">
        <v>15303</v>
      </c>
      <c r="G4" s="2">
        <v>14948</v>
      </c>
      <c r="H4" s="2">
        <v>8755</v>
      </c>
      <c r="I4" s="2">
        <v>10066</v>
      </c>
      <c r="J4" s="2">
        <v>10998</v>
      </c>
      <c r="K4" s="2">
        <v>7788</v>
      </c>
      <c r="L4" s="2">
        <v>10408</v>
      </c>
      <c r="M4" s="2">
        <v>15447</v>
      </c>
      <c r="N4" s="2">
        <v>11424</v>
      </c>
      <c r="O4" s="2">
        <v>11286</v>
      </c>
      <c r="P4" s="2">
        <v>135520</v>
      </c>
    </row>
    <row r="5" spans="1:16">
      <c r="A5" s="280"/>
      <c r="B5" s="357"/>
      <c r="C5" s="2" t="s">
        <v>66</v>
      </c>
      <c r="D5" s="2">
        <f>SUM(D3:D4)</f>
        <v>14281</v>
      </c>
      <c r="E5" s="2">
        <f t="shared" ref="E5:P5" si="0">SUM(E3:E4)</f>
        <v>13935</v>
      </c>
      <c r="F5" s="2">
        <f t="shared" si="0"/>
        <v>19128</v>
      </c>
      <c r="G5" s="2">
        <f t="shared" si="0"/>
        <v>20029</v>
      </c>
      <c r="H5" s="2">
        <f t="shared" si="0"/>
        <v>13128</v>
      </c>
      <c r="I5" s="2">
        <f t="shared" si="0"/>
        <v>14478</v>
      </c>
      <c r="J5" s="2">
        <f t="shared" si="0"/>
        <v>15884</v>
      </c>
      <c r="K5" s="2">
        <f t="shared" si="0"/>
        <v>11639</v>
      </c>
      <c r="L5" s="2">
        <f t="shared" si="0"/>
        <v>14326</v>
      </c>
      <c r="M5" s="2">
        <f t="shared" si="0"/>
        <v>19032</v>
      </c>
      <c r="N5" s="2">
        <f t="shared" si="0"/>
        <v>15842</v>
      </c>
      <c r="O5" s="2">
        <f t="shared" si="0"/>
        <v>14187</v>
      </c>
      <c r="P5" s="2">
        <f t="shared" si="0"/>
        <v>185889</v>
      </c>
    </row>
    <row r="6" spans="1:16">
      <c r="A6" s="280"/>
      <c r="B6" s="337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80"/>
      <c r="B7" s="449" t="s">
        <v>69</v>
      </c>
      <c r="C7" s="2" t="s">
        <v>63</v>
      </c>
      <c r="D7" s="2">
        <v>27.3</v>
      </c>
      <c r="E7" s="2">
        <v>21.5</v>
      </c>
      <c r="F7" s="2">
        <v>38.200000000000003</v>
      </c>
      <c r="G7" s="2">
        <v>44.6</v>
      </c>
      <c r="H7" s="2">
        <v>27.2</v>
      </c>
      <c r="I7" s="2">
        <v>34.799999999999997</v>
      </c>
      <c r="J7" s="2">
        <v>36.1</v>
      </c>
      <c r="K7" s="2">
        <v>22.5</v>
      </c>
      <c r="L7" s="2">
        <v>20.7</v>
      </c>
      <c r="M7" s="2">
        <v>24.5</v>
      </c>
      <c r="N7" s="2">
        <v>21</v>
      </c>
      <c r="O7" s="2">
        <v>32</v>
      </c>
      <c r="P7" s="2">
        <v>350.4</v>
      </c>
    </row>
    <row r="8" spans="1:16">
      <c r="A8" s="280"/>
      <c r="B8" s="311"/>
      <c r="C8" s="2" t="s">
        <v>65</v>
      </c>
      <c r="D8" s="2">
        <v>33.4</v>
      </c>
      <c r="E8" s="2">
        <v>35.4</v>
      </c>
      <c r="F8" s="2">
        <v>71.3</v>
      </c>
      <c r="G8" s="2">
        <v>70.400000000000006</v>
      </c>
      <c r="H8" s="2">
        <v>33.200000000000003</v>
      </c>
      <c r="I8" s="2">
        <v>40.4</v>
      </c>
      <c r="J8" s="2">
        <v>43.1</v>
      </c>
      <c r="K8" s="2">
        <v>26.9</v>
      </c>
      <c r="L8" s="2">
        <v>39.5</v>
      </c>
      <c r="M8" s="2">
        <v>53.4</v>
      </c>
      <c r="N8" s="2">
        <v>52</v>
      </c>
      <c r="O8" s="2">
        <v>54.6</v>
      </c>
      <c r="P8" s="2">
        <f>SUM(D8:O8)</f>
        <v>553.59999999999991</v>
      </c>
    </row>
    <row r="9" spans="1:16">
      <c r="A9" s="280"/>
      <c r="B9" s="311"/>
      <c r="C9" s="2" t="s">
        <v>66</v>
      </c>
      <c r="D9" s="2">
        <f>SUM(D7:D8)</f>
        <v>60.7</v>
      </c>
      <c r="E9" s="2">
        <f t="shared" ref="E9:O9" si="1">SUM(E7:E8)</f>
        <v>56.9</v>
      </c>
      <c r="F9" s="2">
        <f t="shared" si="1"/>
        <v>109.5</v>
      </c>
      <c r="G9" s="2">
        <f t="shared" si="1"/>
        <v>115</v>
      </c>
      <c r="H9" s="2">
        <f>SUM(H7:H8)</f>
        <v>60.400000000000006</v>
      </c>
      <c r="I9" s="2">
        <f t="shared" si="1"/>
        <v>75.199999999999989</v>
      </c>
      <c r="J9" s="2">
        <f t="shared" si="1"/>
        <v>79.2</v>
      </c>
      <c r="K9" s="2">
        <f t="shared" si="1"/>
        <v>49.4</v>
      </c>
      <c r="L9" s="2">
        <f t="shared" si="1"/>
        <v>60.2</v>
      </c>
      <c r="M9" s="2">
        <f t="shared" si="1"/>
        <v>77.900000000000006</v>
      </c>
      <c r="N9" s="2">
        <f t="shared" si="1"/>
        <v>73</v>
      </c>
      <c r="O9" s="2">
        <f t="shared" si="1"/>
        <v>86.6</v>
      </c>
      <c r="P9" s="2">
        <f>SUM(D9:O9)</f>
        <v>904</v>
      </c>
    </row>
    <row r="10" spans="1:16">
      <c r="A10" s="280"/>
      <c r="B10" s="31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80" t="s">
        <v>287</v>
      </c>
      <c r="B11" s="311" t="s">
        <v>286</v>
      </c>
      <c r="C11" s="2" t="s">
        <v>63</v>
      </c>
      <c r="D11" s="3">
        <v>3682</v>
      </c>
      <c r="E11" s="3">
        <v>2836</v>
      </c>
      <c r="F11" s="3">
        <v>5003</v>
      </c>
      <c r="G11" s="3">
        <v>3897</v>
      </c>
      <c r="H11" s="2">
        <v>3875</v>
      </c>
      <c r="I11" s="2">
        <v>4322</v>
      </c>
      <c r="J11" s="2">
        <v>5970</v>
      </c>
      <c r="K11" s="2">
        <v>2327</v>
      </c>
      <c r="L11" s="2">
        <v>3296</v>
      </c>
      <c r="M11" s="2">
        <v>4341</v>
      </c>
      <c r="N11" s="2">
        <v>3640</v>
      </c>
      <c r="O11" s="2">
        <v>3880</v>
      </c>
      <c r="P11" s="3">
        <f>SUM(D11:O11)</f>
        <v>47069</v>
      </c>
    </row>
    <row r="12" spans="1:16">
      <c r="A12" s="280"/>
      <c r="B12" s="311"/>
      <c r="C12" s="2" t="s">
        <v>65</v>
      </c>
      <c r="D12" s="3">
        <v>21027</v>
      </c>
      <c r="E12" s="3">
        <v>11097</v>
      </c>
      <c r="F12" s="3">
        <v>19367</v>
      </c>
      <c r="G12" s="3">
        <v>17626</v>
      </c>
      <c r="H12" s="2">
        <v>17245</v>
      </c>
      <c r="I12" s="2">
        <v>17245</v>
      </c>
      <c r="J12" s="2">
        <v>14879</v>
      </c>
      <c r="K12" s="2">
        <v>9229</v>
      </c>
      <c r="L12" s="2">
        <v>21318</v>
      </c>
      <c r="M12" s="2">
        <v>13625</v>
      </c>
      <c r="N12" s="2">
        <v>24016</v>
      </c>
      <c r="O12" s="2">
        <v>22278</v>
      </c>
      <c r="P12" s="3">
        <f t="shared" ref="P12:P17" si="2">SUM(D12:O12)</f>
        <v>208952</v>
      </c>
    </row>
    <row r="13" spans="1:16">
      <c r="A13" s="280"/>
      <c r="B13" s="311"/>
      <c r="C13" s="2" t="s">
        <v>66</v>
      </c>
      <c r="D13" s="3">
        <f>SUM(D11:D12)</f>
        <v>24709</v>
      </c>
      <c r="E13" s="3">
        <f t="shared" ref="E13:L13" si="3">SUM(E11:E12)</f>
        <v>13933</v>
      </c>
      <c r="F13" s="3">
        <f t="shared" si="3"/>
        <v>24370</v>
      </c>
      <c r="G13" s="3">
        <f t="shared" si="3"/>
        <v>21523</v>
      </c>
      <c r="H13" s="3">
        <f t="shared" si="3"/>
        <v>21120</v>
      </c>
      <c r="I13" s="3">
        <f t="shared" si="3"/>
        <v>21567</v>
      </c>
      <c r="J13" s="3">
        <f t="shared" si="3"/>
        <v>20849</v>
      </c>
      <c r="K13" s="3">
        <f t="shared" si="3"/>
        <v>11556</v>
      </c>
      <c r="L13" s="3">
        <f t="shared" si="3"/>
        <v>24614</v>
      </c>
      <c r="M13" s="3">
        <f>SUM(M11:M12)</f>
        <v>17966</v>
      </c>
      <c r="N13" s="3">
        <f>SUM(N11:N12)</f>
        <v>27656</v>
      </c>
      <c r="O13" s="2">
        <f>SUM(O11:O12)</f>
        <v>26158</v>
      </c>
      <c r="P13" s="3">
        <f t="shared" si="2"/>
        <v>256021</v>
      </c>
    </row>
    <row r="14" spans="1:16">
      <c r="A14" s="280"/>
      <c r="B14" s="311"/>
      <c r="C14" s="2" t="s">
        <v>67</v>
      </c>
      <c r="D14" s="4">
        <f>D13/D5</f>
        <v>1.7302009663188853</v>
      </c>
      <c r="E14" s="4">
        <f>E13/E5</f>
        <v>0.99985647649802656</v>
      </c>
      <c r="F14" s="4">
        <f>F13/F5</f>
        <v>1.2740485152655792</v>
      </c>
      <c r="G14" s="4">
        <f>G13/G5</f>
        <v>1.0745918418293474</v>
      </c>
      <c r="H14" s="4">
        <f t="shared" ref="H14:M14" si="4">H13/H5</f>
        <v>1.6087751371115173</v>
      </c>
      <c r="I14" s="4">
        <f t="shared" si="4"/>
        <v>1.4896394529631165</v>
      </c>
      <c r="J14" s="4">
        <f t="shared" si="4"/>
        <v>1.3125786955426844</v>
      </c>
      <c r="K14" s="4">
        <f t="shared" si="4"/>
        <v>0.99286880316178361</v>
      </c>
      <c r="L14" s="4">
        <f t="shared" si="4"/>
        <v>1.7181348596956583</v>
      </c>
      <c r="M14" s="4">
        <f t="shared" si="4"/>
        <v>0.94398907103825136</v>
      </c>
      <c r="N14" s="4">
        <f>N13/N5</f>
        <v>1.7457391743466735</v>
      </c>
      <c r="O14" s="4">
        <f>O13/O5</f>
        <v>1.8438006625784169</v>
      </c>
      <c r="P14" s="3">
        <f t="shared" si="2"/>
        <v>16.73422365634994</v>
      </c>
    </row>
    <row r="15" spans="1:16">
      <c r="A15" s="280"/>
      <c r="B15" s="449" t="s">
        <v>69</v>
      </c>
      <c r="C15" s="2" t="s">
        <v>63</v>
      </c>
      <c r="D15" s="7">
        <v>17.7</v>
      </c>
      <c r="E15" s="7">
        <v>45.5</v>
      </c>
      <c r="F15" s="7">
        <v>70</v>
      </c>
      <c r="G15" s="7">
        <v>36</v>
      </c>
      <c r="H15" s="2">
        <v>53</v>
      </c>
      <c r="I15" s="2">
        <v>46</v>
      </c>
      <c r="J15" s="2">
        <v>29.4</v>
      </c>
      <c r="K15" s="2">
        <v>11.8</v>
      </c>
      <c r="L15" s="2">
        <v>39.6</v>
      </c>
      <c r="M15" s="2">
        <v>26.6</v>
      </c>
      <c r="N15" s="2">
        <v>21.8</v>
      </c>
      <c r="O15" s="2">
        <v>35.9</v>
      </c>
      <c r="P15" s="3">
        <f t="shared" si="2"/>
        <v>433.3</v>
      </c>
    </row>
    <row r="16" spans="1:16">
      <c r="A16" s="280"/>
      <c r="B16" s="311"/>
      <c r="C16" s="2" t="s">
        <v>65</v>
      </c>
      <c r="D16" s="7">
        <v>102.9</v>
      </c>
      <c r="E16" s="7">
        <v>54</v>
      </c>
      <c r="F16" s="7">
        <v>80.900000000000006</v>
      </c>
      <c r="G16" s="7">
        <v>83.5</v>
      </c>
      <c r="H16" s="2">
        <v>75.2</v>
      </c>
      <c r="I16" s="2">
        <v>82.8</v>
      </c>
      <c r="J16" s="2">
        <v>65.599999999999994</v>
      </c>
      <c r="K16" s="2">
        <v>42</v>
      </c>
      <c r="L16" s="2">
        <v>110.6</v>
      </c>
      <c r="M16" s="2">
        <v>56</v>
      </c>
      <c r="N16" s="2">
        <v>109.7</v>
      </c>
      <c r="O16" s="2">
        <v>109.7</v>
      </c>
      <c r="P16" s="3">
        <f t="shared" si="2"/>
        <v>972.90000000000009</v>
      </c>
    </row>
    <row r="17" spans="1:18">
      <c r="A17" s="280"/>
      <c r="B17" s="311"/>
      <c r="C17" s="2" t="s">
        <v>66</v>
      </c>
      <c r="D17" s="7">
        <f t="shared" ref="D17:O17" si="5">SUM(D15:D16)</f>
        <v>120.60000000000001</v>
      </c>
      <c r="E17" s="7">
        <f t="shared" si="5"/>
        <v>99.5</v>
      </c>
      <c r="F17" s="7">
        <f t="shared" si="5"/>
        <v>150.9</v>
      </c>
      <c r="G17" s="7">
        <f t="shared" si="5"/>
        <v>119.5</v>
      </c>
      <c r="H17" s="7">
        <f t="shared" si="5"/>
        <v>128.19999999999999</v>
      </c>
      <c r="I17" s="7">
        <f t="shared" si="5"/>
        <v>128.80000000000001</v>
      </c>
      <c r="J17" s="7">
        <f t="shared" si="5"/>
        <v>95</v>
      </c>
      <c r="K17" s="7">
        <f t="shared" si="5"/>
        <v>53.8</v>
      </c>
      <c r="L17" s="7">
        <f t="shared" si="5"/>
        <v>150.19999999999999</v>
      </c>
      <c r="M17" s="7">
        <f t="shared" si="5"/>
        <v>82.6</v>
      </c>
      <c r="N17" s="7">
        <f t="shared" si="5"/>
        <v>131.5</v>
      </c>
      <c r="O17" s="7">
        <f t="shared" si="5"/>
        <v>145.6</v>
      </c>
      <c r="P17" s="3">
        <f t="shared" si="2"/>
        <v>1406.1999999999998</v>
      </c>
    </row>
    <row r="18" spans="1:18">
      <c r="A18" s="280"/>
      <c r="B18" s="311"/>
      <c r="C18" s="2" t="s">
        <v>25</v>
      </c>
      <c r="D18" s="4">
        <f t="shared" ref="D18:P18" si="6">D17/D9</f>
        <v>1.9868204283360791</v>
      </c>
      <c r="E18" s="4">
        <f t="shared" si="6"/>
        <v>1.748681898066784</v>
      </c>
      <c r="F18" s="4">
        <f t="shared" si="6"/>
        <v>1.3780821917808219</v>
      </c>
      <c r="G18" s="4">
        <f t="shared" si="6"/>
        <v>1.0391304347826087</v>
      </c>
      <c r="H18" s="4">
        <f t="shared" si="6"/>
        <v>2.1225165562913904</v>
      </c>
      <c r="I18" s="4">
        <f t="shared" si="6"/>
        <v>1.7127659574468088</v>
      </c>
      <c r="J18" s="4">
        <f t="shared" si="6"/>
        <v>1.1994949494949494</v>
      </c>
      <c r="K18" s="4">
        <f t="shared" si="6"/>
        <v>1.0890688259109311</v>
      </c>
      <c r="L18" s="4">
        <f t="shared" si="6"/>
        <v>2.4950166112956809</v>
      </c>
      <c r="M18" s="4">
        <f t="shared" si="6"/>
        <v>1.0603337612323491</v>
      </c>
      <c r="N18" s="4">
        <f t="shared" si="6"/>
        <v>1.8013698630136987</v>
      </c>
      <c r="O18" s="4">
        <f t="shared" si="6"/>
        <v>1.6812933025404158</v>
      </c>
      <c r="P18" s="4">
        <f t="shared" si="6"/>
        <v>1.5555309734513272</v>
      </c>
      <c r="Q18" s="47">
        <f>SUM(D18:P18)</f>
        <v>20.870105753643841</v>
      </c>
      <c r="R18" s="48">
        <f>Q18/12</f>
        <v>1.73917547947032</v>
      </c>
    </row>
    <row r="19" spans="1:18">
      <c r="A19" s="280" t="s">
        <v>288</v>
      </c>
      <c r="B19" s="311" t="s">
        <v>286</v>
      </c>
      <c r="C19" s="2" t="s">
        <v>63</v>
      </c>
      <c r="D19" s="3">
        <v>3338</v>
      </c>
      <c r="E19" s="3">
        <v>3751</v>
      </c>
      <c r="F19" s="3">
        <v>3605</v>
      </c>
      <c r="G19" s="3">
        <v>1456</v>
      </c>
      <c r="H19" s="2">
        <v>2994</v>
      </c>
      <c r="I19" s="2">
        <v>4268</v>
      </c>
      <c r="J19" s="2">
        <v>3994</v>
      </c>
      <c r="K19" s="2">
        <v>3873</v>
      </c>
      <c r="L19" s="2">
        <v>5975</v>
      </c>
      <c r="M19" s="2">
        <v>3747</v>
      </c>
      <c r="N19" s="2">
        <v>5619</v>
      </c>
      <c r="O19" s="2">
        <v>3012</v>
      </c>
      <c r="P19" s="3"/>
    </row>
    <row r="20" spans="1:18">
      <c r="A20" s="280"/>
      <c r="B20" s="311"/>
      <c r="C20" s="2" t="s">
        <v>65</v>
      </c>
      <c r="D20" s="3">
        <v>19493</v>
      </c>
      <c r="E20" s="3">
        <v>15955</v>
      </c>
      <c r="F20" s="3">
        <v>25893</v>
      </c>
      <c r="G20" s="3">
        <v>13272</v>
      </c>
      <c r="H20" s="2">
        <v>23488</v>
      </c>
      <c r="I20" s="2">
        <v>20366</v>
      </c>
      <c r="J20" s="2">
        <v>18294</v>
      </c>
      <c r="K20" s="2">
        <v>15565</v>
      </c>
      <c r="L20" s="2">
        <v>17423</v>
      </c>
      <c r="M20" s="2">
        <v>17599</v>
      </c>
      <c r="N20" s="2">
        <v>19639</v>
      </c>
      <c r="O20" s="2">
        <v>22475</v>
      </c>
      <c r="P20" s="3"/>
    </row>
    <row r="21" spans="1:18">
      <c r="A21" s="280"/>
      <c r="B21" s="311"/>
      <c r="C21" s="2" t="s">
        <v>66</v>
      </c>
      <c r="D21" s="3">
        <v>22831</v>
      </c>
      <c r="E21" s="3">
        <v>19706</v>
      </c>
      <c r="F21" s="3">
        <v>29498</v>
      </c>
      <c r="G21" s="3">
        <v>14728</v>
      </c>
      <c r="H21" s="3">
        <v>24648</v>
      </c>
      <c r="I21" s="3">
        <v>24634</v>
      </c>
      <c r="J21" s="3">
        <v>22288</v>
      </c>
      <c r="K21" s="3">
        <v>19438</v>
      </c>
      <c r="L21" s="3">
        <v>23398</v>
      </c>
      <c r="M21" s="3">
        <v>21346</v>
      </c>
      <c r="N21" s="3">
        <v>25258</v>
      </c>
      <c r="O21" s="2">
        <f>SUM(O19:O20)</f>
        <v>25487</v>
      </c>
      <c r="P21" s="3"/>
    </row>
    <row r="22" spans="1:18">
      <c r="A22" s="280"/>
      <c r="B22" s="311"/>
      <c r="C22" s="2" t="s">
        <v>67</v>
      </c>
      <c r="D22" s="4">
        <f t="shared" ref="D22:O22" si="7">D21/D13</f>
        <v>0.92399530535432428</v>
      </c>
      <c r="E22" s="4">
        <f t="shared" si="7"/>
        <v>1.4143400559822006</v>
      </c>
      <c r="F22" s="4">
        <f t="shared" si="7"/>
        <v>1.2104226508001641</v>
      </c>
      <c r="G22" s="4">
        <f t="shared" si="7"/>
        <v>0.68429122334247083</v>
      </c>
      <c r="H22" s="4">
        <f t="shared" si="7"/>
        <v>1.1670454545454545</v>
      </c>
      <c r="I22" s="4">
        <f t="shared" si="7"/>
        <v>1.1422080029674966</v>
      </c>
      <c r="J22" s="4">
        <f t="shared" si="7"/>
        <v>1.0690200968871408</v>
      </c>
      <c r="K22" s="4">
        <f t="shared" si="7"/>
        <v>1.6820699203876774</v>
      </c>
      <c r="L22" s="4">
        <f t="shared" si="7"/>
        <v>0.9505972210936865</v>
      </c>
      <c r="M22" s="4">
        <f t="shared" si="7"/>
        <v>1.1881331403762663</v>
      </c>
      <c r="N22" s="4">
        <f t="shared" si="7"/>
        <v>0.91329187156494074</v>
      </c>
      <c r="O22" s="4">
        <f t="shared" si="7"/>
        <v>0.97434819175777965</v>
      </c>
      <c r="P22" s="3"/>
    </row>
    <row r="23" spans="1:18">
      <c r="A23" s="280"/>
      <c r="B23" s="449" t="s">
        <v>69</v>
      </c>
      <c r="C23" s="2" t="s">
        <v>63</v>
      </c>
      <c r="D23" s="7">
        <v>16.2</v>
      </c>
      <c r="E23" s="7">
        <v>22.1</v>
      </c>
      <c r="F23" s="7">
        <v>18.100000000000001</v>
      </c>
      <c r="G23" s="7">
        <v>6.7</v>
      </c>
      <c r="H23" s="2">
        <v>15.2</v>
      </c>
      <c r="I23" s="2">
        <v>23.9</v>
      </c>
      <c r="J23" s="2">
        <v>31.5</v>
      </c>
      <c r="K23" s="2">
        <v>19</v>
      </c>
      <c r="L23" s="2">
        <v>26.2</v>
      </c>
      <c r="M23" s="2">
        <v>29.1</v>
      </c>
      <c r="N23" s="2">
        <v>35.1</v>
      </c>
      <c r="O23" s="2">
        <v>32.299999999999997</v>
      </c>
      <c r="P23" s="3"/>
    </row>
    <row r="24" spans="1:18">
      <c r="A24" s="280"/>
      <c r="B24" s="311"/>
      <c r="C24" s="2" t="s">
        <v>65</v>
      </c>
      <c r="D24" s="7">
        <v>95.5</v>
      </c>
      <c r="E24" s="7">
        <v>73.2</v>
      </c>
      <c r="F24" s="7">
        <v>116.3</v>
      </c>
      <c r="G24" s="7">
        <v>58.8</v>
      </c>
      <c r="H24" s="2">
        <v>110.5</v>
      </c>
      <c r="I24" s="2">
        <v>90.5</v>
      </c>
      <c r="J24" s="2">
        <v>85.3</v>
      </c>
      <c r="K24" s="2">
        <v>70.8</v>
      </c>
      <c r="L24" s="2">
        <v>83</v>
      </c>
      <c r="M24" s="2">
        <v>90</v>
      </c>
      <c r="N24" s="2">
        <v>96.1</v>
      </c>
      <c r="O24" s="2">
        <v>110.1</v>
      </c>
      <c r="P24" s="3"/>
    </row>
    <row r="25" spans="1:18">
      <c r="A25" s="280"/>
      <c r="B25" s="311"/>
      <c r="C25" s="2" t="s">
        <v>66</v>
      </c>
      <c r="D25" s="7">
        <v>111.7</v>
      </c>
      <c r="E25" s="7">
        <v>95.3</v>
      </c>
      <c r="F25" s="7">
        <v>134.4</v>
      </c>
      <c r="G25" s="7">
        <v>65.5</v>
      </c>
      <c r="H25" s="7">
        <v>125.7</v>
      </c>
      <c r="I25" s="7">
        <v>114.4</v>
      </c>
      <c r="J25" s="7">
        <v>116.8</v>
      </c>
      <c r="K25" s="7">
        <v>89.8</v>
      </c>
      <c r="L25" s="7">
        <v>109.2</v>
      </c>
      <c r="M25" s="7">
        <v>119.1</v>
      </c>
      <c r="N25" s="7">
        <v>131.19999999999999</v>
      </c>
      <c r="O25" s="7">
        <f>SUM(O23:O24)</f>
        <v>142.39999999999998</v>
      </c>
      <c r="P25" s="3"/>
    </row>
    <row r="26" spans="1:18">
      <c r="A26" s="280"/>
      <c r="B26" s="311"/>
      <c r="C26" s="2" t="s">
        <v>25</v>
      </c>
      <c r="D26" s="4">
        <f>D25/D17</f>
        <v>0.92620232172470973</v>
      </c>
      <c r="E26" s="4">
        <f t="shared" ref="E26:O26" si="8">E25/E17</f>
        <v>0.95778894472361809</v>
      </c>
      <c r="F26" s="4">
        <f t="shared" si="8"/>
        <v>0.89065606361829031</v>
      </c>
      <c r="G26" s="4">
        <f t="shared" si="8"/>
        <v>0.54811715481171552</v>
      </c>
      <c r="H26" s="4">
        <f t="shared" si="8"/>
        <v>0.98049921996879885</v>
      </c>
      <c r="I26" s="4">
        <f t="shared" si="8"/>
        <v>0.88819875776397517</v>
      </c>
      <c r="J26" s="4">
        <f t="shared" si="8"/>
        <v>1.2294736842105263</v>
      </c>
      <c r="K26" s="4">
        <f t="shared" si="8"/>
        <v>1.6691449814126393</v>
      </c>
      <c r="L26" s="4">
        <f t="shared" si="8"/>
        <v>0.72703062583222378</v>
      </c>
      <c r="M26" s="4">
        <f t="shared" si="8"/>
        <v>1.4418886198547216</v>
      </c>
      <c r="N26" s="4">
        <f t="shared" si="8"/>
        <v>0.99771863117870718</v>
      </c>
      <c r="O26" s="4">
        <f t="shared" si="8"/>
        <v>0.97802197802197788</v>
      </c>
      <c r="P26" s="4"/>
    </row>
    <row r="27" spans="1:18">
      <c r="A27" s="280" t="s">
        <v>289</v>
      </c>
      <c r="B27" s="311" t="s">
        <v>286</v>
      </c>
      <c r="C27" s="2" t="s">
        <v>63</v>
      </c>
      <c r="D27" s="3">
        <v>2876</v>
      </c>
      <c r="E27" s="3">
        <v>2359</v>
      </c>
      <c r="F27" s="3">
        <v>4705</v>
      </c>
      <c r="G27" s="3">
        <v>2973</v>
      </c>
      <c r="H27" s="2">
        <v>3131</v>
      </c>
      <c r="I27" s="2">
        <v>4878</v>
      </c>
      <c r="J27" s="2">
        <v>4725</v>
      </c>
      <c r="K27" s="2">
        <v>3367</v>
      </c>
      <c r="L27" s="2">
        <v>2448</v>
      </c>
      <c r="M27" s="2">
        <v>2792</v>
      </c>
      <c r="N27" s="2">
        <v>6921</v>
      </c>
      <c r="O27" s="2">
        <v>5847</v>
      </c>
      <c r="P27" s="3"/>
    </row>
    <row r="28" spans="1:18">
      <c r="A28" s="280"/>
      <c r="B28" s="311"/>
      <c r="C28" s="2" t="s">
        <v>65</v>
      </c>
      <c r="D28" s="3">
        <v>23333</v>
      </c>
      <c r="E28" s="3">
        <v>20020</v>
      </c>
      <c r="F28" s="3">
        <v>23623</v>
      </c>
      <c r="G28" s="3">
        <v>11484</v>
      </c>
      <c r="H28" s="2">
        <v>22607</v>
      </c>
      <c r="I28" s="2">
        <v>22292</v>
      </c>
      <c r="J28" s="2">
        <v>19945</v>
      </c>
      <c r="K28" s="2">
        <v>21619</v>
      </c>
      <c r="L28" s="2">
        <v>19035</v>
      </c>
      <c r="M28" s="2">
        <v>13170</v>
      </c>
      <c r="N28" s="2">
        <v>13418</v>
      </c>
      <c r="O28" s="2">
        <v>12391</v>
      </c>
      <c r="P28" s="3"/>
    </row>
    <row r="29" spans="1:18">
      <c r="A29" s="280"/>
      <c r="B29" s="311"/>
      <c r="C29" s="2" t="s">
        <v>66</v>
      </c>
      <c r="D29" s="3">
        <f>SUM(D27:D28)</f>
        <v>26209</v>
      </c>
      <c r="E29" s="3">
        <v>22379</v>
      </c>
      <c r="F29" s="3">
        <v>28328</v>
      </c>
      <c r="G29" s="3">
        <v>14457</v>
      </c>
      <c r="H29" s="3">
        <v>25738</v>
      </c>
      <c r="I29" s="3">
        <v>27170</v>
      </c>
      <c r="J29" s="3">
        <v>24670</v>
      </c>
      <c r="K29" s="3">
        <v>24986</v>
      </c>
      <c r="L29" s="3">
        <v>21483</v>
      </c>
      <c r="M29" s="3">
        <v>15962</v>
      </c>
      <c r="N29" s="3">
        <v>20339</v>
      </c>
      <c r="O29" s="3">
        <v>18238</v>
      </c>
      <c r="P29" s="3"/>
    </row>
    <row r="30" spans="1:18">
      <c r="A30" s="280"/>
      <c r="B30" s="311"/>
      <c r="C30" s="2" t="s">
        <v>67</v>
      </c>
      <c r="D30" s="4">
        <f t="shared" ref="D30:O30" si="9">D29/D21</f>
        <v>1.1479567255047962</v>
      </c>
      <c r="E30" s="4">
        <f t="shared" si="9"/>
        <v>1.1356439663046787</v>
      </c>
      <c r="F30" s="4">
        <f t="shared" si="9"/>
        <v>0.96033629398603293</v>
      </c>
      <c r="G30" s="4">
        <f t="shared" si="9"/>
        <v>0.98159967409016835</v>
      </c>
      <c r="H30" s="4">
        <f t="shared" si="9"/>
        <v>1.0442226549821487</v>
      </c>
      <c r="I30" s="4">
        <f t="shared" si="9"/>
        <v>1.1029471462206706</v>
      </c>
      <c r="J30" s="4">
        <f t="shared" si="9"/>
        <v>1.1068736539842068</v>
      </c>
      <c r="K30" s="4">
        <f t="shared" si="9"/>
        <v>1.2854203107315567</v>
      </c>
      <c r="L30" s="4">
        <f t="shared" si="9"/>
        <v>0.9181553978972562</v>
      </c>
      <c r="M30" s="53">
        <f t="shared" si="9"/>
        <v>0.74777475873699994</v>
      </c>
      <c r="N30" s="53">
        <f t="shared" si="9"/>
        <v>0.80524982183862537</v>
      </c>
      <c r="O30" s="53">
        <f t="shared" si="9"/>
        <v>0.71558049201553731</v>
      </c>
      <c r="P30" s="3"/>
    </row>
    <row r="31" spans="1:18">
      <c r="A31" s="280"/>
      <c r="B31" s="449" t="s">
        <v>69</v>
      </c>
      <c r="C31" s="2" t="s">
        <v>63</v>
      </c>
      <c r="D31" s="7">
        <v>28.9</v>
      </c>
      <c r="E31" s="7">
        <v>32.1</v>
      </c>
      <c r="F31" s="7">
        <v>36.9</v>
      </c>
      <c r="G31" s="7">
        <v>23.4</v>
      </c>
      <c r="H31" s="2">
        <v>26.8</v>
      </c>
      <c r="I31" s="2">
        <v>25.1</v>
      </c>
      <c r="J31" s="2">
        <v>29.6</v>
      </c>
      <c r="K31" s="2">
        <v>28.3</v>
      </c>
      <c r="L31" s="2">
        <v>28.6</v>
      </c>
      <c r="M31" s="2">
        <v>21.6</v>
      </c>
      <c r="N31" s="2">
        <v>40.4</v>
      </c>
      <c r="O31" s="2">
        <v>34.1</v>
      </c>
      <c r="P31" s="3"/>
    </row>
    <row r="32" spans="1:18">
      <c r="A32" s="280"/>
      <c r="B32" s="311"/>
      <c r="C32" s="2" t="s">
        <v>65</v>
      </c>
      <c r="D32" s="7">
        <v>113.3</v>
      </c>
      <c r="E32" s="7">
        <v>92.9</v>
      </c>
      <c r="F32" s="7">
        <v>111.3</v>
      </c>
      <c r="G32" s="7">
        <v>49.4</v>
      </c>
      <c r="H32" s="2">
        <v>97.6</v>
      </c>
      <c r="I32" s="2">
        <v>108.2</v>
      </c>
      <c r="J32" s="2">
        <v>100.7</v>
      </c>
      <c r="K32" s="2">
        <v>103.3</v>
      </c>
      <c r="L32" s="2">
        <v>88.3</v>
      </c>
      <c r="M32" s="2">
        <v>62.8</v>
      </c>
      <c r="N32" s="2">
        <v>59</v>
      </c>
      <c r="O32" s="2">
        <v>62</v>
      </c>
      <c r="P32" s="3"/>
    </row>
    <row r="33" spans="1:16">
      <c r="A33" s="280"/>
      <c r="B33" s="311"/>
      <c r="C33" s="2" t="s">
        <v>66</v>
      </c>
      <c r="D33" s="7">
        <v>142.19999999999999</v>
      </c>
      <c r="E33" s="7">
        <v>125</v>
      </c>
      <c r="F33" s="7">
        <v>148.19999999999999</v>
      </c>
      <c r="G33" s="7">
        <v>72.8</v>
      </c>
      <c r="H33" s="7">
        <v>124.4</v>
      </c>
      <c r="I33" s="7">
        <v>133.30000000000001</v>
      </c>
      <c r="J33" s="7">
        <v>130.30000000000001</v>
      </c>
      <c r="K33" s="7">
        <v>131.6</v>
      </c>
      <c r="L33" s="7">
        <v>116.9</v>
      </c>
      <c r="M33" s="7">
        <v>84.4</v>
      </c>
      <c r="N33" s="7">
        <v>99.4</v>
      </c>
      <c r="O33" s="7">
        <v>96.1</v>
      </c>
      <c r="P33" s="3"/>
    </row>
    <row r="34" spans="1:16">
      <c r="A34" s="280"/>
      <c r="B34" s="311"/>
      <c r="C34" s="2" t="s">
        <v>25</v>
      </c>
      <c r="D34" s="4">
        <f t="shared" ref="D34:O34" si="10">D33/D25</f>
        <v>1.2730528200537152</v>
      </c>
      <c r="E34" s="4">
        <f t="shared" si="10"/>
        <v>1.3116474291710389</v>
      </c>
      <c r="F34" s="4">
        <f t="shared" si="10"/>
        <v>1.1026785714285714</v>
      </c>
      <c r="G34" s="4">
        <f t="shared" si="10"/>
        <v>1.1114503816793893</v>
      </c>
      <c r="H34" s="4">
        <f t="shared" si="10"/>
        <v>0.98965791567223549</v>
      </c>
      <c r="I34" s="4">
        <f t="shared" si="10"/>
        <v>1.1652097902097902</v>
      </c>
      <c r="J34" s="4">
        <f t="shared" si="10"/>
        <v>1.115582191780822</v>
      </c>
      <c r="K34" s="4">
        <f t="shared" si="10"/>
        <v>1.465478841870824</v>
      </c>
      <c r="L34" s="4">
        <f t="shared" si="10"/>
        <v>1.0705128205128205</v>
      </c>
      <c r="M34" s="53">
        <f t="shared" si="10"/>
        <v>0.70864819479429064</v>
      </c>
      <c r="N34" s="53">
        <f t="shared" si="10"/>
        <v>0.75762195121951226</v>
      </c>
      <c r="O34" s="53">
        <f t="shared" si="10"/>
        <v>0.67485955056179781</v>
      </c>
      <c r="P34" s="4"/>
    </row>
    <row r="35" spans="1:16">
      <c r="A35" s="280" t="s">
        <v>290</v>
      </c>
      <c r="B35" s="311" t="s">
        <v>286</v>
      </c>
      <c r="C35" s="2" t="s">
        <v>63</v>
      </c>
      <c r="D35" s="3">
        <v>6404</v>
      </c>
      <c r="E35" s="3">
        <v>5279</v>
      </c>
      <c r="F35" s="3">
        <v>7157</v>
      </c>
      <c r="G35" s="3">
        <v>3367</v>
      </c>
      <c r="H35" s="2">
        <v>9871</v>
      </c>
      <c r="I35" s="2">
        <v>9953</v>
      </c>
      <c r="J35" s="2">
        <v>9618</v>
      </c>
      <c r="K35" s="2">
        <v>9544</v>
      </c>
      <c r="L35" s="2">
        <v>9712</v>
      </c>
      <c r="M35" s="2">
        <v>8041</v>
      </c>
      <c r="N35" s="2">
        <v>3313</v>
      </c>
      <c r="O35" s="2">
        <v>7407</v>
      </c>
      <c r="P35" s="3"/>
    </row>
    <row r="36" spans="1:16">
      <c r="A36" s="280"/>
      <c r="B36" s="311"/>
      <c r="C36" s="2" t="s">
        <v>65</v>
      </c>
      <c r="D36" s="3">
        <v>18721</v>
      </c>
      <c r="E36" s="3">
        <v>9937</v>
      </c>
      <c r="F36" s="3">
        <v>21946</v>
      </c>
      <c r="G36" s="3">
        <v>10583</v>
      </c>
      <c r="H36" s="2">
        <v>13259</v>
      </c>
      <c r="I36" s="2">
        <v>11654</v>
      </c>
      <c r="J36" s="2">
        <v>8581</v>
      </c>
      <c r="K36" s="2">
        <v>3900</v>
      </c>
      <c r="L36" s="2">
        <v>8800</v>
      </c>
      <c r="M36" s="2">
        <v>18008</v>
      </c>
      <c r="N36" s="2">
        <v>23826</v>
      </c>
      <c r="O36" s="2">
        <v>16269</v>
      </c>
      <c r="P36" s="3"/>
    </row>
    <row r="37" spans="1:16">
      <c r="A37" s="280"/>
      <c r="B37" s="311"/>
      <c r="C37" s="2" t="s">
        <v>66</v>
      </c>
      <c r="D37" s="3">
        <f>SUM(D35:D36)</f>
        <v>25125</v>
      </c>
      <c r="E37" s="3">
        <f>SUM(E35:E36)</f>
        <v>15216</v>
      </c>
      <c r="F37" s="3">
        <v>29103</v>
      </c>
      <c r="G37" s="3">
        <v>13950</v>
      </c>
      <c r="H37" s="3">
        <v>23130</v>
      </c>
      <c r="I37" s="3">
        <v>21607</v>
      </c>
      <c r="J37" s="3">
        <v>18199</v>
      </c>
      <c r="K37" s="3">
        <v>13444</v>
      </c>
      <c r="L37" s="3">
        <v>18512</v>
      </c>
      <c r="M37" s="3">
        <v>26049</v>
      </c>
      <c r="N37" s="3">
        <v>27139</v>
      </c>
      <c r="O37" s="3">
        <v>23676</v>
      </c>
      <c r="P37" s="3"/>
    </row>
    <row r="38" spans="1:16">
      <c r="A38" s="280"/>
      <c r="B38" s="311"/>
      <c r="C38" s="2" t="s">
        <v>67</v>
      </c>
      <c r="D38" s="4">
        <f t="shared" ref="D38:O38" si="11">D37/D29</f>
        <v>0.95864016177648903</v>
      </c>
      <c r="E38" s="4">
        <f t="shared" si="11"/>
        <v>0.67992314223155637</v>
      </c>
      <c r="F38" s="4">
        <f t="shared" si="11"/>
        <v>1.0273580909347642</v>
      </c>
      <c r="G38" s="4">
        <f t="shared" si="11"/>
        <v>0.96493048350280142</v>
      </c>
      <c r="H38" s="4">
        <f t="shared" si="11"/>
        <v>0.89867122542544098</v>
      </c>
      <c r="I38" s="4">
        <f t="shared" si="11"/>
        <v>0.7952521163047479</v>
      </c>
      <c r="J38" s="4">
        <f t="shared" si="11"/>
        <v>0.73769760843129306</v>
      </c>
      <c r="K38" s="4">
        <f t="shared" si="11"/>
        <v>0.53806131433602822</v>
      </c>
      <c r="L38" s="4">
        <f t="shared" si="11"/>
        <v>0.8617046036400875</v>
      </c>
      <c r="M38" s="4">
        <f t="shared" si="11"/>
        <v>1.6319383535897758</v>
      </c>
      <c r="N38" s="4">
        <f>N37/N29</f>
        <v>1.3343330547224543</v>
      </c>
      <c r="O38" s="4">
        <f t="shared" si="11"/>
        <v>1.2981686588441714</v>
      </c>
      <c r="P38" s="3"/>
    </row>
    <row r="39" spans="1:16">
      <c r="A39" s="280"/>
      <c r="B39" s="449" t="s">
        <v>69</v>
      </c>
      <c r="C39" s="2" t="s">
        <v>63</v>
      </c>
      <c r="D39" s="7">
        <v>37</v>
      </c>
      <c r="E39" s="7">
        <v>33</v>
      </c>
      <c r="F39" s="7">
        <v>40.1</v>
      </c>
      <c r="G39" s="7">
        <v>21.9</v>
      </c>
      <c r="H39" s="2">
        <v>56.7</v>
      </c>
      <c r="I39" s="2">
        <v>56.9</v>
      </c>
      <c r="J39" s="2">
        <v>56.4</v>
      </c>
      <c r="K39" s="2">
        <v>55.8</v>
      </c>
      <c r="L39" s="2">
        <v>56</v>
      </c>
      <c r="M39" s="2">
        <v>48.8</v>
      </c>
      <c r="N39" s="2">
        <v>12.3</v>
      </c>
      <c r="O39" s="2">
        <v>31.9</v>
      </c>
      <c r="P39" s="3"/>
    </row>
    <row r="40" spans="1:16">
      <c r="A40" s="280"/>
      <c r="B40" s="311"/>
      <c r="C40" s="2" t="s">
        <v>65</v>
      </c>
      <c r="D40" s="7">
        <v>89.3</v>
      </c>
      <c r="E40" s="7">
        <v>46.3</v>
      </c>
      <c r="F40" s="7">
        <v>96.2</v>
      </c>
      <c r="G40" s="7">
        <v>53.9</v>
      </c>
      <c r="H40" s="2">
        <v>69</v>
      </c>
      <c r="I40" s="2">
        <v>70</v>
      </c>
      <c r="J40" s="2">
        <v>50</v>
      </c>
      <c r="K40" s="2">
        <v>22</v>
      </c>
      <c r="L40" s="2">
        <v>35.4</v>
      </c>
      <c r="M40" s="2">
        <v>81</v>
      </c>
      <c r="N40" s="2">
        <v>100</v>
      </c>
      <c r="O40" s="2">
        <v>98</v>
      </c>
      <c r="P40" s="3"/>
    </row>
    <row r="41" spans="1:16">
      <c r="A41" s="280"/>
      <c r="B41" s="311"/>
      <c r="C41" s="2" t="s">
        <v>66</v>
      </c>
      <c r="D41" s="7">
        <f>SUM(D39:D40)</f>
        <v>126.3</v>
      </c>
      <c r="E41" s="7">
        <f>SUM(E39:E40)</f>
        <v>79.3</v>
      </c>
      <c r="F41" s="7">
        <v>136.30000000000001</v>
      </c>
      <c r="G41" s="7">
        <v>75.8</v>
      </c>
      <c r="H41" s="7">
        <v>125.7</v>
      </c>
      <c r="I41" s="7">
        <v>126.9</v>
      </c>
      <c r="J41" s="7">
        <v>106.4</v>
      </c>
      <c r="K41" s="7">
        <v>77.8</v>
      </c>
      <c r="L41" s="7">
        <v>91.4</v>
      </c>
      <c r="M41" s="7">
        <v>129.80000000000001</v>
      </c>
      <c r="N41" s="7">
        <v>112.3</v>
      </c>
      <c r="O41" s="7">
        <v>98.4</v>
      </c>
      <c r="P41" s="3"/>
    </row>
    <row r="42" spans="1:16">
      <c r="A42" s="280"/>
      <c r="B42" s="311"/>
      <c r="C42" s="2" t="s">
        <v>25</v>
      </c>
      <c r="D42" s="4">
        <f t="shared" ref="D42:O42" si="12">D41/D33</f>
        <v>0.88818565400843885</v>
      </c>
      <c r="E42" s="4">
        <f t="shared" si="12"/>
        <v>0.63439999999999996</v>
      </c>
      <c r="F42" s="4">
        <f t="shared" si="12"/>
        <v>0.91970310391363042</v>
      </c>
      <c r="G42" s="4">
        <f t="shared" si="12"/>
        <v>1.0412087912087913</v>
      </c>
      <c r="H42" s="4">
        <f t="shared" si="12"/>
        <v>1.0104501607717042</v>
      </c>
      <c r="I42" s="4">
        <f t="shared" si="12"/>
        <v>0.95198799699924974</v>
      </c>
      <c r="J42" s="4">
        <f t="shared" si="12"/>
        <v>0.81657712970069074</v>
      </c>
      <c r="K42" s="4">
        <f t="shared" si="12"/>
        <v>0.59118541033434646</v>
      </c>
      <c r="L42" s="4">
        <f t="shared" si="12"/>
        <v>0.78186484174508131</v>
      </c>
      <c r="M42" s="4">
        <f t="shared" si="12"/>
        <v>1.5379146919431279</v>
      </c>
      <c r="N42" s="4">
        <f t="shared" si="12"/>
        <v>1.1297786720321932</v>
      </c>
      <c r="O42" s="4">
        <f t="shared" si="12"/>
        <v>1.0239334027055151</v>
      </c>
      <c r="P42" s="4"/>
    </row>
    <row r="43" spans="1:16">
      <c r="A43" s="280" t="s">
        <v>291</v>
      </c>
      <c r="B43" s="311" t="s">
        <v>286</v>
      </c>
      <c r="C43" s="2" t="s">
        <v>63</v>
      </c>
      <c r="D43" s="3">
        <v>4564</v>
      </c>
      <c r="E43" s="3">
        <v>5089</v>
      </c>
      <c r="F43" s="3">
        <v>5015</v>
      </c>
      <c r="G43" s="3">
        <v>3895</v>
      </c>
      <c r="H43" s="2">
        <v>3866</v>
      </c>
      <c r="I43" s="2">
        <v>6300</v>
      </c>
      <c r="J43" s="2">
        <v>4003</v>
      </c>
      <c r="K43" s="2">
        <v>3024</v>
      </c>
      <c r="L43" s="2">
        <v>3113</v>
      </c>
      <c r="M43" s="2">
        <v>3984</v>
      </c>
      <c r="N43" s="2">
        <v>3524</v>
      </c>
      <c r="O43" s="2">
        <v>4305</v>
      </c>
      <c r="P43" s="3"/>
    </row>
    <row r="44" spans="1:16">
      <c r="A44" s="280"/>
      <c r="B44" s="311"/>
      <c r="C44" s="2" t="s">
        <v>65</v>
      </c>
      <c r="D44" s="3">
        <v>23836</v>
      </c>
      <c r="E44" s="3">
        <v>14342</v>
      </c>
      <c r="F44" s="3">
        <v>19241</v>
      </c>
      <c r="G44" s="3">
        <v>12389</v>
      </c>
      <c r="H44" s="2">
        <v>17152</v>
      </c>
      <c r="I44" s="2">
        <v>18450</v>
      </c>
      <c r="J44" s="2">
        <v>17574</v>
      </c>
      <c r="K44" s="2">
        <v>8395</v>
      </c>
      <c r="L44" s="2">
        <v>4972</v>
      </c>
      <c r="M44" s="2">
        <v>6507</v>
      </c>
      <c r="N44" s="2">
        <v>11980</v>
      </c>
      <c r="O44" s="2">
        <v>14732</v>
      </c>
      <c r="P44" s="3"/>
    </row>
    <row r="45" spans="1:16">
      <c r="A45" s="280"/>
      <c r="B45" s="311"/>
      <c r="C45" s="2" t="s">
        <v>66</v>
      </c>
      <c r="D45" s="3">
        <f>SUM(D43:D44)</f>
        <v>28400</v>
      </c>
      <c r="E45" s="3">
        <v>19431</v>
      </c>
      <c r="F45" s="3">
        <v>24256</v>
      </c>
      <c r="G45" s="3">
        <v>16284</v>
      </c>
      <c r="H45" s="3">
        <v>21018</v>
      </c>
      <c r="I45" s="3">
        <v>24750</v>
      </c>
      <c r="J45" s="3">
        <v>21577</v>
      </c>
      <c r="K45" s="3">
        <v>11419</v>
      </c>
      <c r="L45" s="3">
        <v>8085</v>
      </c>
      <c r="M45" s="3">
        <v>10491</v>
      </c>
      <c r="N45" s="3">
        <v>15504</v>
      </c>
      <c r="O45" s="3">
        <v>19037</v>
      </c>
      <c r="P45" s="3"/>
    </row>
    <row r="46" spans="1:16">
      <c r="A46" s="280"/>
      <c r="B46" s="311"/>
      <c r="C46" s="2" t="s">
        <v>67</v>
      </c>
      <c r="D46" s="4">
        <f>D45/D37</f>
        <v>1.1303482587064677</v>
      </c>
      <c r="E46" s="4">
        <f t="shared" ref="E46:M46" si="13">E45/E37</f>
        <v>1.2770110410094637</v>
      </c>
      <c r="F46" s="4">
        <f t="shared" si="13"/>
        <v>0.83345359584922518</v>
      </c>
      <c r="G46" s="4">
        <f>G45/G37</f>
        <v>1.1673118279569892</v>
      </c>
      <c r="H46" s="4">
        <f t="shared" si="13"/>
        <v>0.9086900129701686</v>
      </c>
      <c r="I46" s="4">
        <f t="shared" si="13"/>
        <v>1.14546211875781</v>
      </c>
      <c r="J46" s="4">
        <f t="shared" si="13"/>
        <v>1.185614594208473</v>
      </c>
      <c r="K46" s="4">
        <f t="shared" si="13"/>
        <v>0.84937518595656059</v>
      </c>
      <c r="L46" s="4">
        <f t="shared" si="13"/>
        <v>0.4367437337942956</v>
      </c>
      <c r="M46" s="4">
        <f t="shared" si="13"/>
        <v>0.4027409881377404</v>
      </c>
      <c r="N46" s="4">
        <f>N45/N37</f>
        <v>0.57128118206271417</v>
      </c>
      <c r="O46" s="4">
        <f>O45/O37</f>
        <v>0.8040631863490455</v>
      </c>
      <c r="P46" s="3"/>
    </row>
    <row r="47" spans="1:16">
      <c r="A47" s="280"/>
      <c r="B47" s="449" t="s">
        <v>69</v>
      </c>
      <c r="C47" s="2" t="s">
        <v>63</v>
      </c>
      <c r="D47" s="7">
        <v>20.2</v>
      </c>
      <c r="E47" s="7">
        <v>22</v>
      </c>
      <c r="F47" s="7">
        <v>21.6</v>
      </c>
      <c r="G47" s="7">
        <v>17.8</v>
      </c>
      <c r="H47" s="2">
        <v>16.399999999999999</v>
      </c>
      <c r="I47" s="2">
        <v>30.8</v>
      </c>
      <c r="J47" s="2">
        <v>17.8</v>
      </c>
      <c r="K47" s="2">
        <v>13.4</v>
      </c>
      <c r="L47" s="2">
        <v>14.2</v>
      </c>
      <c r="M47" s="2">
        <v>17.7</v>
      </c>
      <c r="N47" s="2">
        <v>14.8</v>
      </c>
      <c r="O47" s="2">
        <v>19.899999999999999</v>
      </c>
      <c r="P47" s="3"/>
    </row>
    <row r="48" spans="1:16">
      <c r="A48" s="280"/>
      <c r="B48" s="311"/>
      <c r="C48" s="2" t="s">
        <v>65</v>
      </c>
      <c r="D48" s="7">
        <v>101</v>
      </c>
      <c r="E48" s="7">
        <v>59.3</v>
      </c>
      <c r="F48" s="7">
        <v>88.7</v>
      </c>
      <c r="G48" s="7">
        <v>66.900000000000006</v>
      </c>
      <c r="H48" s="2">
        <v>78.8</v>
      </c>
      <c r="I48" s="2">
        <v>88.2</v>
      </c>
      <c r="J48" s="2">
        <v>72.099999999999994</v>
      </c>
      <c r="K48" s="2">
        <v>31.6</v>
      </c>
      <c r="L48" s="2">
        <v>17.2</v>
      </c>
      <c r="M48" s="2">
        <v>27</v>
      </c>
      <c r="N48" s="2">
        <v>50.3</v>
      </c>
      <c r="O48" s="2">
        <v>70.8</v>
      </c>
      <c r="P48" s="3"/>
    </row>
    <row r="49" spans="1:16">
      <c r="A49" s="280"/>
      <c r="B49" s="311"/>
      <c r="C49" s="2" t="s">
        <v>66</v>
      </c>
      <c r="D49" s="7">
        <f>SUM(D47:D48)</f>
        <v>121.2</v>
      </c>
      <c r="E49" s="7">
        <v>63</v>
      </c>
      <c r="F49" s="7">
        <v>105</v>
      </c>
      <c r="G49" s="7">
        <v>84.7</v>
      </c>
      <c r="H49" s="7">
        <v>95.2</v>
      </c>
      <c r="I49" s="7">
        <v>119</v>
      </c>
      <c r="J49" s="7">
        <v>89.9</v>
      </c>
      <c r="K49" s="7">
        <v>45</v>
      </c>
      <c r="L49" s="7">
        <v>31.4</v>
      </c>
      <c r="M49" s="7">
        <v>44.7</v>
      </c>
      <c r="N49" s="7">
        <v>65.099999999999994</v>
      </c>
      <c r="O49" s="7">
        <v>90.7</v>
      </c>
      <c r="P49" s="3"/>
    </row>
    <row r="50" spans="1:16">
      <c r="A50" s="280"/>
      <c r="B50" s="311"/>
      <c r="C50" s="2" t="s">
        <v>25</v>
      </c>
      <c r="D50" s="4">
        <f t="shared" ref="D50:O50" si="14">D49/D41</f>
        <v>0.95961995249406185</v>
      </c>
      <c r="E50" s="4">
        <f t="shared" si="14"/>
        <v>0.79445145018915508</v>
      </c>
      <c r="F50" s="4">
        <f t="shared" si="14"/>
        <v>0.77035950110051354</v>
      </c>
      <c r="G50" s="4">
        <f>G49/G41</f>
        <v>1.1174142480211082</v>
      </c>
      <c r="H50" s="4">
        <f>H49/H41</f>
        <v>0.75735879077167856</v>
      </c>
      <c r="I50" s="4">
        <f t="shared" si="14"/>
        <v>0.93774625689519298</v>
      </c>
      <c r="J50" s="4">
        <f t="shared" si="14"/>
        <v>0.84492481203007519</v>
      </c>
      <c r="K50" s="4">
        <f>K49/K41</f>
        <v>0.57840616966580982</v>
      </c>
      <c r="L50" s="4">
        <f>L49/L41</f>
        <v>0.34354485776805249</v>
      </c>
      <c r="M50" s="4">
        <f>M49/M41</f>
        <v>0.34437596302003082</v>
      </c>
      <c r="N50" s="4">
        <f t="shared" si="14"/>
        <v>0.57969723953695451</v>
      </c>
      <c r="O50" s="4">
        <f t="shared" si="14"/>
        <v>0.9217479674796748</v>
      </c>
      <c r="P50" s="4"/>
    </row>
    <row r="51" spans="1:16">
      <c r="A51" s="280" t="s">
        <v>292</v>
      </c>
      <c r="B51" s="311" t="s">
        <v>286</v>
      </c>
      <c r="C51" s="2" t="s">
        <v>63</v>
      </c>
      <c r="D51" s="3">
        <v>3874</v>
      </c>
      <c r="E51" s="3">
        <v>4947</v>
      </c>
      <c r="F51" s="3">
        <v>4143</v>
      </c>
      <c r="G51" s="3">
        <v>3519</v>
      </c>
      <c r="H51" s="2">
        <v>2224</v>
      </c>
      <c r="I51" s="2">
        <v>2959</v>
      </c>
      <c r="J51" s="2">
        <v>7689</v>
      </c>
      <c r="K51" s="2">
        <v>3480</v>
      </c>
      <c r="L51" s="2">
        <v>4066</v>
      </c>
      <c r="M51" s="2">
        <v>4991</v>
      </c>
      <c r="N51" s="2">
        <v>4955</v>
      </c>
      <c r="O51" s="2">
        <v>5402</v>
      </c>
      <c r="P51" s="3"/>
    </row>
    <row r="52" spans="1:16">
      <c r="A52" s="280"/>
      <c r="B52" s="311"/>
      <c r="C52" s="2" t="s">
        <v>65</v>
      </c>
      <c r="D52" s="3">
        <v>12133</v>
      </c>
      <c r="E52" s="3">
        <v>12456</v>
      </c>
      <c r="F52" s="3">
        <v>12256</v>
      </c>
      <c r="G52" s="3">
        <v>11028</v>
      </c>
      <c r="H52" s="2">
        <v>4459</v>
      </c>
      <c r="I52" s="2">
        <v>4914</v>
      </c>
      <c r="J52" s="2">
        <v>5066</v>
      </c>
      <c r="K52" s="2">
        <v>4372</v>
      </c>
      <c r="L52" s="2">
        <v>10745</v>
      </c>
      <c r="M52" s="2">
        <v>16151</v>
      </c>
      <c r="N52" s="2">
        <v>18793</v>
      </c>
      <c r="O52" s="2">
        <v>19903</v>
      </c>
      <c r="P52" s="3"/>
    </row>
    <row r="53" spans="1:16">
      <c r="A53" s="280"/>
      <c r="B53" s="311"/>
      <c r="C53" s="2" t="s">
        <v>66</v>
      </c>
      <c r="D53" s="3">
        <v>16007</v>
      </c>
      <c r="E53" s="3">
        <v>17403</v>
      </c>
      <c r="F53" s="3">
        <v>16339</v>
      </c>
      <c r="G53" s="3">
        <v>14547</v>
      </c>
      <c r="H53" s="3">
        <v>6683</v>
      </c>
      <c r="I53" s="3">
        <v>7873</v>
      </c>
      <c r="J53" s="3">
        <v>12755</v>
      </c>
      <c r="K53" s="3">
        <v>7852</v>
      </c>
      <c r="L53" s="3">
        <v>14811</v>
      </c>
      <c r="M53" s="3">
        <v>21142</v>
      </c>
      <c r="N53" s="3">
        <v>23748</v>
      </c>
      <c r="O53" s="3">
        <v>25305</v>
      </c>
      <c r="P53" s="3"/>
    </row>
    <row r="54" spans="1:16">
      <c r="A54" s="280"/>
      <c r="B54" s="311"/>
      <c r="C54" s="2" t="s">
        <v>67</v>
      </c>
      <c r="D54" s="4">
        <f>D53/D45</f>
        <v>0.56362676056338024</v>
      </c>
      <c r="E54" s="4">
        <f>E53/E45</f>
        <v>0.8956306932221707</v>
      </c>
      <c r="F54" s="4">
        <f>F53/F45</f>
        <v>0.67360653034300788</v>
      </c>
      <c r="G54" s="4">
        <f>G53/G45</f>
        <v>0.89333087693441415</v>
      </c>
      <c r="H54" s="4">
        <f t="shared" ref="H54:M54" si="15">H53/H45</f>
        <v>0.31796555333523646</v>
      </c>
      <c r="I54" s="4">
        <f t="shared" si="15"/>
        <v>0.31810101010101011</v>
      </c>
      <c r="J54" s="4">
        <f t="shared" si="15"/>
        <v>0.59113871251795891</v>
      </c>
      <c r="K54" s="4">
        <f t="shared" si="15"/>
        <v>0.68762588668009461</v>
      </c>
      <c r="L54" s="4">
        <f t="shared" si="15"/>
        <v>1.8319109461966605</v>
      </c>
      <c r="M54" s="4">
        <f t="shared" si="15"/>
        <v>2.0152511676675244</v>
      </c>
      <c r="N54" s="4">
        <f>N53/N45</f>
        <v>1.5317337461300309</v>
      </c>
      <c r="O54" s="4">
        <f>O53/O45</f>
        <v>1.3292535588590639</v>
      </c>
      <c r="P54" s="3"/>
    </row>
    <row r="55" spans="1:16">
      <c r="A55" s="280"/>
      <c r="B55" s="449" t="s">
        <v>69</v>
      </c>
      <c r="C55" s="2" t="s">
        <v>63</v>
      </c>
      <c r="D55" s="7">
        <v>16.899999999999999</v>
      </c>
      <c r="E55" s="7">
        <v>21.7</v>
      </c>
      <c r="F55" s="7">
        <v>17.100000000000001</v>
      </c>
      <c r="G55" s="7">
        <v>15.3</v>
      </c>
      <c r="H55" s="2">
        <v>10.3</v>
      </c>
      <c r="I55" s="2">
        <v>13.5</v>
      </c>
      <c r="J55" s="2">
        <v>32.299999999999997</v>
      </c>
      <c r="K55" s="2">
        <v>14.7</v>
      </c>
      <c r="L55" s="2">
        <v>18.399999999999999</v>
      </c>
      <c r="M55" s="2">
        <v>22.8</v>
      </c>
      <c r="N55" s="2">
        <v>20.9</v>
      </c>
      <c r="O55" s="2">
        <v>22.9</v>
      </c>
      <c r="P55" s="3"/>
    </row>
    <row r="56" spans="1:16">
      <c r="A56" s="280"/>
      <c r="B56" s="311"/>
      <c r="C56" s="2" t="s">
        <v>65</v>
      </c>
      <c r="D56" s="7">
        <v>55.9</v>
      </c>
      <c r="E56" s="7">
        <v>50.5</v>
      </c>
      <c r="F56" s="7">
        <v>50.3</v>
      </c>
      <c r="G56" s="7">
        <v>40.299999999999997</v>
      </c>
      <c r="H56" s="2">
        <v>17</v>
      </c>
      <c r="I56" s="2">
        <v>18.3</v>
      </c>
      <c r="J56" s="2">
        <v>18.600000000000001</v>
      </c>
      <c r="K56" s="2">
        <v>17.8</v>
      </c>
      <c r="L56" s="2">
        <v>39.700000000000003</v>
      </c>
      <c r="M56" s="2">
        <v>71.2</v>
      </c>
      <c r="N56" s="2">
        <v>77.8</v>
      </c>
      <c r="O56" s="2">
        <v>85.4</v>
      </c>
      <c r="P56" s="3"/>
    </row>
    <row r="57" spans="1:16">
      <c r="A57" s="280"/>
      <c r="B57" s="311"/>
      <c r="C57" s="2" t="s">
        <v>66</v>
      </c>
      <c r="D57" s="7">
        <v>72.8</v>
      </c>
      <c r="E57" s="7">
        <v>72.2</v>
      </c>
      <c r="F57" s="7">
        <v>67.400000000000006</v>
      </c>
      <c r="G57" s="7">
        <v>55.6</v>
      </c>
      <c r="H57" s="7">
        <v>27.3</v>
      </c>
      <c r="I57" s="7">
        <v>31.8</v>
      </c>
      <c r="J57" s="7">
        <v>50.9</v>
      </c>
      <c r="K57" s="7">
        <v>32.5</v>
      </c>
      <c r="L57" s="7">
        <v>58.1</v>
      </c>
      <c r="M57" s="7">
        <v>94</v>
      </c>
      <c r="N57" s="7">
        <v>98.7</v>
      </c>
      <c r="O57" s="7">
        <v>108.3</v>
      </c>
      <c r="P57" s="3"/>
    </row>
    <row r="58" spans="1:16">
      <c r="A58" s="280"/>
      <c r="B58" s="311"/>
      <c r="C58" s="2" t="s">
        <v>25</v>
      </c>
      <c r="D58" s="4">
        <f t="shared" ref="D58:O58" si="16">D57/D49</f>
        <v>0.6006600660066006</v>
      </c>
      <c r="E58" s="4">
        <f t="shared" si="16"/>
        <v>1.1460317460317462</v>
      </c>
      <c r="F58" s="4">
        <f t="shared" si="16"/>
        <v>0.64190476190476198</v>
      </c>
      <c r="G58" s="4">
        <f t="shared" si="16"/>
        <v>0.65643447461629278</v>
      </c>
      <c r="H58" s="4">
        <f t="shared" si="16"/>
        <v>0.28676470588235292</v>
      </c>
      <c r="I58" s="4">
        <f t="shared" si="16"/>
        <v>0.26722689075630252</v>
      </c>
      <c r="J58" s="4">
        <f t="shared" si="16"/>
        <v>0.56618464961067849</v>
      </c>
      <c r="K58" s="4">
        <f t="shared" si="16"/>
        <v>0.72222222222222221</v>
      </c>
      <c r="L58" s="4">
        <f t="shared" si="16"/>
        <v>1.8503184713375798</v>
      </c>
      <c r="M58" s="4">
        <f t="shared" si="16"/>
        <v>2.1029082774049215</v>
      </c>
      <c r="N58" s="4">
        <f t="shared" si="16"/>
        <v>1.5161290322580647</v>
      </c>
      <c r="O58" s="4">
        <f t="shared" si="16"/>
        <v>1.1940463065049614</v>
      </c>
      <c r="P58" s="4"/>
    </row>
    <row r="59" spans="1:16">
      <c r="A59" s="280" t="s">
        <v>293</v>
      </c>
      <c r="B59" s="311" t="s">
        <v>286</v>
      </c>
      <c r="C59" s="2" t="s">
        <v>63</v>
      </c>
      <c r="D59" s="3">
        <v>5105</v>
      </c>
      <c r="E59" s="3">
        <v>4555</v>
      </c>
      <c r="F59" s="3">
        <v>4663</v>
      </c>
      <c r="G59" s="3">
        <v>4021</v>
      </c>
      <c r="H59" s="2">
        <v>5285</v>
      </c>
      <c r="I59" s="2">
        <v>3297</v>
      </c>
      <c r="J59" s="2">
        <v>4209</v>
      </c>
      <c r="K59" s="2">
        <v>3945</v>
      </c>
      <c r="L59" s="2">
        <v>3737</v>
      </c>
      <c r="M59" s="2">
        <v>3770</v>
      </c>
      <c r="N59" s="2">
        <v>3881</v>
      </c>
      <c r="O59" s="2">
        <v>9441</v>
      </c>
      <c r="P59" s="3"/>
    </row>
    <row r="60" spans="1:16">
      <c r="A60" s="280"/>
      <c r="B60" s="311"/>
      <c r="C60" s="2" t="s">
        <v>65</v>
      </c>
      <c r="D60" s="3">
        <v>18325</v>
      </c>
      <c r="E60" s="3">
        <v>9898</v>
      </c>
      <c r="F60" s="3">
        <v>22148</v>
      </c>
      <c r="G60" s="3">
        <v>19405</v>
      </c>
      <c r="H60" s="2">
        <v>15438</v>
      </c>
      <c r="I60" s="2">
        <v>15001</v>
      </c>
      <c r="J60" s="2">
        <v>13303</v>
      </c>
      <c r="K60" s="2">
        <v>14344</v>
      </c>
      <c r="L60" s="2">
        <v>15267</v>
      </c>
      <c r="M60" s="2">
        <v>16951</v>
      </c>
      <c r="N60" s="2">
        <v>12224</v>
      </c>
      <c r="O60" s="2">
        <v>11751</v>
      </c>
      <c r="P60" s="3"/>
    </row>
    <row r="61" spans="1:16">
      <c r="A61" s="280"/>
      <c r="B61" s="311"/>
      <c r="C61" s="2" t="s">
        <v>66</v>
      </c>
      <c r="D61" s="3">
        <v>23426</v>
      </c>
      <c r="E61" s="3">
        <v>14453</v>
      </c>
      <c r="F61" s="3">
        <v>26811</v>
      </c>
      <c r="G61" s="3">
        <v>23426</v>
      </c>
      <c r="H61" s="3">
        <v>20723</v>
      </c>
      <c r="I61" s="3">
        <v>18298</v>
      </c>
      <c r="J61" s="3">
        <v>17512</v>
      </c>
      <c r="K61" s="3">
        <v>18289</v>
      </c>
      <c r="L61" s="3">
        <v>19004</v>
      </c>
      <c r="M61" s="3">
        <v>20721</v>
      </c>
      <c r="N61" s="3">
        <v>16035</v>
      </c>
      <c r="O61" s="3">
        <v>21192</v>
      </c>
      <c r="P61" s="3"/>
    </row>
    <row r="62" spans="1:16">
      <c r="A62" s="280"/>
      <c r="B62" s="311"/>
      <c r="C62" s="2" t="s">
        <v>67</v>
      </c>
      <c r="D62" s="4">
        <f>D61/D53</f>
        <v>1.4634847254326233</v>
      </c>
      <c r="E62" s="4">
        <f>E61/E53</f>
        <v>0.83048899615008909</v>
      </c>
      <c r="F62" s="4">
        <f>F61/F53</f>
        <v>1.6409204969704387</v>
      </c>
      <c r="G62" s="4">
        <f>G61/G53</f>
        <v>1.610366398570152</v>
      </c>
      <c r="H62" s="4">
        <f t="shared" ref="H62:M62" si="17">H61/H53</f>
        <v>3.1008529103695945</v>
      </c>
      <c r="I62" s="4">
        <f t="shared" si="17"/>
        <v>2.3241458148101106</v>
      </c>
      <c r="J62" s="4">
        <f t="shared" si="17"/>
        <v>1.3729517836142688</v>
      </c>
      <c r="K62" s="4">
        <f t="shared" si="17"/>
        <v>2.3292154865002548</v>
      </c>
      <c r="L62" s="4">
        <f t="shared" si="17"/>
        <v>1.2831003983525757</v>
      </c>
      <c r="M62" s="4">
        <f t="shared" si="17"/>
        <v>0.98008703055529278</v>
      </c>
      <c r="N62" s="4">
        <f>N61/N53</f>
        <v>0.67521475492673066</v>
      </c>
      <c r="O62" s="4">
        <f>O61/O53</f>
        <v>0.83746295198577358</v>
      </c>
      <c r="P62" s="3"/>
    </row>
    <row r="63" spans="1:16">
      <c r="A63" s="280"/>
      <c r="B63" s="449" t="s">
        <v>69</v>
      </c>
      <c r="C63" s="2" t="s">
        <v>63</v>
      </c>
      <c r="D63" s="7">
        <v>22.2</v>
      </c>
      <c r="E63" s="7">
        <v>20.100000000000001</v>
      </c>
      <c r="F63" s="7">
        <v>21</v>
      </c>
      <c r="G63" s="7">
        <v>17.7</v>
      </c>
      <c r="H63" s="2">
        <v>22.5</v>
      </c>
      <c r="I63" s="2">
        <v>14.2</v>
      </c>
      <c r="J63" s="2">
        <v>18.5</v>
      </c>
      <c r="K63" s="2">
        <v>17.600000000000001</v>
      </c>
      <c r="L63" s="2">
        <v>16</v>
      </c>
      <c r="M63" s="2">
        <v>16.600000000000001</v>
      </c>
      <c r="N63" s="2">
        <v>16</v>
      </c>
      <c r="O63" s="2">
        <v>42</v>
      </c>
      <c r="P63" s="3"/>
    </row>
    <row r="64" spans="1:16">
      <c r="A64" s="280"/>
      <c r="B64" s="311"/>
      <c r="C64" s="2" t="s">
        <v>65</v>
      </c>
      <c r="D64" s="7">
        <v>81.8</v>
      </c>
      <c r="E64" s="7">
        <v>42.7</v>
      </c>
      <c r="F64" s="7">
        <v>99.2</v>
      </c>
      <c r="G64" s="7">
        <v>79.7</v>
      </c>
      <c r="H64" s="2">
        <v>61.8</v>
      </c>
      <c r="I64" s="2">
        <v>60.1</v>
      </c>
      <c r="J64" s="2">
        <v>60.5</v>
      </c>
      <c r="K64" s="2">
        <v>68.3</v>
      </c>
      <c r="L64" s="2">
        <v>70.599999999999994</v>
      </c>
      <c r="M64" s="2">
        <v>86.3</v>
      </c>
      <c r="N64" s="2">
        <v>62.8</v>
      </c>
      <c r="O64" s="2">
        <v>50.3</v>
      </c>
      <c r="P64" s="3"/>
    </row>
    <row r="65" spans="1:16">
      <c r="A65" s="280"/>
      <c r="B65" s="311"/>
      <c r="C65" s="2" t="s">
        <v>66</v>
      </c>
      <c r="D65" s="7">
        <v>104</v>
      </c>
      <c r="E65" s="7">
        <v>62.8</v>
      </c>
      <c r="F65" s="7">
        <v>120.2</v>
      </c>
      <c r="G65" s="7">
        <v>97.4</v>
      </c>
      <c r="H65" s="7">
        <v>84.3</v>
      </c>
      <c r="I65" s="7">
        <v>74.3</v>
      </c>
      <c r="J65" s="7">
        <v>79</v>
      </c>
      <c r="K65" s="7">
        <v>85.9</v>
      </c>
      <c r="L65" s="7">
        <v>86.6</v>
      </c>
      <c r="M65" s="7">
        <v>102.9</v>
      </c>
      <c r="N65" s="7">
        <v>78.8</v>
      </c>
      <c r="O65" s="7">
        <v>92.3</v>
      </c>
      <c r="P65" s="3"/>
    </row>
    <row r="66" spans="1:16">
      <c r="A66" s="280"/>
      <c r="B66" s="311"/>
      <c r="C66" s="2" t="s">
        <v>25</v>
      </c>
      <c r="D66" s="4">
        <f t="shared" ref="D66:O66" si="18">D65/D57</f>
        <v>1.4285714285714286</v>
      </c>
      <c r="E66" s="4">
        <f t="shared" si="18"/>
        <v>0.8698060941828254</v>
      </c>
      <c r="F66" s="4">
        <f t="shared" si="18"/>
        <v>1.7833827893175074</v>
      </c>
      <c r="G66" s="4">
        <f t="shared" si="18"/>
        <v>1.7517985611510791</v>
      </c>
      <c r="H66" s="4">
        <f t="shared" si="18"/>
        <v>3.0879120879120876</v>
      </c>
      <c r="I66" s="4">
        <f t="shared" si="18"/>
        <v>2.3364779874213837</v>
      </c>
      <c r="J66" s="4">
        <f t="shared" si="18"/>
        <v>1.5520628683693518</v>
      </c>
      <c r="K66" s="4">
        <f t="shared" si="18"/>
        <v>2.6430769230769231</v>
      </c>
      <c r="L66" s="4">
        <f t="shared" si="18"/>
        <v>1.4905335628227192</v>
      </c>
      <c r="M66" s="4">
        <f t="shared" si="18"/>
        <v>1.09468085106383</v>
      </c>
      <c r="N66" s="4">
        <f t="shared" si="18"/>
        <v>0.79837892603850047</v>
      </c>
      <c r="O66" s="4">
        <f t="shared" si="18"/>
        <v>0.85226223453370265</v>
      </c>
      <c r="P66" s="4"/>
    </row>
    <row r="67" spans="1:16">
      <c r="A67" s="280" t="s">
        <v>294</v>
      </c>
      <c r="B67" s="311" t="s">
        <v>286</v>
      </c>
      <c r="C67" s="2" t="s">
        <v>63</v>
      </c>
      <c r="D67" s="3">
        <v>5184</v>
      </c>
      <c r="E67" s="3">
        <v>3630</v>
      </c>
      <c r="F67" s="3">
        <v>4808</v>
      </c>
      <c r="G67" s="3">
        <v>4138</v>
      </c>
      <c r="H67" s="2">
        <v>4506</v>
      </c>
      <c r="I67" s="2">
        <v>3522</v>
      </c>
      <c r="J67" s="2">
        <v>5615</v>
      </c>
      <c r="K67" s="2">
        <v>6319</v>
      </c>
      <c r="L67" s="2">
        <v>4900</v>
      </c>
      <c r="M67" s="2">
        <v>3488</v>
      </c>
      <c r="N67" s="2">
        <v>4209</v>
      </c>
      <c r="O67" s="2">
        <v>4829</v>
      </c>
      <c r="P67" s="3"/>
    </row>
    <row r="68" spans="1:16">
      <c r="A68" s="280"/>
      <c r="B68" s="311"/>
      <c r="C68" s="2" t="s">
        <v>65</v>
      </c>
      <c r="D68" s="3">
        <v>13189</v>
      </c>
      <c r="E68" s="3">
        <v>9456</v>
      </c>
      <c r="F68" s="3">
        <v>11064</v>
      </c>
      <c r="G68" s="3">
        <v>12074</v>
      </c>
      <c r="H68" s="2">
        <v>15562</v>
      </c>
      <c r="I68" s="2">
        <v>24745</v>
      </c>
      <c r="J68" s="2">
        <v>21388</v>
      </c>
      <c r="K68" s="2">
        <v>15255</v>
      </c>
      <c r="L68" s="2">
        <v>11893</v>
      </c>
      <c r="M68" s="2">
        <v>19725</v>
      </c>
      <c r="N68" s="2">
        <v>22584</v>
      </c>
      <c r="O68" s="2">
        <v>19757</v>
      </c>
      <c r="P68" s="3"/>
    </row>
    <row r="69" spans="1:16">
      <c r="A69" s="280"/>
      <c r="B69" s="311"/>
      <c r="C69" s="2" t="s">
        <v>66</v>
      </c>
      <c r="D69" s="3">
        <v>18373</v>
      </c>
      <c r="E69" s="3">
        <v>13086</v>
      </c>
      <c r="F69" s="3">
        <v>15872</v>
      </c>
      <c r="G69" s="3">
        <v>16212</v>
      </c>
      <c r="H69" s="3">
        <v>20068</v>
      </c>
      <c r="I69" s="3">
        <v>28267</v>
      </c>
      <c r="J69" s="3">
        <v>27003</v>
      </c>
      <c r="K69" s="3">
        <v>21574</v>
      </c>
      <c r="L69" s="3">
        <v>16793</v>
      </c>
      <c r="M69" s="3">
        <v>23213</v>
      </c>
      <c r="N69" s="3">
        <v>26793</v>
      </c>
      <c r="O69" s="3">
        <v>24586</v>
      </c>
      <c r="P69" s="3"/>
    </row>
    <row r="70" spans="1:16">
      <c r="A70" s="280"/>
      <c r="B70" s="311"/>
      <c r="C70" s="2" t="s">
        <v>67</v>
      </c>
      <c r="D70" s="4">
        <f>D69/D61</f>
        <v>0.78429949628617779</v>
      </c>
      <c r="E70" s="4">
        <f>E69/E61</f>
        <v>0.90541756036808962</v>
      </c>
      <c r="F70" s="4">
        <f>F69/F61</f>
        <v>0.59199582261012273</v>
      </c>
      <c r="G70" s="4">
        <f>G69/G61</f>
        <v>0.69205156663536238</v>
      </c>
      <c r="H70" s="4">
        <f t="shared" ref="H70:M70" si="19">H69/H61</f>
        <v>0.96839260724798537</v>
      </c>
      <c r="I70" s="4">
        <f t="shared" si="19"/>
        <v>1.5448136408350639</v>
      </c>
      <c r="J70" s="4">
        <f t="shared" si="19"/>
        <v>1.5419712197350388</v>
      </c>
      <c r="K70" s="4">
        <f t="shared" si="19"/>
        <v>1.1796161627207611</v>
      </c>
      <c r="L70" s="4">
        <f>L69/L61</f>
        <v>0.88365607240580935</v>
      </c>
      <c r="M70" s="4">
        <f t="shared" si="19"/>
        <v>1.1202644660006758</v>
      </c>
      <c r="N70" s="4">
        <f>N69/N61</f>
        <v>1.6709073900841909</v>
      </c>
      <c r="O70" s="4">
        <f>O69/O61</f>
        <v>1.1601547753869386</v>
      </c>
      <c r="P70" s="3"/>
    </row>
    <row r="71" spans="1:16">
      <c r="A71" s="280"/>
      <c r="B71" s="449" t="s">
        <v>69</v>
      </c>
      <c r="C71" s="2" t="s">
        <v>63</v>
      </c>
      <c r="D71" s="7">
        <v>21.6</v>
      </c>
      <c r="E71" s="7">
        <v>15.8</v>
      </c>
      <c r="F71" s="7">
        <v>20.8</v>
      </c>
      <c r="G71" s="7">
        <v>17.5</v>
      </c>
      <c r="H71" s="2">
        <v>19.100000000000001</v>
      </c>
      <c r="I71" s="2">
        <v>15.4</v>
      </c>
      <c r="J71" s="2">
        <v>24</v>
      </c>
      <c r="K71" s="2">
        <v>26.7</v>
      </c>
      <c r="L71" s="2">
        <v>20.5</v>
      </c>
      <c r="M71" s="2">
        <v>15.4</v>
      </c>
      <c r="N71" s="2">
        <v>23.8</v>
      </c>
      <c r="O71" s="2">
        <v>22</v>
      </c>
      <c r="P71" s="3"/>
    </row>
    <row r="72" spans="1:16">
      <c r="A72" s="280"/>
      <c r="B72" s="311"/>
      <c r="C72" s="2" t="s">
        <v>65</v>
      </c>
      <c r="D72" s="7">
        <v>48.7</v>
      </c>
      <c r="E72" s="7">
        <v>34.5</v>
      </c>
      <c r="F72" s="7">
        <v>38.799999999999997</v>
      </c>
      <c r="G72" s="7">
        <v>47</v>
      </c>
      <c r="H72" s="2">
        <v>56.6</v>
      </c>
      <c r="I72" s="2">
        <v>99.2</v>
      </c>
      <c r="J72" s="2">
        <v>87.9</v>
      </c>
      <c r="K72" s="2">
        <v>58.8</v>
      </c>
      <c r="L72" s="2">
        <v>47.3</v>
      </c>
      <c r="M72" s="2">
        <v>85.9</v>
      </c>
      <c r="N72" s="2">
        <v>94.6</v>
      </c>
      <c r="O72" s="2">
        <v>89.3</v>
      </c>
      <c r="P72" s="3"/>
    </row>
    <row r="73" spans="1:16">
      <c r="A73" s="280"/>
      <c r="B73" s="311"/>
      <c r="C73" s="2" t="s">
        <v>66</v>
      </c>
      <c r="D73" s="7">
        <v>70.3</v>
      </c>
      <c r="E73" s="7">
        <v>50.3</v>
      </c>
      <c r="F73" s="7">
        <v>59.6</v>
      </c>
      <c r="G73" s="7">
        <v>64.5</v>
      </c>
      <c r="H73" s="7">
        <v>75.7</v>
      </c>
      <c r="I73" s="7">
        <v>114.6</v>
      </c>
      <c r="J73" s="7">
        <v>111.9</v>
      </c>
      <c r="K73" s="7">
        <v>85.5</v>
      </c>
      <c r="L73" s="7">
        <v>67.8</v>
      </c>
      <c r="M73" s="7">
        <v>101.3</v>
      </c>
      <c r="N73" s="7">
        <v>118.4</v>
      </c>
      <c r="O73" s="7">
        <v>111.3</v>
      </c>
      <c r="P73" s="3"/>
    </row>
    <row r="74" spans="1:16" ht="17.25" thickBot="1">
      <c r="A74" s="280"/>
      <c r="B74" s="311"/>
      <c r="C74" s="194" t="s">
        <v>25</v>
      </c>
      <c r="D74" s="195">
        <f t="shared" ref="D74:O74" si="20">D73/D65</f>
        <v>0.67596153846153839</v>
      </c>
      <c r="E74" s="195">
        <f t="shared" si="20"/>
        <v>0.80095541401273884</v>
      </c>
      <c r="F74" s="195">
        <f t="shared" si="20"/>
        <v>0.49584026622296173</v>
      </c>
      <c r="G74" s="195">
        <f t="shared" si="20"/>
        <v>0.66221765913757691</v>
      </c>
      <c r="H74" s="195">
        <f t="shared" si="20"/>
        <v>0.89798339264531446</v>
      </c>
      <c r="I74" s="195">
        <f t="shared" si="20"/>
        <v>1.5423956931359353</v>
      </c>
      <c r="J74" s="195">
        <f t="shared" si="20"/>
        <v>1.4164556962025316</v>
      </c>
      <c r="K74" s="195">
        <f t="shared" si="20"/>
        <v>0.99534342258440045</v>
      </c>
      <c r="L74" s="195">
        <f t="shared" si="20"/>
        <v>0.7829099307159354</v>
      </c>
      <c r="M74" s="195">
        <f t="shared" si="20"/>
        <v>0.98445092322643335</v>
      </c>
      <c r="N74" s="195">
        <f>N73/N65</f>
        <v>1.5025380710659899</v>
      </c>
      <c r="O74" s="195">
        <f t="shared" si="20"/>
        <v>1.2058504875406284</v>
      </c>
      <c r="P74" s="4"/>
    </row>
    <row r="75" spans="1:16">
      <c r="A75" s="280" t="s">
        <v>295</v>
      </c>
      <c r="B75" s="445" t="s">
        <v>286</v>
      </c>
      <c r="C75" s="196" t="s">
        <v>63</v>
      </c>
      <c r="D75" s="197">
        <v>3326</v>
      </c>
      <c r="E75" s="197">
        <v>3436</v>
      </c>
      <c r="F75" s="197">
        <v>4801</v>
      </c>
      <c r="G75" s="197">
        <v>4862</v>
      </c>
      <c r="H75" s="198">
        <v>5295</v>
      </c>
      <c r="I75" s="198">
        <v>3902</v>
      </c>
      <c r="J75" s="198">
        <v>4638</v>
      </c>
      <c r="K75" s="198">
        <v>5421</v>
      </c>
      <c r="L75" s="198">
        <v>4525</v>
      </c>
      <c r="M75" s="198">
        <v>5495</v>
      </c>
      <c r="N75" s="198">
        <v>5418</v>
      </c>
      <c r="O75" s="199">
        <v>5089</v>
      </c>
      <c r="P75" s="193"/>
    </row>
    <row r="76" spans="1:16">
      <c r="A76" s="280"/>
      <c r="B76" s="445"/>
      <c r="C76" s="200" t="s">
        <v>65</v>
      </c>
      <c r="D76" s="159">
        <v>12689</v>
      </c>
      <c r="E76" s="159">
        <v>16151</v>
      </c>
      <c r="F76" s="159">
        <v>25682</v>
      </c>
      <c r="G76" s="159">
        <v>17945</v>
      </c>
      <c r="H76" s="157">
        <v>26863</v>
      </c>
      <c r="I76" s="157">
        <v>24155</v>
      </c>
      <c r="J76" s="157">
        <v>23086</v>
      </c>
      <c r="K76" s="157">
        <v>15512</v>
      </c>
      <c r="L76" s="157">
        <v>24465</v>
      </c>
      <c r="M76" s="157">
        <v>27306</v>
      </c>
      <c r="N76" s="157">
        <v>25550</v>
      </c>
      <c r="O76" s="201">
        <v>28195</v>
      </c>
      <c r="P76" s="193"/>
    </row>
    <row r="77" spans="1:16">
      <c r="A77" s="280"/>
      <c r="B77" s="445"/>
      <c r="C77" s="202" t="s">
        <v>66</v>
      </c>
      <c r="D77" s="3">
        <v>16015</v>
      </c>
      <c r="E77" s="3">
        <v>19587</v>
      </c>
      <c r="F77" s="3">
        <v>30483</v>
      </c>
      <c r="G77" s="3">
        <v>22807</v>
      </c>
      <c r="H77" s="3">
        <f>SUM(H75:H76)</f>
        <v>32158</v>
      </c>
      <c r="I77" s="3">
        <v>23045</v>
      </c>
      <c r="J77" s="3">
        <f>J75+J76</f>
        <v>27724</v>
      </c>
      <c r="K77" s="3">
        <f>K75+K76</f>
        <v>20933</v>
      </c>
      <c r="L77" s="3">
        <f t="shared" ref="L77:O77" si="21">L75+L76</f>
        <v>28990</v>
      </c>
      <c r="M77" s="3">
        <f t="shared" si="21"/>
        <v>32801</v>
      </c>
      <c r="N77" s="3">
        <f t="shared" si="21"/>
        <v>30968</v>
      </c>
      <c r="O77" s="203">
        <f t="shared" si="21"/>
        <v>33284</v>
      </c>
      <c r="P77" s="193"/>
    </row>
    <row r="78" spans="1:16" ht="17.25" thickBot="1">
      <c r="A78" s="280"/>
      <c r="B78" s="445"/>
      <c r="C78" s="204" t="s">
        <v>67</v>
      </c>
      <c r="D78" s="205">
        <f t="shared" ref="D78:I78" si="22">D77/D69</f>
        <v>0.87165950035378004</v>
      </c>
      <c r="E78" s="205">
        <f t="shared" si="22"/>
        <v>1.4967904630903255</v>
      </c>
      <c r="F78" s="205">
        <f t="shared" si="22"/>
        <v>1.9205519153225807</v>
      </c>
      <c r="G78" s="205">
        <f t="shared" si="22"/>
        <v>1.4067974339995066</v>
      </c>
      <c r="H78" s="205">
        <f t="shared" si="22"/>
        <v>1.6024516643412399</v>
      </c>
      <c r="I78" s="205">
        <f t="shared" si="22"/>
        <v>0.81526161248098494</v>
      </c>
      <c r="J78" s="205">
        <f t="shared" ref="J78:O78" si="23">J77/J69</f>
        <v>1.0267007369551531</v>
      </c>
      <c r="K78" s="205">
        <f t="shared" si="23"/>
        <v>0.97028831000278115</v>
      </c>
      <c r="L78" s="205">
        <f t="shared" si="23"/>
        <v>1.7263145358184957</v>
      </c>
      <c r="M78" s="205">
        <f t="shared" si="23"/>
        <v>1.4130444147675871</v>
      </c>
      <c r="N78" s="205">
        <f t="shared" si="23"/>
        <v>1.155824282461837</v>
      </c>
      <c r="O78" s="205">
        <f t="shared" si="23"/>
        <v>1.3537785731717238</v>
      </c>
      <c r="P78" s="193"/>
    </row>
    <row r="79" spans="1:16">
      <c r="A79" s="280"/>
      <c r="B79" s="446" t="s">
        <v>69</v>
      </c>
      <c r="C79" s="196" t="s">
        <v>63</v>
      </c>
      <c r="D79" s="209">
        <v>15.1</v>
      </c>
      <c r="E79" s="209">
        <v>15.6</v>
      </c>
      <c r="F79" s="209">
        <v>21.7</v>
      </c>
      <c r="G79" s="209">
        <v>22.1</v>
      </c>
      <c r="H79" s="198">
        <v>24.3</v>
      </c>
      <c r="I79" s="198">
        <v>18.100000000000001</v>
      </c>
      <c r="J79" s="198">
        <v>21.2</v>
      </c>
      <c r="K79" s="198">
        <v>25.1</v>
      </c>
      <c r="L79" s="198">
        <v>20.7</v>
      </c>
      <c r="M79" s="198">
        <v>25.2</v>
      </c>
      <c r="N79" s="198">
        <v>24.9</v>
      </c>
      <c r="O79" s="199">
        <v>23.2</v>
      </c>
      <c r="P79" s="193"/>
    </row>
    <row r="80" spans="1:16">
      <c r="A80" s="280"/>
      <c r="B80" s="447"/>
      <c r="C80" s="200" t="s">
        <v>65</v>
      </c>
      <c r="D80" s="158">
        <v>54.4</v>
      </c>
      <c r="E80" s="158">
        <v>66.2</v>
      </c>
      <c r="F80" s="158">
        <v>104.1</v>
      </c>
      <c r="G80" s="158">
        <v>71.599999999999994</v>
      </c>
      <c r="H80" s="157">
        <v>100.6</v>
      </c>
      <c r="I80" s="157">
        <v>93.9</v>
      </c>
      <c r="J80" s="157">
        <v>89.6</v>
      </c>
      <c r="K80" s="157">
        <v>62.6</v>
      </c>
      <c r="L80" s="157">
        <v>97.5</v>
      </c>
      <c r="M80" s="157">
        <v>118.8</v>
      </c>
      <c r="N80" s="157">
        <v>98.7</v>
      </c>
      <c r="O80" s="201">
        <v>122.3</v>
      </c>
      <c r="P80" s="193"/>
    </row>
    <row r="81" spans="1:16">
      <c r="A81" s="280"/>
      <c r="B81" s="447"/>
      <c r="C81" s="202" t="s">
        <v>66</v>
      </c>
      <c r="D81" s="7">
        <v>69.5</v>
      </c>
      <c r="E81" s="7">
        <v>81.8</v>
      </c>
      <c r="F81" s="7">
        <v>125.8</v>
      </c>
      <c r="G81" s="7">
        <v>93.7</v>
      </c>
      <c r="H81" s="7">
        <v>124.9</v>
      </c>
      <c r="I81" s="7">
        <v>112</v>
      </c>
      <c r="J81" s="7">
        <v>110.8</v>
      </c>
      <c r="K81" s="7">
        <f>K79+K80</f>
        <v>87.7</v>
      </c>
      <c r="L81" s="7">
        <f t="shared" ref="L81:O81" si="24">L79+L80</f>
        <v>118.2</v>
      </c>
      <c r="M81" s="7">
        <f t="shared" si="24"/>
        <v>144</v>
      </c>
      <c r="N81" s="7">
        <f t="shared" si="24"/>
        <v>123.6</v>
      </c>
      <c r="O81" s="210">
        <f t="shared" si="24"/>
        <v>145.5</v>
      </c>
      <c r="P81" s="207"/>
    </row>
    <row r="82" spans="1:16" ht="17.25" thickBot="1">
      <c r="A82" s="280"/>
      <c r="B82" s="447"/>
      <c r="C82" s="204" t="s">
        <v>25</v>
      </c>
      <c r="D82" s="205">
        <f t="shared" ref="D82:I82" si="25">D81/D73</f>
        <v>0.988620199146515</v>
      </c>
      <c r="E82" s="205">
        <f t="shared" si="25"/>
        <v>1.6262425447316105</v>
      </c>
      <c r="F82" s="205">
        <f t="shared" si="25"/>
        <v>2.1107382550335569</v>
      </c>
      <c r="G82" s="205">
        <f t="shared" si="25"/>
        <v>1.4527131782945737</v>
      </c>
      <c r="H82" s="205">
        <f t="shared" si="25"/>
        <v>1.6499339498018495</v>
      </c>
      <c r="I82" s="205">
        <f t="shared" si="25"/>
        <v>0.97731239092495636</v>
      </c>
      <c r="J82" s="205">
        <f>J81/J73</f>
        <v>0.99016979445933861</v>
      </c>
      <c r="K82" s="205">
        <f>K81/K73</f>
        <v>1.0257309941520467</v>
      </c>
      <c r="L82" s="205">
        <f t="shared" ref="L82:O82" si="26">L81/L73</f>
        <v>1.7433628318584071</v>
      </c>
      <c r="M82" s="205">
        <f t="shared" si="26"/>
        <v>1.4215202369200395</v>
      </c>
      <c r="N82" s="205">
        <f t="shared" si="26"/>
        <v>1.0439189189189189</v>
      </c>
      <c r="O82" s="206">
        <f t="shared" si="26"/>
        <v>1.307277628032345</v>
      </c>
      <c r="P82" s="208"/>
    </row>
    <row r="83" spans="1:16">
      <c r="A83" s="280" t="s">
        <v>296</v>
      </c>
      <c r="B83" s="445" t="s">
        <v>286</v>
      </c>
      <c r="C83" s="196" t="s">
        <v>63</v>
      </c>
      <c r="D83" s="197">
        <v>4823</v>
      </c>
      <c r="E83" s="197">
        <v>3211</v>
      </c>
      <c r="F83" s="197">
        <v>4561</v>
      </c>
      <c r="G83" s="197">
        <v>4282</v>
      </c>
      <c r="H83" s="198">
        <v>4205</v>
      </c>
      <c r="I83" s="198">
        <v>3612</v>
      </c>
      <c r="J83" s="198">
        <v>4443</v>
      </c>
      <c r="K83" s="198">
        <v>3218</v>
      </c>
      <c r="L83" s="198">
        <v>3546</v>
      </c>
      <c r="M83" s="198">
        <v>3690</v>
      </c>
      <c r="N83" s="198">
        <v>3413</v>
      </c>
      <c r="O83" s="199">
        <v>4247</v>
      </c>
      <c r="P83" s="193"/>
    </row>
    <row r="84" spans="1:16">
      <c r="A84" s="280"/>
      <c r="B84" s="445"/>
      <c r="C84" s="200" t="s">
        <v>65</v>
      </c>
      <c r="D84" s="159">
        <v>30646</v>
      </c>
      <c r="E84" s="159">
        <v>14741</v>
      </c>
      <c r="F84" s="159">
        <v>28584</v>
      </c>
      <c r="G84" s="159">
        <v>22237</v>
      </c>
      <c r="H84" s="157">
        <v>23832</v>
      </c>
      <c r="I84" s="157">
        <v>27875</v>
      </c>
      <c r="J84" s="157">
        <v>24512</v>
      </c>
      <c r="K84" s="157">
        <v>20063</v>
      </c>
      <c r="L84" s="157">
        <v>25264.5</v>
      </c>
      <c r="M84" s="157">
        <v>24707</v>
      </c>
      <c r="N84" s="157">
        <v>20032</v>
      </c>
      <c r="O84" s="201">
        <v>22602</v>
      </c>
      <c r="P84" s="193"/>
    </row>
    <row r="85" spans="1:16">
      <c r="A85" s="280"/>
      <c r="B85" s="445"/>
      <c r="C85" s="202" t="s">
        <v>66</v>
      </c>
      <c r="D85" s="3">
        <f>D83+D84</f>
        <v>35469</v>
      </c>
      <c r="E85" s="3">
        <f t="shared" ref="E85:O85" si="27">E83+E84</f>
        <v>17952</v>
      </c>
      <c r="F85" s="3">
        <f t="shared" si="27"/>
        <v>33145</v>
      </c>
      <c r="G85" s="3">
        <f t="shared" si="27"/>
        <v>26519</v>
      </c>
      <c r="H85" s="3">
        <f t="shared" si="27"/>
        <v>28037</v>
      </c>
      <c r="I85" s="3">
        <f t="shared" si="27"/>
        <v>31487</v>
      </c>
      <c r="J85" s="3">
        <f t="shared" si="27"/>
        <v>28955</v>
      </c>
      <c r="K85" s="3">
        <f t="shared" si="27"/>
        <v>23281</v>
      </c>
      <c r="L85" s="3">
        <f t="shared" si="27"/>
        <v>28810.5</v>
      </c>
      <c r="M85" s="3">
        <f t="shared" si="27"/>
        <v>28397</v>
      </c>
      <c r="N85" s="3">
        <f t="shared" si="27"/>
        <v>23445</v>
      </c>
      <c r="O85" s="203">
        <f t="shared" si="27"/>
        <v>26849</v>
      </c>
      <c r="P85" s="193"/>
    </row>
    <row r="86" spans="1:16" ht="17.25" thickBot="1">
      <c r="A86" s="280"/>
      <c r="B86" s="445"/>
      <c r="C86" s="204" t="s">
        <v>67</v>
      </c>
      <c r="D86" s="205">
        <f>D85/D77</f>
        <v>2.2147361848267249</v>
      </c>
      <c r="E86" s="205">
        <f t="shared" ref="E86:O86" si="28">E85/E77</f>
        <v>0.91652626742226984</v>
      </c>
      <c r="F86" s="205">
        <f>F85/F77</f>
        <v>1.0873273627923761</v>
      </c>
      <c r="G86" s="205">
        <f>G85/G77</f>
        <v>1.1627570482746525</v>
      </c>
      <c r="H86" s="205">
        <f t="shared" si="28"/>
        <v>0.87185148330120033</v>
      </c>
      <c r="I86" s="205">
        <f t="shared" si="28"/>
        <v>1.3663267520069429</v>
      </c>
      <c r="J86" s="205">
        <f t="shared" si="28"/>
        <v>1.044401962198817</v>
      </c>
      <c r="K86" s="205">
        <f t="shared" si="28"/>
        <v>1.1121673912004968</v>
      </c>
      <c r="L86" s="205">
        <f t="shared" si="28"/>
        <v>0.99380820972749229</v>
      </c>
      <c r="M86" s="205">
        <f t="shared" si="28"/>
        <v>0.86573580073778234</v>
      </c>
      <c r="N86" s="205">
        <f t="shared" si="28"/>
        <v>0.7570718160681994</v>
      </c>
      <c r="O86" s="206">
        <f t="shared" si="28"/>
        <v>0.80666386251652444</v>
      </c>
      <c r="P86" s="193"/>
    </row>
    <row r="87" spans="1:16">
      <c r="A87" s="280"/>
      <c r="B87" s="446" t="s">
        <v>69</v>
      </c>
      <c r="C87" s="196" t="s">
        <v>63</v>
      </c>
      <c r="D87" s="209">
        <v>22.2</v>
      </c>
      <c r="E87" s="209">
        <v>14.6</v>
      </c>
      <c r="F87" s="209">
        <v>20.5</v>
      </c>
      <c r="G87" s="209">
        <v>19.600000000000001</v>
      </c>
      <c r="H87" s="198">
        <v>19.3</v>
      </c>
      <c r="I87" s="198">
        <v>16.7</v>
      </c>
      <c r="J87" s="198">
        <v>20.100000000000001</v>
      </c>
      <c r="K87" s="198">
        <v>14.8</v>
      </c>
      <c r="L87" s="198">
        <v>16.600000000000001</v>
      </c>
      <c r="M87" s="198">
        <v>17.100000000000001</v>
      </c>
      <c r="N87" s="198">
        <v>16.100000000000001</v>
      </c>
      <c r="O87" s="199">
        <v>19.7</v>
      </c>
      <c r="P87" s="193"/>
    </row>
    <row r="88" spans="1:16">
      <c r="A88" s="280"/>
      <c r="B88" s="447"/>
      <c r="C88" s="200" t="s">
        <v>65</v>
      </c>
      <c r="D88" s="158">
        <v>121.16</v>
      </c>
      <c r="E88" s="158">
        <v>61.5</v>
      </c>
      <c r="F88" s="158">
        <v>123.1</v>
      </c>
      <c r="G88" s="158">
        <v>91.6</v>
      </c>
      <c r="H88" s="157">
        <v>89.7</v>
      </c>
      <c r="I88" s="157">
        <v>119.8</v>
      </c>
      <c r="J88" s="157">
        <v>88</v>
      </c>
      <c r="K88" s="157">
        <v>77.3</v>
      </c>
      <c r="L88" s="157">
        <v>103.5</v>
      </c>
      <c r="M88" s="157">
        <v>88.5</v>
      </c>
      <c r="N88" s="157">
        <v>67.599999999999994</v>
      </c>
      <c r="O88" s="201">
        <v>76.900000000000006</v>
      </c>
      <c r="P88" s="193"/>
    </row>
    <row r="89" spans="1:16">
      <c r="A89" s="280"/>
      <c r="B89" s="447"/>
      <c r="C89" s="202" t="s">
        <v>66</v>
      </c>
      <c r="D89" s="7">
        <f>D87+D88</f>
        <v>143.35999999999999</v>
      </c>
      <c r="E89" s="7">
        <f t="shared" ref="E89:O89" si="29">E87+E88</f>
        <v>76.099999999999994</v>
      </c>
      <c r="F89" s="7">
        <f t="shared" si="29"/>
        <v>143.6</v>
      </c>
      <c r="G89" s="7">
        <f t="shared" si="29"/>
        <v>111.19999999999999</v>
      </c>
      <c r="H89" s="7">
        <f t="shared" si="29"/>
        <v>109</v>
      </c>
      <c r="I89" s="7">
        <f t="shared" si="29"/>
        <v>136.5</v>
      </c>
      <c r="J89" s="7">
        <f t="shared" si="29"/>
        <v>108.1</v>
      </c>
      <c r="K89" s="7">
        <f t="shared" si="29"/>
        <v>92.1</v>
      </c>
      <c r="L89" s="7">
        <f t="shared" si="29"/>
        <v>120.1</v>
      </c>
      <c r="M89" s="7">
        <f t="shared" si="29"/>
        <v>105.6</v>
      </c>
      <c r="N89" s="7">
        <f t="shared" si="29"/>
        <v>83.699999999999989</v>
      </c>
      <c r="O89" s="210">
        <f t="shared" si="29"/>
        <v>96.600000000000009</v>
      </c>
      <c r="P89" s="207"/>
    </row>
    <row r="90" spans="1:16" ht="17.25" thickBot="1">
      <c r="A90" s="281"/>
      <c r="B90" s="450"/>
      <c r="C90" s="227" t="s">
        <v>25</v>
      </c>
      <c r="D90" s="195">
        <f>D89/D81</f>
        <v>2.0627338129496402</v>
      </c>
      <c r="E90" s="195">
        <f t="shared" ref="E90:I90" si="30">E89/E81</f>
        <v>0.93031784841075793</v>
      </c>
      <c r="F90" s="195">
        <f t="shared" si="30"/>
        <v>1.1414944356120826</v>
      </c>
      <c r="G90" s="195">
        <f t="shared" si="30"/>
        <v>1.1867662753468515</v>
      </c>
      <c r="H90" s="195">
        <f t="shared" si="30"/>
        <v>0.87269815852682142</v>
      </c>
      <c r="I90" s="195">
        <f t="shared" si="30"/>
        <v>1.21875</v>
      </c>
      <c r="J90" s="195">
        <f>J89/J81</f>
        <v>0.97563176895306858</v>
      </c>
      <c r="K90" s="195">
        <f>K89/K81</f>
        <v>1.050171037628278</v>
      </c>
      <c r="L90" s="195">
        <f t="shared" ref="L90:N90" si="31">L89/L81</f>
        <v>1.0160744500846024</v>
      </c>
      <c r="M90" s="195">
        <f t="shared" si="31"/>
        <v>0.73333333333333328</v>
      </c>
      <c r="N90" s="195">
        <f t="shared" si="31"/>
        <v>0.6771844660194174</v>
      </c>
      <c r="O90" s="228">
        <f>O89/O81</f>
        <v>0.66391752577319596</v>
      </c>
      <c r="P90" s="208"/>
    </row>
    <row r="91" spans="1:16" ht="17.25" thickTop="1">
      <c r="A91" s="441" t="s">
        <v>297</v>
      </c>
      <c r="B91" s="444" t="s">
        <v>286</v>
      </c>
      <c r="C91" s="229" t="s">
        <v>63</v>
      </c>
      <c r="D91" s="260">
        <v>3049</v>
      </c>
      <c r="E91" s="260">
        <v>3344</v>
      </c>
      <c r="F91" s="260">
        <v>3925</v>
      </c>
      <c r="G91" s="260">
        <v>3494</v>
      </c>
      <c r="H91" s="260">
        <v>3212</v>
      </c>
      <c r="I91" s="260">
        <v>3261</v>
      </c>
      <c r="J91" s="260">
        <v>3267</v>
      </c>
      <c r="K91" s="260">
        <v>2520</v>
      </c>
      <c r="L91" s="260">
        <v>2855</v>
      </c>
      <c r="M91" s="260">
        <v>2511</v>
      </c>
      <c r="N91" s="260">
        <v>2135</v>
      </c>
      <c r="O91" s="261">
        <v>2603</v>
      </c>
      <c r="P91" s="193"/>
    </row>
    <row r="92" spans="1:16">
      <c r="A92" s="442"/>
      <c r="B92" s="445"/>
      <c r="C92" s="200" t="s">
        <v>65</v>
      </c>
      <c r="D92" s="262">
        <v>14198</v>
      </c>
      <c r="E92" s="262">
        <v>22052</v>
      </c>
      <c r="F92" s="262">
        <v>23449</v>
      </c>
      <c r="G92" s="262">
        <v>27357.5</v>
      </c>
      <c r="H92" s="262">
        <v>18891</v>
      </c>
      <c r="I92" s="262">
        <v>29006</v>
      </c>
      <c r="J92" s="262">
        <v>23905</v>
      </c>
      <c r="K92" s="262">
        <v>12130</v>
      </c>
      <c r="L92" s="262">
        <v>22098</v>
      </c>
      <c r="M92" s="262">
        <v>18740</v>
      </c>
      <c r="N92" s="262">
        <v>18324</v>
      </c>
      <c r="O92" s="263">
        <v>19024</v>
      </c>
      <c r="P92" s="193"/>
    </row>
    <row r="93" spans="1:16">
      <c r="A93" s="442"/>
      <c r="B93" s="445"/>
      <c r="C93" s="202" t="s">
        <v>66</v>
      </c>
      <c r="D93" s="264">
        <f>D91+D92</f>
        <v>17247</v>
      </c>
      <c r="E93" s="264">
        <f t="shared" ref="E93:O93" si="32">E91+E92</f>
        <v>25396</v>
      </c>
      <c r="F93" s="264">
        <f t="shared" si="32"/>
        <v>27374</v>
      </c>
      <c r="G93" s="264">
        <f t="shared" si="32"/>
        <v>30851.5</v>
      </c>
      <c r="H93" s="264">
        <f t="shared" si="32"/>
        <v>22103</v>
      </c>
      <c r="I93" s="264">
        <f t="shared" si="32"/>
        <v>32267</v>
      </c>
      <c r="J93" s="264">
        <f t="shared" si="32"/>
        <v>27172</v>
      </c>
      <c r="K93" s="264">
        <f t="shared" si="32"/>
        <v>14650</v>
      </c>
      <c r="L93" s="264">
        <f t="shared" si="32"/>
        <v>24953</v>
      </c>
      <c r="M93" s="264">
        <f t="shared" si="32"/>
        <v>21251</v>
      </c>
      <c r="N93" s="264">
        <f t="shared" si="32"/>
        <v>20459</v>
      </c>
      <c r="O93" s="265">
        <f t="shared" si="32"/>
        <v>21627</v>
      </c>
      <c r="P93" s="193"/>
    </row>
    <row r="94" spans="1:16" ht="17.25" thickBot="1">
      <c r="A94" s="442"/>
      <c r="B94" s="445"/>
      <c r="C94" s="204" t="s">
        <v>67</v>
      </c>
      <c r="D94" s="205">
        <f>D93/D85</f>
        <v>0.48625560348473312</v>
      </c>
      <c r="E94" s="205">
        <f t="shared" ref="E94" si="33">E93/E85</f>
        <v>1.4146613190730837</v>
      </c>
      <c r="F94" s="205">
        <f>F93/F85</f>
        <v>0.82588625735405041</v>
      </c>
      <c r="G94" s="205">
        <f>G93/G85</f>
        <v>1.1633734303706775</v>
      </c>
      <c r="H94" s="205">
        <f t="shared" ref="H94:O94" si="34">H93/H85</f>
        <v>0.78835110746513537</v>
      </c>
      <c r="I94" s="205">
        <f t="shared" si="34"/>
        <v>1.0247721281798838</v>
      </c>
      <c r="J94" s="205">
        <f t="shared" si="34"/>
        <v>0.93842168882749089</v>
      </c>
      <c r="K94" s="205">
        <f t="shared" si="34"/>
        <v>0.62926850221210429</v>
      </c>
      <c r="L94" s="205">
        <f t="shared" si="34"/>
        <v>0.86610784262682006</v>
      </c>
      <c r="M94" s="205">
        <f t="shared" si="34"/>
        <v>0.74835369933443674</v>
      </c>
      <c r="N94" s="205">
        <f t="shared" si="34"/>
        <v>0.87263808914480701</v>
      </c>
      <c r="O94" s="230">
        <f t="shared" si="34"/>
        <v>0.80550486051622039</v>
      </c>
      <c r="P94" s="193"/>
    </row>
    <row r="95" spans="1:16">
      <c r="A95" s="442"/>
      <c r="B95" s="446" t="s">
        <v>69</v>
      </c>
      <c r="C95" s="196" t="s">
        <v>63</v>
      </c>
      <c r="D95" s="209">
        <v>13.7</v>
      </c>
      <c r="E95" s="209">
        <v>15.6</v>
      </c>
      <c r="F95" s="209">
        <v>18</v>
      </c>
      <c r="G95" s="209">
        <v>16.100000000000001</v>
      </c>
      <c r="H95" s="198">
        <v>14.9</v>
      </c>
      <c r="I95" s="198">
        <v>15.3</v>
      </c>
      <c r="J95" s="198">
        <v>15.2</v>
      </c>
      <c r="K95" s="198">
        <v>11.7</v>
      </c>
      <c r="L95" s="198">
        <v>13.3</v>
      </c>
      <c r="M95" s="198">
        <v>11.6</v>
      </c>
      <c r="N95" s="198">
        <v>9.8000000000000007</v>
      </c>
      <c r="O95" s="231">
        <v>11.9</v>
      </c>
      <c r="P95" s="193"/>
    </row>
    <row r="96" spans="1:16">
      <c r="A96" s="442"/>
      <c r="B96" s="447"/>
      <c r="C96" s="200" t="s">
        <v>65</v>
      </c>
      <c r="D96" s="158">
        <v>47.5</v>
      </c>
      <c r="E96" s="158">
        <v>89.7</v>
      </c>
      <c r="F96" s="158">
        <v>96</v>
      </c>
      <c r="G96" s="158">
        <v>143.5</v>
      </c>
      <c r="H96" s="157">
        <v>84.3</v>
      </c>
      <c r="I96" s="157">
        <v>146.80000000000001</v>
      </c>
      <c r="J96" s="157">
        <v>123.1</v>
      </c>
      <c r="K96" s="157">
        <v>53.9</v>
      </c>
      <c r="L96" s="157">
        <v>94.8</v>
      </c>
      <c r="M96" s="157">
        <v>75.2</v>
      </c>
      <c r="N96" s="157">
        <v>76</v>
      </c>
      <c r="O96" s="157">
        <v>79.3</v>
      </c>
      <c r="P96" s="193"/>
    </row>
    <row r="97" spans="1:16">
      <c r="A97" s="442"/>
      <c r="B97" s="447"/>
      <c r="C97" s="202" t="s">
        <v>66</v>
      </c>
      <c r="D97" s="7">
        <f>D95+D96</f>
        <v>61.2</v>
      </c>
      <c r="E97" s="7">
        <f t="shared" ref="E97:O97" si="35">E95+E96</f>
        <v>105.3</v>
      </c>
      <c r="F97" s="7">
        <f t="shared" si="35"/>
        <v>114</v>
      </c>
      <c r="G97" s="7">
        <f t="shared" si="35"/>
        <v>159.6</v>
      </c>
      <c r="H97" s="7">
        <f t="shared" si="35"/>
        <v>99.2</v>
      </c>
      <c r="I97" s="7">
        <f t="shared" si="35"/>
        <v>162.10000000000002</v>
      </c>
      <c r="J97" s="7">
        <f t="shared" si="35"/>
        <v>138.29999999999998</v>
      </c>
      <c r="K97" s="7">
        <f t="shared" si="35"/>
        <v>65.599999999999994</v>
      </c>
      <c r="L97" s="7">
        <f t="shared" si="35"/>
        <v>108.1</v>
      </c>
      <c r="M97" s="7">
        <f t="shared" si="35"/>
        <v>86.8</v>
      </c>
      <c r="N97" s="7">
        <f t="shared" si="35"/>
        <v>85.8</v>
      </c>
      <c r="O97" s="232">
        <f t="shared" si="35"/>
        <v>91.2</v>
      </c>
      <c r="P97" s="207"/>
    </row>
    <row r="98" spans="1:16" ht="17.25" thickBot="1">
      <c r="A98" s="443"/>
      <c r="B98" s="448"/>
      <c r="C98" s="233" t="s">
        <v>25</v>
      </c>
      <c r="D98" s="234">
        <f>D97/D89</f>
        <v>0.42689732142857151</v>
      </c>
      <c r="E98" s="234">
        <f t="shared" ref="E98:I98" si="36">E97/E89</f>
        <v>1.3837056504599212</v>
      </c>
      <c r="F98" s="234">
        <f t="shared" si="36"/>
        <v>0.79387186629526463</v>
      </c>
      <c r="G98" s="234">
        <f t="shared" si="36"/>
        <v>1.4352517985611513</v>
      </c>
      <c r="H98" s="234">
        <f t="shared" si="36"/>
        <v>0.91009174311926611</v>
      </c>
      <c r="I98" s="234">
        <f t="shared" si="36"/>
        <v>1.1875457875457878</v>
      </c>
      <c r="J98" s="234">
        <f>J97/J89</f>
        <v>1.2793709528214616</v>
      </c>
      <c r="K98" s="234">
        <f>K97/K89</f>
        <v>0.71226927252985883</v>
      </c>
      <c r="L98" s="234">
        <f t="shared" ref="L98:N98" si="37">L97/L89</f>
        <v>0.90008326394671112</v>
      </c>
      <c r="M98" s="234">
        <f t="shared" si="37"/>
        <v>0.82196969696969702</v>
      </c>
      <c r="N98" s="234">
        <f t="shared" si="37"/>
        <v>1.0250896057347672</v>
      </c>
      <c r="O98" s="235">
        <f>O97/O89</f>
        <v>0.94409937888198747</v>
      </c>
      <c r="P98" s="208"/>
    </row>
    <row r="99" spans="1:16" ht="17.25" thickTop="1"/>
  </sheetData>
  <mergeCells count="37">
    <mergeCell ref="A27:A34"/>
    <mergeCell ref="B27:B30"/>
    <mergeCell ref="B31:B34"/>
    <mergeCell ref="A67:A74"/>
    <mergeCell ref="B67:B70"/>
    <mergeCell ref="B71:B74"/>
    <mergeCell ref="A59:A66"/>
    <mergeCell ref="B59:B62"/>
    <mergeCell ref="B63:B66"/>
    <mergeCell ref="A35:A42"/>
    <mergeCell ref="B35:B38"/>
    <mergeCell ref="B39:B42"/>
    <mergeCell ref="A51:A58"/>
    <mergeCell ref="B51:B54"/>
    <mergeCell ref="B55:B58"/>
    <mergeCell ref="A2:C2"/>
    <mergeCell ref="A3:A10"/>
    <mergeCell ref="B3:B6"/>
    <mergeCell ref="B7:B10"/>
    <mergeCell ref="A19:A26"/>
    <mergeCell ref="B19:B22"/>
    <mergeCell ref="B23:B26"/>
    <mergeCell ref="A11:A18"/>
    <mergeCell ref="B11:B14"/>
    <mergeCell ref="B15:B18"/>
    <mergeCell ref="A91:A98"/>
    <mergeCell ref="B91:B94"/>
    <mergeCell ref="B95:B98"/>
    <mergeCell ref="A43:A50"/>
    <mergeCell ref="B43:B46"/>
    <mergeCell ref="B47:B50"/>
    <mergeCell ref="A83:A90"/>
    <mergeCell ref="B83:B86"/>
    <mergeCell ref="B87:B90"/>
    <mergeCell ref="A75:A82"/>
    <mergeCell ref="B75:B78"/>
    <mergeCell ref="B79:B8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3"/>
  <sheetViews>
    <sheetView zoomScale="90" zoomScaleNormal="90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M25" sqref="M25"/>
    </sheetView>
  </sheetViews>
  <sheetFormatPr defaultRowHeight="16.5"/>
  <cols>
    <col min="1" max="1" width="51.75" bestFit="1" customWidth="1"/>
    <col min="2" max="15" width="9" customWidth="1"/>
    <col min="16" max="16" width="9" style="1" customWidth="1"/>
    <col min="17" max="26" width="9" customWidth="1"/>
  </cols>
  <sheetData>
    <row r="1" spans="1:16" ht="22.5" customHeight="1">
      <c r="A1" s="2" t="s">
        <v>298</v>
      </c>
      <c r="B1" s="135" t="s">
        <v>299</v>
      </c>
      <c r="C1" s="135" t="s">
        <v>300</v>
      </c>
      <c r="D1" s="135" t="s">
        <v>301</v>
      </c>
      <c r="E1" s="135" t="s">
        <v>302</v>
      </c>
      <c r="F1" s="135" t="s">
        <v>303</v>
      </c>
      <c r="G1" s="135" t="s">
        <v>304</v>
      </c>
      <c r="H1" s="135" t="s">
        <v>305</v>
      </c>
      <c r="I1" s="135" t="s">
        <v>306</v>
      </c>
      <c r="J1" s="135" t="s">
        <v>307</v>
      </c>
      <c r="K1" s="135" t="s">
        <v>308</v>
      </c>
      <c r="L1" s="135" t="s">
        <v>309</v>
      </c>
      <c r="M1" s="135" t="s">
        <v>310</v>
      </c>
      <c r="P1"/>
    </row>
    <row r="2" spans="1:16">
      <c r="A2" s="164" t="s">
        <v>311</v>
      </c>
      <c r="B2" s="164">
        <v>69.2</v>
      </c>
      <c r="C2" s="164">
        <v>114</v>
      </c>
      <c r="D2" s="164">
        <v>92</v>
      </c>
      <c r="E2" s="164">
        <v>83</v>
      </c>
      <c r="F2" s="164">
        <v>82.5</v>
      </c>
      <c r="G2" s="164">
        <v>125</v>
      </c>
      <c r="H2" s="164">
        <v>345.5</v>
      </c>
      <c r="I2" s="164">
        <v>173</v>
      </c>
      <c r="J2" s="164">
        <v>44</v>
      </c>
      <c r="K2" s="164">
        <v>102</v>
      </c>
      <c r="L2" s="164">
        <v>113</v>
      </c>
      <c r="M2" s="164">
        <v>59.5</v>
      </c>
      <c r="P2"/>
    </row>
    <row r="3" spans="1:16">
      <c r="A3" s="164" t="s">
        <v>312</v>
      </c>
      <c r="B3" s="164">
        <v>123.3</v>
      </c>
      <c r="C3" s="164">
        <v>92</v>
      </c>
      <c r="D3" s="164">
        <v>36</v>
      </c>
      <c r="E3" s="164">
        <v>4.5</v>
      </c>
      <c r="F3" s="164">
        <v>37.9</v>
      </c>
      <c r="G3" s="164">
        <v>138</v>
      </c>
      <c r="H3" s="164">
        <v>41</v>
      </c>
      <c r="I3" s="164">
        <v>34</v>
      </c>
      <c r="J3" s="164">
        <v>244</v>
      </c>
      <c r="K3" s="164">
        <v>222</v>
      </c>
      <c r="L3" s="164">
        <v>267</v>
      </c>
      <c r="M3" s="164"/>
      <c r="P3"/>
    </row>
    <row r="4" spans="1:16">
      <c r="A4" s="164" t="s">
        <v>313</v>
      </c>
      <c r="B4" s="164">
        <v>30</v>
      </c>
      <c r="C4" s="164">
        <v>29</v>
      </c>
      <c r="D4" s="164">
        <v>44</v>
      </c>
      <c r="E4" s="164">
        <v>41</v>
      </c>
      <c r="F4" s="164">
        <v>16.5</v>
      </c>
      <c r="G4" s="164">
        <v>33</v>
      </c>
      <c r="H4" s="164">
        <v>13.5</v>
      </c>
      <c r="I4" s="164">
        <v>33</v>
      </c>
      <c r="J4" s="164"/>
      <c r="K4" s="164">
        <v>17.5</v>
      </c>
      <c r="L4" s="164">
        <v>24</v>
      </c>
      <c r="M4" s="164">
        <v>4.5</v>
      </c>
      <c r="P4"/>
    </row>
    <row r="5" spans="1:16">
      <c r="A5" s="164" t="s">
        <v>314</v>
      </c>
      <c r="B5" s="164">
        <v>76.400000000000006</v>
      </c>
      <c r="C5" s="164">
        <v>94.1</v>
      </c>
      <c r="D5" s="164">
        <v>98.2</v>
      </c>
      <c r="E5" s="164">
        <v>100.7</v>
      </c>
      <c r="F5" s="164">
        <v>97.9</v>
      </c>
      <c r="G5" s="164">
        <v>80.099999999999994</v>
      </c>
      <c r="H5" s="164">
        <v>97.4</v>
      </c>
      <c r="I5" s="164">
        <v>120</v>
      </c>
      <c r="J5" s="164">
        <v>135.80000000000001</v>
      </c>
      <c r="K5" s="164">
        <v>99</v>
      </c>
      <c r="L5" s="164">
        <v>86.1</v>
      </c>
      <c r="M5" s="164">
        <v>119.1</v>
      </c>
      <c r="P5"/>
    </row>
    <row r="6" spans="1:16">
      <c r="A6" s="164" t="s">
        <v>315</v>
      </c>
      <c r="B6" s="164"/>
      <c r="C6" s="255">
        <v>36.6</v>
      </c>
      <c r="D6" s="164">
        <v>27.1</v>
      </c>
      <c r="E6" s="164">
        <v>37.6</v>
      </c>
      <c r="F6" s="164"/>
      <c r="G6" s="164">
        <v>57.2</v>
      </c>
      <c r="H6" s="164">
        <v>49.3</v>
      </c>
      <c r="I6" s="164">
        <v>30.2</v>
      </c>
      <c r="J6" s="164">
        <v>50</v>
      </c>
      <c r="K6" s="164">
        <v>49.8</v>
      </c>
      <c r="L6" s="164">
        <v>44</v>
      </c>
      <c r="M6" s="164">
        <v>49</v>
      </c>
      <c r="P6"/>
    </row>
    <row r="7" spans="1:16">
      <c r="A7" s="45" t="s">
        <v>316</v>
      </c>
      <c r="B7" s="46">
        <f t="shared" ref="B7:C7" si="0">SUM(B2:B6)</f>
        <v>298.89999999999998</v>
      </c>
      <c r="C7" s="46">
        <f t="shared" si="0"/>
        <v>365.70000000000005</v>
      </c>
      <c r="D7" s="46">
        <f>SUM(D2:D6)</f>
        <v>297.3</v>
      </c>
      <c r="E7" s="46">
        <f t="shared" ref="E7" si="1">SUM(E2:E6)</f>
        <v>266.8</v>
      </c>
      <c r="F7" s="46">
        <f>SUM(F2:F6)</f>
        <v>234.8</v>
      </c>
      <c r="G7" s="46">
        <f t="shared" ref="G7" si="2">SUM(G2:G6)</f>
        <v>433.3</v>
      </c>
      <c r="H7" s="46">
        <f t="shared" ref="H7" si="3">SUM(H2:H6)</f>
        <v>546.69999999999993</v>
      </c>
      <c r="I7" s="46">
        <f t="shared" ref="I7:J7" si="4">SUM(I2:I6)</f>
        <v>390.2</v>
      </c>
      <c r="J7" s="46">
        <f t="shared" si="4"/>
        <v>473.8</v>
      </c>
      <c r="K7" s="46">
        <f t="shared" ref="K7" si="5">SUM(K2:K6)</f>
        <v>490.3</v>
      </c>
      <c r="L7" s="46">
        <f t="shared" ref="L7:M7" si="6">SUM(L2:L6)</f>
        <v>534.1</v>
      </c>
      <c r="M7" s="46">
        <f t="shared" si="6"/>
        <v>232.1</v>
      </c>
      <c r="P7"/>
    </row>
    <row r="8" spans="1:16">
      <c r="A8" s="1"/>
      <c r="B8" s="221"/>
      <c r="C8" s="221"/>
      <c r="D8" s="221"/>
      <c r="E8" s="221"/>
      <c r="F8" s="221"/>
      <c r="G8" s="221"/>
      <c r="H8" s="221"/>
      <c r="I8" s="221"/>
      <c r="J8" s="221"/>
      <c r="K8" s="221"/>
      <c r="L8" s="221"/>
      <c r="M8" s="221"/>
      <c r="P8"/>
    </row>
    <row r="9" spans="1:16">
      <c r="A9" s="2" t="s">
        <v>317</v>
      </c>
      <c r="B9" s="2">
        <v>337</v>
      </c>
      <c r="C9" s="2">
        <v>81</v>
      </c>
      <c r="D9" s="2">
        <v>400</v>
      </c>
      <c r="E9" s="2">
        <v>322.5</v>
      </c>
      <c r="F9" s="2">
        <v>320.5</v>
      </c>
      <c r="G9" s="2">
        <v>280.5</v>
      </c>
      <c r="H9" s="2">
        <v>48</v>
      </c>
      <c r="I9" s="2">
        <v>264.5</v>
      </c>
      <c r="J9" s="2">
        <v>342</v>
      </c>
      <c r="K9" s="2">
        <v>378</v>
      </c>
      <c r="L9" s="2">
        <v>402.5</v>
      </c>
      <c r="M9" s="2">
        <v>322.5</v>
      </c>
      <c r="P9"/>
    </row>
    <row r="10" spans="1:16">
      <c r="A10" s="2" t="s">
        <v>318</v>
      </c>
      <c r="B10" s="2">
        <v>109.5</v>
      </c>
      <c r="C10" s="2">
        <v>112.5</v>
      </c>
      <c r="D10" s="2"/>
      <c r="E10" s="2">
        <v>23.5</v>
      </c>
      <c r="F10" s="2">
        <v>14</v>
      </c>
      <c r="G10" s="2">
        <v>50.5</v>
      </c>
      <c r="H10" s="2">
        <v>54</v>
      </c>
      <c r="I10" s="2">
        <v>122</v>
      </c>
      <c r="J10" s="2">
        <v>93.8</v>
      </c>
      <c r="K10" s="2">
        <f>230+69.2</f>
        <v>299.2</v>
      </c>
      <c r="L10" s="2">
        <v>231</v>
      </c>
      <c r="M10" s="2">
        <v>359.2</v>
      </c>
      <c r="P10"/>
    </row>
    <row r="11" spans="1:16">
      <c r="A11" s="2" t="s">
        <v>319</v>
      </c>
      <c r="B11" s="2">
        <v>124</v>
      </c>
      <c r="C11" s="2">
        <v>75</v>
      </c>
      <c r="D11" s="2">
        <v>119.5</v>
      </c>
      <c r="E11" s="2">
        <v>64</v>
      </c>
      <c r="F11" s="2">
        <v>107.5</v>
      </c>
      <c r="G11" s="2">
        <v>97</v>
      </c>
      <c r="H11" s="2">
        <v>125</v>
      </c>
      <c r="I11" s="2">
        <v>142</v>
      </c>
      <c r="J11" s="2">
        <v>154</v>
      </c>
      <c r="K11" s="2">
        <v>157</v>
      </c>
      <c r="L11" s="2">
        <v>2</v>
      </c>
      <c r="M11" s="2">
        <v>131.5</v>
      </c>
      <c r="P11"/>
    </row>
    <row r="12" spans="1:16">
      <c r="A12" s="2" t="s">
        <v>320</v>
      </c>
      <c r="B12" s="2"/>
      <c r="C12" s="241"/>
      <c r="D12" s="2"/>
      <c r="E12" s="2"/>
      <c r="F12" s="2"/>
      <c r="G12" s="2"/>
      <c r="H12" s="2"/>
      <c r="I12" s="2"/>
      <c r="J12" s="145"/>
      <c r="K12" s="2"/>
      <c r="L12" s="2"/>
      <c r="M12" s="2"/>
      <c r="P12"/>
    </row>
    <row r="13" spans="1:16">
      <c r="A13" s="2" t="s">
        <v>321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P13"/>
    </row>
    <row r="14" spans="1:16">
      <c r="A14" s="2" t="s">
        <v>322</v>
      </c>
      <c r="B14" s="2">
        <v>80</v>
      </c>
      <c r="C14" s="2">
        <v>16</v>
      </c>
      <c r="D14" s="2">
        <v>84</v>
      </c>
      <c r="E14" s="2">
        <v>72</v>
      </c>
      <c r="F14" s="2">
        <v>72</v>
      </c>
      <c r="G14" s="2">
        <v>65</v>
      </c>
      <c r="H14" s="2">
        <v>72</v>
      </c>
      <c r="I14" s="2">
        <v>56</v>
      </c>
      <c r="J14" s="2">
        <v>69.5</v>
      </c>
      <c r="K14" s="2">
        <v>64</v>
      </c>
      <c r="L14" s="2">
        <v>83</v>
      </c>
      <c r="M14" s="2">
        <v>48</v>
      </c>
      <c r="P14"/>
    </row>
    <row r="15" spans="1:16">
      <c r="A15" s="2" t="s">
        <v>323</v>
      </c>
      <c r="B15" s="2">
        <v>65</v>
      </c>
      <c r="C15" s="2">
        <v>60.400000000000006</v>
      </c>
      <c r="D15" s="2">
        <v>59.6</v>
      </c>
      <c r="E15" s="2">
        <v>107.9</v>
      </c>
      <c r="F15" s="2">
        <f>8.5+56.9</f>
        <v>65.400000000000006</v>
      </c>
      <c r="G15" s="2">
        <v>69.3</v>
      </c>
      <c r="H15" s="2">
        <v>71.099999999999994</v>
      </c>
      <c r="I15" s="2">
        <v>75.900000000000006</v>
      </c>
      <c r="J15" s="2">
        <v>70.2</v>
      </c>
      <c r="K15" s="2">
        <f>46.2+23</f>
        <v>69.2</v>
      </c>
      <c r="L15" s="2">
        <v>227.89999999999998</v>
      </c>
      <c r="M15" s="2">
        <v>310</v>
      </c>
      <c r="P15"/>
    </row>
    <row r="16" spans="1:16">
      <c r="A16" s="2" t="s">
        <v>324</v>
      </c>
      <c r="B16" s="2">
        <v>76.599999999999994</v>
      </c>
      <c r="C16" s="2">
        <v>66.599999999999994</v>
      </c>
      <c r="D16" s="2">
        <v>47.3</v>
      </c>
      <c r="E16" s="2">
        <v>45.2</v>
      </c>
      <c r="F16" s="2">
        <v>32.9</v>
      </c>
      <c r="G16" s="2">
        <v>47.5</v>
      </c>
      <c r="H16" s="2">
        <v>46.3</v>
      </c>
      <c r="I16" s="2">
        <v>48.599999999999994</v>
      </c>
      <c r="J16" s="2">
        <v>41.4</v>
      </c>
      <c r="K16" s="2">
        <v>59.1</v>
      </c>
      <c r="L16" s="2">
        <v>65.099999999999994</v>
      </c>
      <c r="M16" s="2">
        <v>61.800000000000004</v>
      </c>
      <c r="P16"/>
    </row>
    <row r="17" spans="1:21">
      <c r="A17" s="2" t="s">
        <v>325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P17"/>
    </row>
    <row r="18" spans="1:21">
      <c r="A18" s="45" t="s">
        <v>326</v>
      </c>
      <c r="B18" s="46">
        <f t="shared" ref="B18:M18" si="7">SUM(B9:B17)</f>
        <v>792.1</v>
      </c>
      <c r="C18" s="46">
        <f t="shared" si="7"/>
        <v>411.5</v>
      </c>
      <c r="D18" s="46">
        <f t="shared" si="7"/>
        <v>710.4</v>
      </c>
      <c r="E18" s="46">
        <f t="shared" si="7"/>
        <v>635.1</v>
      </c>
      <c r="F18" s="46">
        <f t="shared" si="7"/>
        <v>612.29999999999995</v>
      </c>
      <c r="G18" s="46">
        <f t="shared" si="7"/>
        <v>609.79999999999995</v>
      </c>
      <c r="H18" s="46">
        <f t="shared" si="7"/>
        <v>416.40000000000003</v>
      </c>
      <c r="I18" s="46">
        <f t="shared" si="7"/>
        <v>709</v>
      </c>
      <c r="J18" s="46">
        <f t="shared" si="7"/>
        <v>770.9</v>
      </c>
      <c r="K18" s="46">
        <f t="shared" si="7"/>
        <v>1026.5</v>
      </c>
      <c r="L18" s="46">
        <f t="shared" si="7"/>
        <v>1011.5</v>
      </c>
      <c r="M18" s="46">
        <f t="shared" si="7"/>
        <v>1233</v>
      </c>
      <c r="P18"/>
    </row>
    <row r="19" spans="1:21">
      <c r="A19" s="1"/>
      <c r="B19" s="221"/>
      <c r="C19" s="221"/>
      <c r="D19" s="221"/>
      <c r="E19" s="221"/>
      <c r="F19" s="221"/>
      <c r="G19" s="221"/>
      <c r="H19" s="221"/>
      <c r="I19" s="221"/>
      <c r="J19" s="221"/>
      <c r="K19" s="221"/>
      <c r="L19" s="221"/>
      <c r="M19" s="221"/>
      <c r="P19"/>
    </row>
    <row r="20" spans="1:21">
      <c r="A20" s="164" t="s">
        <v>327</v>
      </c>
      <c r="B20" s="164"/>
      <c r="C20" s="164">
        <v>28</v>
      </c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P20"/>
    </row>
    <row r="21" spans="1:21">
      <c r="A21" s="164" t="s">
        <v>328</v>
      </c>
      <c r="B21" s="164">
        <v>80</v>
      </c>
      <c r="C21" s="164">
        <v>246</v>
      </c>
      <c r="D21" s="164">
        <v>20</v>
      </c>
      <c r="E21" s="164">
        <v>68</v>
      </c>
      <c r="F21" s="164">
        <v>32</v>
      </c>
      <c r="G21" s="164">
        <v>54</v>
      </c>
      <c r="H21" s="164">
        <v>36</v>
      </c>
      <c r="I21" s="164">
        <v>84</v>
      </c>
      <c r="J21" s="164">
        <v>16</v>
      </c>
      <c r="K21" s="164">
        <v>62</v>
      </c>
      <c r="L21" s="164"/>
      <c r="M21" s="164"/>
      <c r="P21"/>
    </row>
    <row r="22" spans="1:21">
      <c r="A22" s="164" t="s">
        <v>42</v>
      </c>
      <c r="B22" s="164">
        <v>574</v>
      </c>
      <c r="C22" s="164"/>
      <c r="D22" s="164">
        <v>178</v>
      </c>
      <c r="E22" s="164">
        <v>478</v>
      </c>
      <c r="F22" s="164">
        <v>276</v>
      </c>
      <c r="G22" s="164">
        <v>430</v>
      </c>
      <c r="H22" s="164">
        <v>256.5</v>
      </c>
      <c r="I22" s="164">
        <v>816</v>
      </c>
      <c r="J22" s="164">
        <v>160</v>
      </c>
      <c r="K22" s="164">
        <v>503</v>
      </c>
      <c r="L22" s="164">
        <v>493.5</v>
      </c>
      <c r="M22" s="164">
        <v>231</v>
      </c>
      <c r="P22"/>
    </row>
    <row r="23" spans="1:21">
      <c r="A23" s="164" t="s">
        <v>329</v>
      </c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P23"/>
    </row>
    <row r="24" spans="1:21">
      <c r="A24" s="164" t="s">
        <v>330</v>
      </c>
      <c r="B24" s="164">
        <v>156</v>
      </c>
      <c r="C24" s="164">
        <v>132</v>
      </c>
      <c r="D24" s="164">
        <v>216</v>
      </c>
      <c r="E24" s="164">
        <v>148</v>
      </c>
      <c r="F24" s="164">
        <v>90</v>
      </c>
      <c r="G24" s="164">
        <v>138</v>
      </c>
      <c r="H24" s="164">
        <v>293</v>
      </c>
      <c r="I24" s="164">
        <v>259</v>
      </c>
      <c r="J24" s="164">
        <v>176</v>
      </c>
      <c r="K24" s="164">
        <v>116.5</v>
      </c>
      <c r="L24" s="164">
        <v>151.5</v>
      </c>
      <c r="M24" s="164">
        <v>71.5</v>
      </c>
      <c r="P24"/>
    </row>
    <row r="25" spans="1:21">
      <c r="A25" s="164" t="s">
        <v>331</v>
      </c>
      <c r="B25" s="164">
        <v>30</v>
      </c>
      <c r="C25" s="164">
        <v>87.5</v>
      </c>
      <c r="D25" s="164">
        <v>10</v>
      </c>
      <c r="E25" s="164">
        <v>26</v>
      </c>
      <c r="F25" s="164">
        <v>21</v>
      </c>
      <c r="G25" s="164">
        <v>19</v>
      </c>
      <c r="H25" s="164">
        <v>128.19999999999999</v>
      </c>
      <c r="I25" s="164">
        <v>5.3</v>
      </c>
      <c r="J25" s="164">
        <v>14.5</v>
      </c>
      <c r="K25" s="164">
        <v>21</v>
      </c>
      <c r="L25" s="164">
        <v>28</v>
      </c>
      <c r="M25" s="164">
        <v>18</v>
      </c>
      <c r="P25"/>
    </row>
    <row r="26" spans="1:21">
      <c r="A26" s="45" t="s">
        <v>332</v>
      </c>
      <c r="B26" s="46">
        <f t="shared" ref="B26:C26" si="8">SUM(B20:B25)</f>
        <v>840</v>
      </c>
      <c r="C26" s="46">
        <f t="shared" si="8"/>
        <v>493.5</v>
      </c>
      <c r="D26" s="46">
        <f>SUM(D20:D25)</f>
        <v>424</v>
      </c>
      <c r="E26" s="46">
        <f t="shared" ref="E26:M26" si="9">SUM(E20:E25)</f>
        <v>720</v>
      </c>
      <c r="F26" s="46">
        <f>SUM(F20:F25)</f>
        <v>419</v>
      </c>
      <c r="G26" s="46">
        <f t="shared" si="9"/>
        <v>641</v>
      </c>
      <c r="H26" s="46">
        <f t="shared" si="9"/>
        <v>713.7</v>
      </c>
      <c r="I26" s="46">
        <f t="shared" si="9"/>
        <v>1164.3</v>
      </c>
      <c r="J26" s="46">
        <f t="shared" si="9"/>
        <v>366.5</v>
      </c>
      <c r="K26" s="46">
        <f t="shared" si="9"/>
        <v>702.5</v>
      </c>
      <c r="L26" s="46">
        <f t="shared" si="9"/>
        <v>673</v>
      </c>
      <c r="M26" s="46">
        <f t="shared" si="9"/>
        <v>320.5</v>
      </c>
      <c r="P26"/>
    </row>
    <row r="27" spans="1:21">
      <c r="B27" s="9"/>
      <c r="C27" s="9"/>
      <c r="D27" s="9"/>
      <c r="E27" s="9"/>
      <c r="F27" s="9"/>
      <c r="G27" s="9"/>
      <c r="R27" s="1"/>
      <c r="U27" s="1"/>
    </row>
    <row r="28" spans="1:21">
      <c r="A28" s="218" t="s">
        <v>333</v>
      </c>
      <c r="B28" s="9">
        <f t="shared" ref="B28:M28" si="10">B26+B18+B7</f>
        <v>1931</v>
      </c>
      <c r="C28" s="9">
        <f t="shared" si="10"/>
        <v>1270.7</v>
      </c>
      <c r="D28" s="9">
        <f t="shared" si="10"/>
        <v>1431.7</v>
      </c>
      <c r="E28" s="9">
        <f t="shared" si="10"/>
        <v>1621.8999999999999</v>
      </c>
      <c r="F28" s="9">
        <f t="shared" si="10"/>
        <v>1266.0999999999999</v>
      </c>
      <c r="G28" s="9">
        <f t="shared" si="10"/>
        <v>1684.1</v>
      </c>
      <c r="H28" s="9">
        <f t="shared" si="10"/>
        <v>1676.8000000000002</v>
      </c>
      <c r="I28" s="9">
        <f t="shared" si="10"/>
        <v>2263.5</v>
      </c>
      <c r="J28" s="9">
        <f t="shared" si="10"/>
        <v>1611.2</v>
      </c>
      <c r="K28" s="9">
        <f t="shared" si="10"/>
        <v>2219.3000000000002</v>
      </c>
      <c r="L28" s="9">
        <f t="shared" si="10"/>
        <v>2218.6</v>
      </c>
      <c r="M28" s="9">
        <f t="shared" si="10"/>
        <v>1785.6</v>
      </c>
    </row>
    <row r="29" spans="1:21">
      <c r="B29" s="9"/>
      <c r="C29" s="9"/>
      <c r="D29" s="9"/>
      <c r="E29" s="9"/>
      <c r="F29" s="9"/>
      <c r="G29" s="9"/>
      <c r="J29" s="9"/>
    </row>
    <row r="30" spans="1:21">
      <c r="B30" s="9"/>
      <c r="C30" s="9"/>
      <c r="D30" s="9"/>
      <c r="E30" s="9"/>
      <c r="F30" s="9"/>
      <c r="G30" s="9"/>
    </row>
    <row r="31" spans="1:21">
      <c r="B31" s="9"/>
      <c r="C31" s="9"/>
      <c r="D31" s="9"/>
      <c r="E31" s="9"/>
      <c r="F31" s="9"/>
      <c r="G31" s="9"/>
    </row>
    <row r="32" spans="1:21">
      <c r="B32" s="9"/>
      <c r="C32" s="9"/>
      <c r="D32" s="9"/>
      <c r="E32" s="9"/>
      <c r="F32" s="9"/>
      <c r="G32" s="9"/>
    </row>
    <row r="33" spans="2:7">
      <c r="B33" s="9"/>
      <c r="C33" s="9"/>
      <c r="D33" s="9"/>
      <c r="E33" s="9"/>
      <c r="F33" s="9"/>
      <c r="G33" s="9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7"/>
  <sheetViews>
    <sheetView workbookViewId="0">
      <selection sqref="A1:A7"/>
    </sheetView>
  </sheetViews>
  <sheetFormatPr defaultRowHeight="16.5"/>
  <sheetData>
    <row r="1" spans="1:1">
      <c r="A1" s="240" t="s">
        <v>334</v>
      </c>
    </row>
    <row r="2" spans="1:1">
      <c r="A2" t="s">
        <v>335</v>
      </c>
    </row>
    <row r="3" spans="1:1">
      <c r="A3" t="s">
        <v>336</v>
      </c>
    </row>
    <row r="4" spans="1:1">
      <c r="A4" t="s">
        <v>337</v>
      </c>
    </row>
    <row r="5" spans="1:1">
      <c r="A5" t="s">
        <v>351</v>
      </c>
    </row>
    <row r="6" spans="1:1">
      <c r="A6" t="s">
        <v>338</v>
      </c>
    </row>
    <row r="7" spans="1:1">
      <c r="A7" t="s">
        <v>339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90A22DD6E648624B834AD46AA6A5B364" ma:contentTypeVersion="17" ma:contentTypeDescription="建立新的文件。" ma:contentTypeScope="" ma:versionID="aa72ee7910aee80f11071cc4a378d750">
  <xsd:schema xmlns:xsd="http://www.w3.org/2001/XMLSchema" xmlns:xs="http://www.w3.org/2001/XMLSchema" xmlns:p="http://schemas.microsoft.com/office/2006/metadata/properties" xmlns:ns2="c6ffba35-b14c-40f6-9857-ae96e4851f6e" xmlns:ns3="5bb1daa6-2aaa-478b-9e26-ccd9af7e4865" targetNamespace="http://schemas.microsoft.com/office/2006/metadata/properties" ma:root="true" ma:fieldsID="3adf94c0f972675880de9c58343de161" ns2:_="" ns3:_="">
    <xsd:import namespace="c6ffba35-b14c-40f6-9857-ae96e4851f6e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fba35-b14c-40f6-9857-ae96e4851f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fba35-b14c-40f6-9857-ae96e4851f6e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Props1.xml><?xml version="1.0" encoding="utf-8"?>
<ds:datastoreItem xmlns:ds="http://schemas.openxmlformats.org/officeDocument/2006/customXml" ds:itemID="{394784D2-C568-4C88-B518-9D9F24BA24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83F215-82A9-4200-9445-734862D922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ffba35-b14c-40f6-9857-ae96e4851f6e"/>
    <ds:schemaRef ds:uri="5bb1daa6-2aaa-478b-9e26-ccd9af7e48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25A995-4059-4E7B-9260-DCBE29A1FF5D}">
  <ds:schemaRefs>
    <ds:schemaRef ds:uri="http://schemas.openxmlformats.org/package/2006/metadata/core-properties"/>
    <ds:schemaRef ds:uri="5bb1daa6-2aaa-478b-9e26-ccd9af7e4865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c6ffba35-b14c-40f6-9857-ae96e4851f6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2</vt:i4>
      </vt:variant>
    </vt:vector>
  </HeadingPairs>
  <TitlesOfParts>
    <vt:vector size="9" baseType="lpstr">
      <vt:lpstr>2025年</vt:lpstr>
      <vt:lpstr>出貨點數(其他附件)</vt:lpstr>
      <vt:lpstr>進貨點數(同期比)</vt:lpstr>
      <vt:lpstr>庫位使用率</vt:lpstr>
      <vt:lpstr>包材回收(同期比)</vt:lpstr>
      <vt:lpstr>加班時數</vt:lpstr>
      <vt:lpstr>優開SQL(中小物)</vt:lpstr>
      <vt:lpstr>'2025年'!Print_Area</vt:lpstr>
      <vt:lpstr>'出貨點數(其他附件)'!Print_Area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鄭仲銘</dc:creator>
  <cp:keywords/>
  <dc:description/>
  <cp:lastModifiedBy>韋淑娟</cp:lastModifiedBy>
  <cp:revision/>
  <cp:lastPrinted>2026-01-06T05:04:27Z</cp:lastPrinted>
  <dcterms:created xsi:type="dcterms:W3CDTF">2014-08-14T00:40:47Z</dcterms:created>
  <dcterms:modified xsi:type="dcterms:W3CDTF">2026-01-06T05:04:30Z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2765000</vt:r8>
  </property>
  <property fmtid="{D5CDD505-2E9C-101B-9397-08002B2CF9AE}" pid="3" name="ContentTypeId">
    <vt:lpwstr>0x01010090A22DD6E648624B834AD46AA6A5B364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2025-04-28T01:27:33Z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17a37420-fe47-4905-9e17-d364b65dd1b5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10, 3, 0, 2</vt:lpwstr>
  </property>
</Properties>
</file>