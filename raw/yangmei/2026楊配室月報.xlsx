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otaimotor.sharepoint.com/sites/HTKM_P0002/PB060/06.共同事務/A.月報/115年/月報共兩頁/"/>
    </mc:Choice>
  </mc:AlternateContent>
  <xr:revisionPtr revIDLastSave="1496" documentId="8_{60B5A33E-600B-489A-8258-5D1EC97BF49D}" xr6:coauthVersionLast="47" xr6:coauthVersionMax="47" xr10:uidLastSave="{B27E3411-6156-4263-8A6B-E62A1AAF9A4B}"/>
  <bookViews>
    <workbookView xWindow="-28920" yWindow="-120" windowWidth="29040" windowHeight="15720" tabRatio="774" activeTab="6" xr2:uid="{00000000-000D-0000-FFFF-FFFF00000000}"/>
  </bookViews>
  <sheets>
    <sheet name="2026年" sheetId="14" r:id="rId1"/>
    <sheet name="出貨點數(其他附件)" sheetId="16" r:id="rId2"/>
    <sheet name="進貨點數(同期比)" sheetId="3" r:id="rId3"/>
    <sheet name="庫位使用率" sheetId="19" r:id="rId4"/>
    <sheet name="庫位使用率 (202608變更)" sheetId="20" r:id="rId5"/>
    <sheet name="包材回收(同期比)" sheetId="5" r:id="rId6"/>
    <sheet name="加班時數" sheetId="17" r:id="rId7"/>
    <sheet name="優開SQL(中小物)" sheetId="18" r:id="rId8"/>
  </sheets>
  <definedNames>
    <definedName name="_xlnm.Print_Area" localSheetId="0">'2026年'!$A$1:$T$58</definedName>
    <definedName name="_xlnm.Print_Area" localSheetId="1">'出貨點數(其他附件)'!$A$255:$O$293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0" l="1"/>
  <c r="O46" i="14"/>
  <c r="O42" i="14"/>
  <c r="O38" i="14"/>
  <c r="O13" i="14" l="1"/>
  <c r="O12" i="14"/>
  <c r="O10" i="14"/>
  <c r="AG19" i="20"/>
  <c r="X19" i="20"/>
  <c r="W19" i="20"/>
  <c r="V19" i="20"/>
  <c r="U19" i="20"/>
  <c r="T19" i="20"/>
  <c r="S19" i="20"/>
  <c r="R19" i="20"/>
  <c r="Q19" i="20"/>
  <c r="Z18" i="20"/>
  <c r="N18" i="20"/>
  <c r="J18" i="20"/>
  <c r="F18" i="20"/>
  <c r="C18" i="20"/>
  <c r="Z17" i="20"/>
  <c r="Z19" i="20" s="1"/>
  <c r="N17" i="20"/>
  <c r="N19" i="20" s="1"/>
  <c r="J17" i="20"/>
  <c r="F17" i="20"/>
  <c r="F19" i="20" s="1"/>
  <c r="C17" i="20"/>
  <c r="C19" i="20" s="1"/>
  <c r="AC16" i="20"/>
  <c r="Y16" i="20"/>
  <c r="AD16" i="20" s="1"/>
  <c r="M16" i="20"/>
  <c r="AC15" i="20"/>
  <c r="Y15" i="20"/>
  <c r="M15" i="20"/>
  <c r="AD15" i="20" s="1"/>
  <c r="AL14" i="20"/>
  <c r="AH14" i="20"/>
  <c r="AF19" i="20" s="1"/>
  <c r="AC14" i="20"/>
  <c r="AC19" i="20" s="1"/>
  <c r="Y14" i="20"/>
  <c r="Y19" i="20" s="1"/>
  <c r="M14" i="20"/>
  <c r="AD14" i="20" s="1"/>
  <c r="AD19" i="20" s="1"/>
  <c r="M19" i="20" l="1"/>
  <c r="AE19" i="20"/>
  <c r="AH19" i="20" s="1"/>
  <c r="J290" i="16" l="1"/>
  <c r="J288" i="16"/>
  <c r="J286" i="16"/>
  <c r="J284" i="16"/>
  <c r="J282" i="16"/>
  <c r="J280" i="16"/>
  <c r="J278" i="16"/>
  <c r="J276" i="16"/>
  <c r="J271" i="16"/>
  <c r="J269" i="16"/>
  <c r="J267" i="16"/>
  <c r="J265" i="16"/>
  <c r="J263" i="16"/>
  <c r="J261" i="16"/>
  <c r="J259" i="16"/>
  <c r="J257" i="16"/>
  <c r="J291" i="16"/>
  <c r="J292" i="16" s="1"/>
  <c r="O4" i="14" l="1"/>
  <c r="O6" i="14"/>
  <c r="I28" i="17" l="1"/>
  <c r="N46" i="14" l="1"/>
  <c r="N42" i="14" l="1"/>
  <c r="M38" i="14"/>
  <c r="N38" i="14"/>
  <c r="N9" i="14"/>
  <c r="N10" i="14"/>
  <c r="N12" i="14"/>
  <c r="N13" i="14"/>
  <c r="N6" i="14"/>
  <c r="N7" i="14"/>
  <c r="N5" i="14"/>
  <c r="N4" i="14"/>
  <c r="H28" i="17"/>
  <c r="N58" i="14" l="1"/>
  <c r="N51" i="14"/>
  <c r="N50" i="14"/>
  <c r="N49" i="14"/>
  <c r="N48" i="14"/>
  <c r="M48" i="14"/>
  <c r="N57" i="14"/>
  <c r="N56" i="14"/>
  <c r="N55" i="14"/>
  <c r="N54" i="14"/>
  <c r="N53" i="14"/>
  <c r="N52" i="14"/>
  <c r="F23" i="14"/>
  <c r="H58" i="14"/>
  <c r="I58" i="14"/>
  <c r="J58" i="14"/>
  <c r="K58" i="14"/>
  <c r="L58" i="14"/>
  <c r="M58" i="14"/>
  <c r="F58" i="14" s="1"/>
  <c r="G58" i="14"/>
  <c r="G57" i="14"/>
  <c r="H49" i="14" l="1"/>
  <c r="I49" i="14"/>
  <c r="J49" i="14"/>
  <c r="K49" i="14"/>
  <c r="L49" i="14"/>
  <c r="M49" i="14"/>
  <c r="H50" i="14"/>
  <c r="I50" i="14"/>
  <c r="J50" i="14"/>
  <c r="K50" i="14"/>
  <c r="L50" i="14"/>
  <c r="M50" i="14"/>
  <c r="H51" i="14"/>
  <c r="I51" i="14"/>
  <c r="J51" i="14"/>
  <c r="K51" i="14"/>
  <c r="L51" i="14"/>
  <c r="M51" i="14"/>
  <c r="H52" i="14"/>
  <c r="I52" i="14"/>
  <c r="J52" i="14"/>
  <c r="K52" i="14"/>
  <c r="L52" i="14"/>
  <c r="M52" i="14"/>
  <c r="H53" i="14"/>
  <c r="I53" i="14"/>
  <c r="J53" i="14"/>
  <c r="K53" i="14"/>
  <c r="L53" i="14"/>
  <c r="M53" i="14"/>
  <c r="H54" i="14"/>
  <c r="I54" i="14"/>
  <c r="J54" i="14"/>
  <c r="K54" i="14"/>
  <c r="L54" i="14"/>
  <c r="M54" i="14"/>
  <c r="H55" i="14"/>
  <c r="I55" i="14"/>
  <c r="J55" i="14"/>
  <c r="K55" i="14"/>
  <c r="L55" i="14"/>
  <c r="M55" i="14"/>
  <c r="H56" i="14"/>
  <c r="I56" i="14"/>
  <c r="J56" i="14"/>
  <c r="K56" i="14"/>
  <c r="L56" i="14"/>
  <c r="M56" i="14"/>
  <c r="H57" i="14"/>
  <c r="I57" i="14"/>
  <c r="J57" i="14"/>
  <c r="K57" i="14"/>
  <c r="L57" i="14"/>
  <c r="M57" i="14"/>
  <c r="G56" i="14"/>
  <c r="G55" i="14"/>
  <c r="G54" i="14"/>
  <c r="G53" i="14"/>
  <c r="G52" i="14"/>
  <c r="G51" i="14"/>
  <c r="G50" i="14"/>
  <c r="G49" i="14"/>
  <c r="G48" i="14"/>
  <c r="H48" i="14"/>
  <c r="I48" i="14"/>
  <c r="J48" i="14"/>
  <c r="K48" i="14"/>
  <c r="L48" i="14"/>
  <c r="F48" i="14"/>
  <c r="X13" i="20" l="1"/>
  <c r="W13" i="20"/>
  <c r="V13" i="20"/>
  <c r="U13" i="20"/>
  <c r="T13" i="20"/>
  <c r="S13" i="20"/>
  <c r="R13" i="20"/>
  <c r="Q13" i="20"/>
  <c r="Z12" i="20"/>
  <c r="N12" i="20"/>
  <c r="J12" i="20"/>
  <c r="F12" i="20"/>
  <c r="C12" i="20"/>
  <c r="Z11" i="20"/>
  <c r="Z13" i="20" s="1"/>
  <c r="N11" i="20"/>
  <c r="N13" i="20" s="1"/>
  <c r="J11" i="20"/>
  <c r="J13" i="20" s="1"/>
  <c r="F11" i="20"/>
  <c r="F13" i="20" s="1"/>
  <c r="C11" i="20"/>
  <c r="C13" i="20" s="1"/>
  <c r="AD10" i="20"/>
  <c r="AC10" i="20"/>
  <c r="Y10" i="20"/>
  <c r="M10" i="20"/>
  <c r="AC9" i="20"/>
  <c r="Y9" i="20"/>
  <c r="M9" i="20"/>
  <c r="AD9" i="20" s="1"/>
  <c r="AL8" i="20"/>
  <c r="AH8" i="20"/>
  <c r="AG13" i="20" s="1"/>
  <c r="AC8" i="20"/>
  <c r="AC13" i="20" s="1"/>
  <c r="Y8" i="20"/>
  <c r="Y13" i="20" s="1"/>
  <c r="M8" i="20"/>
  <c r="AD8" i="20" s="1"/>
  <c r="AD13" i="20" s="1"/>
  <c r="Z538" i="19"/>
  <c r="Y538" i="19"/>
  <c r="X538" i="19"/>
  <c r="W538" i="19"/>
  <c r="V538" i="19"/>
  <c r="U538" i="19"/>
  <c r="T538" i="19"/>
  <c r="O538" i="19"/>
  <c r="Q537" i="19"/>
  <c r="Q538" i="19" s="1"/>
  <c r="L537" i="19"/>
  <c r="G537" i="19"/>
  <c r="C537" i="19"/>
  <c r="Q536" i="19"/>
  <c r="L536" i="19"/>
  <c r="L538" i="19" s="1"/>
  <c r="G536" i="19"/>
  <c r="C536" i="19"/>
  <c r="AB535" i="19"/>
  <c r="P535" i="19"/>
  <c r="AC535" i="19" s="1"/>
  <c r="AB534" i="19"/>
  <c r="AB538" i="19" s="1"/>
  <c r="P534" i="19"/>
  <c r="AK533" i="19"/>
  <c r="AG533" i="19"/>
  <c r="AG538" i="19" s="1"/>
  <c r="AC533" i="19"/>
  <c r="AB533" i="19"/>
  <c r="P533" i="19"/>
  <c r="P538" i="19" s="1"/>
  <c r="AB532" i="19"/>
  <c r="Z532" i="19"/>
  <c r="Y532" i="19"/>
  <c r="X532" i="19"/>
  <c r="W532" i="19"/>
  <c r="V532" i="19"/>
  <c r="U532" i="19"/>
  <c r="T532" i="19"/>
  <c r="O532" i="19"/>
  <c r="G532" i="19"/>
  <c r="Q531" i="19"/>
  <c r="L531" i="19"/>
  <c r="G531" i="19"/>
  <c r="C531" i="19"/>
  <c r="C532" i="19" s="1"/>
  <c r="Q530" i="19"/>
  <c r="Q532" i="19" s="1"/>
  <c r="L530" i="19"/>
  <c r="L532" i="19" s="1"/>
  <c r="G530" i="19"/>
  <c r="C530" i="19"/>
  <c r="AB529" i="19"/>
  <c r="P529" i="19"/>
  <c r="AC529" i="19" s="1"/>
  <c r="AB528" i="19"/>
  <c r="P528" i="19"/>
  <c r="AC528" i="19" s="1"/>
  <c r="AK527" i="19"/>
  <c r="AG527" i="19"/>
  <c r="AC527" i="19"/>
  <c r="AB527" i="19"/>
  <c r="P527" i="19"/>
  <c r="AE526" i="19"/>
  <c r="AD526" i="19"/>
  <c r="Z526" i="19"/>
  <c r="Y526" i="19"/>
  <c r="X526" i="19"/>
  <c r="W526" i="19"/>
  <c r="V526" i="19"/>
  <c r="U526" i="19"/>
  <c r="T526" i="19"/>
  <c r="P526" i="19"/>
  <c r="O526" i="19"/>
  <c r="L526" i="19"/>
  <c r="Q525" i="19"/>
  <c r="L525" i="19"/>
  <c r="G525" i="19"/>
  <c r="C525" i="19"/>
  <c r="Q524" i="19"/>
  <c r="Q526" i="19" s="1"/>
  <c r="L524" i="19"/>
  <c r="G524" i="19"/>
  <c r="G526" i="19" s="1"/>
  <c r="C524" i="19"/>
  <c r="C526" i="19" s="1"/>
  <c r="AB523" i="19"/>
  <c r="P523" i="19"/>
  <c r="AC523" i="19" s="1"/>
  <c r="AC522" i="19"/>
  <c r="AB522" i="19"/>
  <c r="AB526" i="19" s="1"/>
  <c r="P522" i="19"/>
  <c r="AK521" i="19"/>
  <c r="AG521" i="19"/>
  <c r="AC521" i="19"/>
  <c r="AB521" i="19"/>
  <c r="P521" i="19"/>
  <c r="AB520" i="19"/>
  <c r="Z520" i="19"/>
  <c r="Y520" i="19"/>
  <c r="X520" i="19"/>
  <c r="W520" i="19"/>
  <c r="V520" i="19"/>
  <c r="U520" i="19"/>
  <c r="T520" i="19"/>
  <c r="P520" i="19"/>
  <c r="O520" i="19"/>
  <c r="Q519" i="19"/>
  <c r="L519" i="19"/>
  <c r="G519" i="19"/>
  <c r="C519" i="19"/>
  <c r="Q518" i="19"/>
  <c r="L518" i="19"/>
  <c r="G518" i="19"/>
  <c r="G520" i="19" s="1"/>
  <c r="C518" i="19"/>
  <c r="AB517" i="19"/>
  <c r="AC517" i="19" s="1"/>
  <c r="AC520" i="19" s="1"/>
  <c r="AC516" i="19"/>
  <c r="AB516" i="19"/>
  <c r="AK515" i="19"/>
  <c r="AG515" i="19"/>
  <c r="AC515" i="19"/>
  <c r="AB515" i="19"/>
  <c r="AG514" i="19"/>
  <c r="AF514" i="19"/>
  <c r="AE514" i="19"/>
  <c r="AB514" i="19"/>
  <c r="Z514" i="19"/>
  <c r="Y514" i="19"/>
  <c r="X514" i="19"/>
  <c r="W514" i="19"/>
  <c r="V514" i="19"/>
  <c r="U514" i="19"/>
  <c r="T514" i="19"/>
  <c r="P514" i="19"/>
  <c r="O514" i="19"/>
  <c r="G514" i="19"/>
  <c r="C514" i="19"/>
  <c r="Q513" i="19"/>
  <c r="L513" i="19"/>
  <c r="L514" i="19" s="1"/>
  <c r="G513" i="19"/>
  <c r="C513" i="19"/>
  <c r="Q512" i="19"/>
  <c r="L512" i="19"/>
  <c r="G512" i="19"/>
  <c r="C512" i="19"/>
  <c r="AB511" i="19"/>
  <c r="AC511" i="19" s="1"/>
  <c r="AB510" i="19"/>
  <c r="AC510" i="19" s="1"/>
  <c r="AK509" i="19"/>
  <c r="AG509" i="19"/>
  <c r="AB509" i="19"/>
  <c r="AC509" i="19" s="1"/>
  <c r="AC514" i="19" s="1"/>
  <c r="AF508" i="19"/>
  <c r="AE508" i="19"/>
  <c r="AD508" i="19"/>
  <c r="AC508" i="19"/>
  <c r="AB508" i="19"/>
  <c r="Z508" i="19"/>
  <c r="Y508" i="19"/>
  <c r="X508" i="19"/>
  <c r="W508" i="19"/>
  <c r="V508" i="19"/>
  <c r="U508" i="19"/>
  <c r="T508" i="19"/>
  <c r="P508" i="19"/>
  <c r="O508" i="19"/>
  <c r="C508" i="19"/>
  <c r="Q507" i="19"/>
  <c r="L507" i="19"/>
  <c r="L508" i="19" s="1"/>
  <c r="G507" i="19"/>
  <c r="G508" i="19" s="1"/>
  <c r="C507" i="19"/>
  <c r="Q506" i="19"/>
  <c r="Q508" i="19" s="1"/>
  <c r="L506" i="19"/>
  <c r="G506" i="19"/>
  <c r="C506" i="19"/>
  <c r="AC505" i="19"/>
  <c r="AB505" i="19"/>
  <c r="AB504" i="19"/>
  <c r="AC504" i="19" s="1"/>
  <c r="AK503" i="19"/>
  <c r="AG503" i="19"/>
  <c r="AG508" i="19" s="1"/>
  <c r="AC503" i="19"/>
  <c r="AB503" i="19"/>
  <c r="AG502" i="19"/>
  <c r="AF502" i="19"/>
  <c r="AE502" i="19"/>
  <c r="AD502" i="19"/>
  <c r="Z502" i="19"/>
  <c r="Y502" i="19"/>
  <c r="X502" i="19"/>
  <c r="W502" i="19"/>
  <c r="V502" i="19"/>
  <c r="U502" i="19"/>
  <c r="T502" i="19"/>
  <c r="O502" i="19"/>
  <c r="G502" i="19"/>
  <c r="C502" i="19"/>
  <c r="Q501" i="19"/>
  <c r="Q502" i="19" s="1"/>
  <c r="L501" i="19"/>
  <c r="L502" i="19" s="1"/>
  <c r="G501" i="19"/>
  <c r="C501" i="19"/>
  <c r="Q500" i="19"/>
  <c r="L500" i="19"/>
  <c r="G500" i="19"/>
  <c r="C500" i="19"/>
  <c r="AB499" i="19"/>
  <c r="P499" i="19"/>
  <c r="AC499" i="19" s="1"/>
  <c r="AB498" i="19"/>
  <c r="P498" i="19"/>
  <c r="P502" i="19" s="1"/>
  <c r="AK497" i="19"/>
  <c r="AG497" i="19"/>
  <c r="AB497" i="19"/>
  <c r="AB502" i="19" s="1"/>
  <c r="P497" i="19"/>
  <c r="AB496" i="19"/>
  <c r="Z496" i="19"/>
  <c r="Y496" i="19"/>
  <c r="X496" i="19"/>
  <c r="W496" i="19"/>
  <c r="V496" i="19"/>
  <c r="U496" i="19"/>
  <c r="T496" i="19"/>
  <c r="O496" i="19"/>
  <c r="Q495" i="19"/>
  <c r="L495" i="19"/>
  <c r="G495" i="19"/>
  <c r="C495" i="19"/>
  <c r="C496" i="19" s="1"/>
  <c r="Q494" i="19"/>
  <c r="Q496" i="19" s="1"/>
  <c r="L494" i="19"/>
  <c r="G494" i="19"/>
  <c r="C494" i="19"/>
  <c r="AB493" i="19"/>
  <c r="P493" i="19"/>
  <c r="AC493" i="19" s="1"/>
  <c r="AC492" i="19"/>
  <c r="AB492" i="19"/>
  <c r="P492" i="19"/>
  <c r="AK491" i="19"/>
  <c r="AG491" i="19"/>
  <c r="AB491" i="19"/>
  <c r="P491" i="19"/>
  <c r="AE490" i="19"/>
  <c r="Z490" i="19"/>
  <c r="Y490" i="19"/>
  <c r="X490" i="19"/>
  <c r="W490" i="19"/>
  <c r="V490" i="19"/>
  <c r="U490" i="19"/>
  <c r="T490" i="19"/>
  <c r="O490" i="19"/>
  <c r="L490" i="19"/>
  <c r="G490" i="19"/>
  <c r="C490" i="19"/>
  <c r="Q489" i="19"/>
  <c r="L489" i="19"/>
  <c r="G489" i="19"/>
  <c r="C489" i="19"/>
  <c r="Q488" i="19"/>
  <c r="L488" i="19"/>
  <c r="G488" i="19"/>
  <c r="C488" i="19"/>
  <c r="AB487" i="19"/>
  <c r="AC487" i="19" s="1"/>
  <c r="AB486" i="19"/>
  <c r="AC486" i="19" s="1"/>
  <c r="AK485" i="19"/>
  <c r="AG485" i="19"/>
  <c r="AB485" i="19"/>
  <c r="AB490" i="19" s="1"/>
  <c r="P485" i="19"/>
  <c r="AG484" i="19"/>
  <c r="AF484" i="19"/>
  <c r="Z484" i="19"/>
  <c r="Y484" i="19"/>
  <c r="X484" i="19"/>
  <c r="W484" i="19"/>
  <c r="V484" i="19"/>
  <c r="U484" i="19"/>
  <c r="T484" i="19"/>
  <c r="Q484" i="19"/>
  <c r="O484" i="19"/>
  <c r="G484" i="19"/>
  <c r="C484" i="19"/>
  <c r="Q483" i="19"/>
  <c r="L483" i="19"/>
  <c r="G483" i="19"/>
  <c r="C483" i="19"/>
  <c r="Q482" i="19"/>
  <c r="L482" i="19"/>
  <c r="L484" i="19" s="1"/>
  <c r="G482" i="19"/>
  <c r="C482" i="19"/>
  <c r="AB481" i="19"/>
  <c r="P481" i="19"/>
  <c r="AC481" i="19" s="1"/>
  <c r="AB480" i="19"/>
  <c r="P480" i="19"/>
  <c r="P484" i="19" s="1"/>
  <c r="AK479" i="19"/>
  <c r="AG479" i="19"/>
  <c r="AC479" i="19"/>
  <c r="AB479" i="19"/>
  <c r="P479" i="19"/>
  <c r="AC478" i="19"/>
  <c r="AB478" i="19"/>
  <c r="Z478" i="19"/>
  <c r="Y478" i="19"/>
  <c r="X478" i="19"/>
  <c r="W478" i="19"/>
  <c r="V478" i="19"/>
  <c r="U478" i="19"/>
  <c r="T478" i="19"/>
  <c r="P478" i="19"/>
  <c r="O478" i="19"/>
  <c r="Q477" i="19"/>
  <c r="L477" i="19"/>
  <c r="G477" i="19"/>
  <c r="C477" i="19"/>
  <c r="Q476" i="19"/>
  <c r="Q478" i="19" s="1"/>
  <c r="L476" i="19"/>
  <c r="L478" i="19" s="1"/>
  <c r="G476" i="19"/>
  <c r="G478" i="19" s="1"/>
  <c r="C476" i="19"/>
  <c r="AB475" i="19"/>
  <c r="P475" i="19"/>
  <c r="AC475" i="19" s="1"/>
  <c r="AC474" i="19"/>
  <c r="AB474" i="19"/>
  <c r="P474" i="19"/>
  <c r="AK473" i="19"/>
  <c r="AG473" i="19"/>
  <c r="AB473" i="19"/>
  <c r="P473" i="19"/>
  <c r="AC473" i="19" s="1"/>
  <c r="AF472" i="19"/>
  <c r="AE472" i="19"/>
  <c r="AD472" i="19"/>
  <c r="AB472" i="19"/>
  <c r="Z472" i="19"/>
  <c r="Y472" i="19"/>
  <c r="X472" i="19"/>
  <c r="W472" i="19"/>
  <c r="V472" i="19"/>
  <c r="U472" i="19"/>
  <c r="T472" i="19"/>
  <c r="O472" i="19"/>
  <c r="Q471" i="19"/>
  <c r="L471" i="19"/>
  <c r="G471" i="19"/>
  <c r="G472" i="19" s="1"/>
  <c r="C471" i="19"/>
  <c r="C472" i="19" s="1"/>
  <c r="Q470" i="19"/>
  <c r="Q472" i="19" s="1"/>
  <c r="L470" i="19"/>
  <c r="G470" i="19"/>
  <c r="C470" i="19"/>
  <c r="AB469" i="19"/>
  <c r="AC469" i="19" s="1"/>
  <c r="P469" i="19"/>
  <c r="AC468" i="19"/>
  <c r="AB468" i="19"/>
  <c r="P468" i="19"/>
  <c r="AK467" i="19"/>
  <c r="AG467" i="19"/>
  <c r="AB467" i="19"/>
  <c r="P467" i="19"/>
  <c r="AG466" i="19"/>
  <c r="AF466" i="19"/>
  <c r="AE466" i="19"/>
  <c r="Z466" i="19"/>
  <c r="Y466" i="19"/>
  <c r="X466" i="19"/>
  <c r="W466" i="19"/>
  <c r="V466" i="19"/>
  <c r="U466" i="19"/>
  <c r="T466" i="19"/>
  <c r="Q466" i="19"/>
  <c r="O466" i="19"/>
  <c r="Q465" i="19"/>
  <c r="L465" i="19"/>
  <c r="G465" i="19"/>
  <c r="C465" i="19"/>
  <c r="C466" i="19" s="1"/>
  <c r="Q464" i="19"/>
  <c r="L464" i="19"/>
  <c r="L466" i="19" s="1"/>
  <c r="G464" i="19"/>
  <c r="G466" i="19" s="1"/>
  <c r="C464" i="19"/>
  <c r="AC463" i="19"/>
  <c r="AB463" i="19"/>
  <c r="P463" i="19"/>
  <c r="AB462" i="19"/>
  <c r="AB466" i="19" s="1"/>
  <c r="P462" i="19"/>
  <c r="AK461" i="19"/>
  <c r="AG461" i="19"/>
  <c r="AB461" i="19"/>
  <c r="P461" i="19"/>
  <c r="AC461" i="19" s="1"/>
  <c r="AD460" i="19"/>
  <c r="Z460" i="19"/>
  <c r="Y460" i="19"/>
  <c r="X460" i="19"/>
  <c r="W460" i="19"/>
  <c r="V460" i="19"/>
  <c r="U460" i="19"/>
  <c r="T460" i="19"/>
  <c r="O460" i="19"/>
  <c r="Q459" i="19"/>
  <c r="L459" i="19"/>
  <c r="G459" i="19"/>
  <c r="C459" i="19"/>
  <c r="C460" i="19" s="1"/>
  <c r="Q458" i="19"/>
  <c r="L458" i="19"/>
  <c r="G458" i="19"/>
  <c r="G460" i="19" s="1"/>
  <c r="C458" i="19"/>
  <c r="AC457" i="19"/>
  <c r="AB457" i="19"/>
  <c r="P457" i="19"/>
  <c r="AB456" i="19"/>
  <c r="P456" i="19"/>
  <c r="AC456" i="19" s="1"/>
  <c r="AK455" i="19"/>
  <c r="AG455" i="19"/>
  <c r="AB455" i="19"/>
  <c r="AB460" i="19" s="1"/>
  <c r="P455" i="19"/>
  <c r="AG454" i="19"/>
  <c r="Z454" i="19"/>
  <c r="Y454" i="19"/>
  <c r="X454" i="19"/>
  <c r="W454" i="19"/>
  <c r="V454" i="19"/>
  <c r="U454" i="19"/>
  <c r="T454" i="19"/>
  <c r="O454" i="19"/>
  <c r="L454" i="19"/>
  <c r="G454" i="19"/>
  <c r="C454" i="19"/>
  <c r="Q453" i="19"/>
  <c r="Q454" i="19" s="1"/>
  <c r="L453" i="19"/>
  <c r="G453" i="19"/>
  <c r="C453" i="19"/>
  <c r="Q452" i="19"/>
  <c r="L452" i="19"/>
  <c r="G452" i="19"/>
  <c r="C452" i="19"/>
  <c r="AB451" i="19"/>
  <c r="P451" i="19"/>
  <c r="AC451" i="19" s="1"/>
  <c r="AB450" i="19"/>
  <c r="P450" i="19"/>
  <c r="AC450" i="19" s="1"/>
  <c r="AK449" i="19"/>
  <c r="AG449" i="19"/>
  <c r="AB449" i="19"/>
  <c r="AB454" i="19" s="1"/>
  <c r="P449" i="19"/>
  <c r="AC449" i="19" s="1"/>
  <c r="AC454" i="19" s="1"/>
  <c r="Z448" i="19"/>
  <c r="Y448" i="19"/>
  <c r="X448" i="19"/>
  <c r="W448" i="19"/>
  <c r="V448" i="19"/>
  <c r="U448" i="19"/>
  <c r="T448" i="19"/>
  <c r="Q448" i="19"/>
  <c r="P448" i="19"/>
  <c r="O448" i="19"/>
  <c r="L448" i="19"/>
  <c r="Q447" i="19"/>
  <c r="L447" i="19"/>
  <c r="G447" i="19"/>
  <c r="C447" i="19"/>
  <c r="Q446" i="19"/>
  <c r="L446" i="19"/>
  <c r="G446" i="19"/>
  <c r="G448" i="19" s="1"/>
  <c r="C446" i="19"/>
  <c r="AB445" i="19"/>
  <c r="P445" i="19"/>
  <c r="AC445" i="19" s="1"/>
  <c r="AB444" i="19"/>
  <c r="P444" i="19"/>
  <c r="AC444" i="19" s="1"/>
  <c r="AK443" i="19"/>
  <c r="AG443" i="19"/>
  <c r="AB443" i="19"/>
  <c r="P443" i="19"/>
  <c r="AG442" i="19"/>
  <c r="AF442" i="19"/>
  <c r="AB442" i="19"/>
  <c r="Z442" i="19"/>
  <c r="Y442" i="19"/>
  <c r="X442" i="19"/>
  <c r="W442" i="19"/>
  <c r="V442" i="19"/>
  <c r="U442" i="19"/>
  <c r="T442" i="19"/>
  <c r="O442" i="19"/>
  <c r="L442" i="19"/>
  <c r="G442" i="19"/>
  <c r="C442" i="19"/>
  <c r="Q441" i="19"/>
  <c r="L441" i="19"/>
  <c r="G441" i="19"/>
  <c r="C441" i="19"/>
  <c r="Q440" i="19"/>
  <c r="Q442" i="19" s="1"/>
  <c r="L440" i="19"/>
  <c r="G440" i="19"/>
  <c r="C440" i="19"/>
  <c r="AB439" i="19"/>
  <c r="P439" i="19"/>
  <c r="AC439" i="19" s="1"/>
  <c r="AB438" i="19"/>
  <c r="P438" i="19"/>
  <c r="AK437" i="19"/>
  <c r="AG437" i="19"/>
  <c r="AC437" i="19"/>
  <c r="AB437" i="19"/>
  <c r="P437" i="19"/>
  <c r="AE436" i="19"/>
  <c r="Z436" i="19"/>
  <c r="Y436" i="19"/>
  <c r="X436" i="19"/>
  <c r="W436" i="19"/>
  <c r="V436" i="19"/>
  <c r="U436" i="19"/>
  <c r="T436" i="19"/>
  <c r="Q436" i="19"/>
  <c r="P436" i="19"/>
  <c r="O436" i="19"/>
  <c r="G436" i="19"/>
  <c r="Q435" i="19"/>
  <c r="L435" i="19"/>
  <c r="G435" i="19"/>
  <c r="C435" i="19"/>
  <c r="Q434" i="19"/>
  <c r="L434" i="19"/>
  <c r="G434" i="19"/>
  <c r="C434" i="19"/>
  <c r="C436" i="19" s="1"/>
  <c r="AB433" i="19"/>
  <c r="P433" i="19"/>
  <c r="AC433" i="19" s="1"/>
  <c r="AC432" i="19"/>
  <c r="AB432" i="19"/>
  <c r="P432" i="19"/>
  <c r="AK431" i="19"/>
  <c r="AG431" i="19"/>
  <c r="AB431" i="19"/>
  <c r="P431" i="19"/>
  <c r="Z430" i="19"/>
  <c r="Y430" i="19"/>
  <c r="X430" i="19"/>
  <c r="W430" i="19"/>
  <c r="V430" i="19"/>
  <c r="U430" i="19"/>
  <c r="T430" i="19"/>
  <c r="O430" i="19"/>
  <c r="C430" i="19"/>
  <c r="Q429" i="19"/>
  <c r="L429" i="19"/>
  <c r="G429" i="19"/>
  <c r="C429" i="19"/>
  <c r="Q428" i="19"/>
  <c r="Q430" i="19" s="1"/>
  <c r="L428" i="19"/>
  <c r="G428" i="19"/>
  <c r="C428" i="19"/>
  <c r="AB427" i="19"/>
  <c r="P427" i="19"/>
  <c r="AC427" i="19" s="1"/>
  <c r="AC426" i="19"/>
  <c r="AB426" i="19"/>
  <c r="P426" i="19"/>
  <c r="AK425" i="19"/>
  <c r="AG425" i="19"/>
  <c r="AG430" i="19" s="1"/>
  <c r="AB425" i="19"/>
  <c r="AB430" i="19" s="1"/>
  <c r="P425" i="19"/>
  <c r="Z424" i="19"/>
  <c r="Y424" i="19"/>
  <c r="X424" i="19"/>
  <c r="W424" i="19"/>
  <c r="V424" i="19"/>
  <c r="U424" i="19"/>
  <c r="T424" i="19"/>
  <c r="O424" i="19"/>
  <c r="L424" i="19"/>
  <c r="G424" i="19"/>
  <c r="C424" i="19"/>
  <c r="Q423" i="19"/>
  <c r="L423" i="19"/>
  <c r="G423" i="19"/>
  <c r="C423" i="19"/>
  <c r="Q422" i="19"/>
  <c r="Q424" i="19" s="1"/>
  <c r="L422" i="19"/>
  <c r="G422" i="19"/>
  <c r="C422" i="19"/>
  <c r="AB421" i="19"/>
  <c r="AC421" i="19" s="1"/>
  <c r="P421" i="19"/>
  <c r="AB420" i="19"/>
  <c r="P420" i="19"/>
  <c r="AC420" i="19" s="1"/>
  <c r="AK419" i="19"/>
  <c r="AG419" i="19"/>
  <c r="AC419" i="19"/>
  <c r="AC424" i="19" s="1"/>
  <c r="AB419" i="19"/>
  <c r="AB424" i="19" s="1"/>
  <c r="P419" i="19"/>
  <c r="Z418" i="19"/>
  <c r="Y418" i="19"/>
  <c r="X418" i="19"/>
  <c r="W418" i="19"/>
  <c r="V418" i="19"/>
  <c r="U418" i="19"/>
  <c r="T418" i="19"/>
  <c r="Q418" i="19"/>
  <c r="P418" i="19"/>
  <c r="O418" i="19"/>
  <c r="L418" i="19"/>
  <c r="G418" i="19"/>
  <c r="Q417" i="19"/>
  <c r="L417" i="19"/>
  <c r="G417" i="19"/>
  <c r="C417" i="19"/>
  <c r="C418" i="19" s="1"/>
  <c r="Q416" i="19"/>
  <c r="L416" i="19"/>
  <c r="G416" i="19"/>
  <c r="C416" i="19"/>
  <c r="AB415" i="19"/>
  <c r="P415" i="19"/>
  <c r="AC415" i="19" s="1"/>
  <c r="AB414" i="19"/>
  <c r="AB418" i="19" s="1"/>
  <c r="P414" i="19"/>
  <c r="AK413" i="19"/>
  <c r="AG413" i="19"/>
  <c r="AG418" i="19" s="1"/>
  <c r="AB413" i="19"/>
  <c r="P413" i="19"/>
  <c r="AC413" i="19" s="1"/>
  <c r="Z412" i="19"/>
  <c r="Y412" i="19"/>
  <c r="X412" i="19"/>
  <c r="W412" i="19"/>
  <c r="V412" i="19"/>
  <c r="U412" i="19"/>
  <c r="T412" i="19"/>
  <c r="O412" i="19"/>
  <c r="L412" i="19"/>
  <c r="C412" i="19"/>
  <c r="Q411" i="19"/>
  <c r="L411" i="19"/>
  <c r="G411" i="19"/>
  <c r="C411" i="19"/>
  <c r="Q410" i="19"/>
  <c r="L410" i="19"/>
  <c r="G410" i="19"/>
  <c r="C410" i="19"/>
  <c r="AC409" i="19"/>
  <c r="AB409" i="19"/>
  <c r="P409" i="19"/>
  <c r="AB408" i="19"/>
  <c r="P408" i="19"/>
  <c r="AC408" i="19" s="1"/>
  <c r="AK407" i="19"/>
  <c r="AG407" i="19"/>
  <c r="AG412" i="19" s="1"/>
  <c r="AB407" i="19"/>
  <c r="AB412" i="19" s="1"/>
  <c r="P407" i="19"/>
  <c r="Z406" i="19"/>
  <c r="Y406" i="19"/>
  <c r="X406" i="19"/>
  <c r="W406" i="19"/>
  <c r="V406" i="19"/>
  <c r="U406" i="19"/>
  <c r="T406" i="19"/>
  <c r="Q406" i="19"/>
  <c r="O406" i="19"/>
  <c r="L406" i="19"/>
  <c r="G406" i="19"/>
  <c r="Q405" i="19"/>
  <c r="L405" i="19"/>
  <c r="G405" i="19"/>
  <c r="C405" i="19"/>
  <c r="Q404" i="19"/>
  <c r="L404" i="19"/>
  <c r="G404" i="19"/>
  <c r="C404" i="19"/>
  <c r="C406" i="19" s="1"/>
  <c r="AB403" i="19"/>
  <c r="P403" i="19"/>
  <c r="AB402" i="19"/>
  <c r="AB406" i="19" s="1"/>
  <c r="P402" i="19"/>
  <c r="P406" i="19" s="1"/>
  <c r="AK401" i="19"/>
  <c r="AG401" i="19"/>
  <c r="AB401" i="19"/>
  <c r="P401" i="19"/>
  <c r="AC401" i="19" s="1"/>
  <c r="Z400" i="19"/>
  <c r="Y400" i="19"/>
  <c r="X400" i="19"/>
  <c r="W400" i="19"/>
  <c r="V400" i="19"/>
  <c r="U400" i="19"/>
  <c r="T400" i="19"/>
  <c r="Q400" i="19"/>
  <c r="O400" i="19"/>
  <c r="L400" i="19"/>
  <c r="Q399" i="19"/>
  <c r="L399" i="19"/>
  <c r="G399" i="19"/>
  <c r="C399" i="19"/>
  <c r="Q398" i="19"/>
  <c r="L398" i="19"/>
  <c r="G398" i="19"/>
  <c r="G400" i="19" s="1"/>
  <c r="C398" i="19"/>
  <c r="C400" i="19" s="1"/>
  <c r="AB397" i="19"/>
  <c r="P397" i="19"/>
  <c r="AC397" i="19" s="1"/>
  <c r="AB396" i="19"/>
  <c r="P396" i="19"/>
  <c r="AC396" i="19" s="1"/>
  <c r="AK395" i="19"/>
  <c r="AG395" i="19"/>
  <c r="AB395" i="19"/>
  <c r="P395" i="19"/>
  <c r="Z394" i="19"/>
  <c r="Y394" i="19"/>
  <c r="X394" i="19"/>
  <c r="W394" i="19"/>
  <c r="V394" i="19"/>
  <c r="U394" i="19"/>
  <c r="T394" i="19"/>
  <c r="O394" i="19"/>
  <c r="Q393" i="19"/>
  <c r="L393" i="19"/>
  <c r="G393" i="19"/>
  <c r="C393" i="19"/>
  <c r="Q392" i="19"/>
  <c r="Q394" i="19" s="1"/>
  <c r="L392" i="19"/>
  <c r="G392" i="19"/>
  <c r="C392" i="19"/>
  <c r="AB391" i="19"/>
  <c r="P391" i="19"/>
  <c r="AC391" i="19" s="1"/>
  <c r="AC390" i="19"/>
  <c r="AB390" i="19"/>
  <c r="P390" i="19"/>
  <c r="AK389" i="19"/>
  <c r="AG389" i="19"/>
  <c r="AG394" i="19" s="1"/>
  <c r="AB389" i="19"/>
  <c r="AB394" i="19" s="1"/>
  <c r="P389" i="19"/>
  <c r="AC389" i="19" s="1"/>
  <c r="AC394" i="19" s="1"/>
  <c r="AG388" i="19"/>
  <c r="AE388" i="19"/>
  <c r="AD388" i="19"/>
  <c r="Z388" i="19"/>
  <c r="Y388" i="19"/>
  <c r="X388" i="19"/>
  <c r="W388" i="19"/>
  <c r="V388" i="19"/>
  <c r="U388" i="19"/>
  <c r="T388" i="19"/>
  <c r="O388" i="19"/>
  <c r="L388" i="19"/>
  <c r="G388" i="19"/>
  <c r="C388" i="19"/>
  <c r="Q387" i="19"/>
  <c r="Q388" i="19" s="1"/>
  <c r="L387" i="19"/>
  <c r="G387" i="19"/>
  <c r="C387" i="19"/>
  <c r="Q386" i="19"/>
  <c r="L386" i="19"/>
  <c r="G386" i="19"/>
  <c r="C386" i="19"/>
  <c r="AB385" i="19"/>
  <c r="P385" i="19"/>
  <c r="AC385" i="19" s="1"/>
  <c r="AB384" i="19"/>
  <c r="P384" i="19"/>
  <c r="AK383" i="19"/>
  <c r="AG383" i="19"/>
  <c r="AB383" i="19"/>
  <c r="AB388" i="19" s="1"/>
  <c r="P383" i="19"/>
  <c r="AB382" i="19"/>
  <c r="Z382" i="19"/>
  <c r="Y382" i="19"/>
  <c r="X382" i="19"/>
  <c r="W382" i="19"/>
  <c r="V382" i="19"/>
  <c r="U382" i="19"/>
  <c r="T382" i="19"/>
  <c r="O382" i="19"/>
  <c r="Q381" i="19"/>
  <c r="L381" i="19"/>
  <c r="G381" i="19"/>
  <c r="C381" i="19"/>
  <c r="C382" i="19" s="1"/>
  <c r="Q380" i="19"/>
  <c r="Q382" i="19" s="1"/>
  <c r="L380" i="19"/>
  <c r="G380" i="19"/>
  <c r="C380" i="19"/>
  <c r="AB379" i="19"/>
  <c r="P379" i="19"/>
  <c r="AC379" i="19" s="1"/>
  <c r="AC378" i="19"/>
  <c r="AB378" i="19"/>
  <c r="P378" i="19"/>
  <c r="AK377" i="19"/>
  <c r="AG377" i="19"/>
  <c r="AG382" i="19" s="1"/>
  <c r="AB377" i="19"/>
  <c r="P377" i="19"/>
  <c r="AG376" i="19"/>
  <c r="AE376" i="19"/>
  <c r="AD376" i="19"/>
  <c r="Z376" i="19"/>
  <c r="Y376" i="19"/>
  <c r="X376" i="19"/>
  <c r="W376" i="19"/>
  <c r="V376" i="19"/>
  <c r="U376" i="19"/>
  <c r="T376" i="19"/>
  <c r="O376" i="19"/>
  <c r="C376" i="19"/>
  <c r="Q375" i="19"/>
  <c r="L375" i="19"/>
  <c r="L376" i="19" s="1"/>
  <c r="G375" i="19"/>
  <c r="G376" i="19" s="1"/>
  <c r="C375" i="19"/>
  <c r="Q374" i="19"/>
  <c r="L374" i="19"/>
  <c r="G374" i="19"/>
  <c r="C374" i="19"/>
  <c r="AB373" i="19"/>
  <c r="AC373" i="19" s="1"/>
  <c r="P373" i="19"/>
  <c r="AB372" i="19"/>
  <c r="P372" i="19"/>
  <c r="AK371" i="19"/>
  <c r="AG371" i="19"/>
  <c r="AB371" i="19"/>
  <c r="P371" i="19"/>
  <c r="Z370" i="19"/>
  <c r="Y370" i="19"/>
  <c r="X370" i="19"/>
  <c r="W370" i="19"/>
  <c r="V370" i="19"/>
  <c r="U370" i="19"/>
  <c r="T370" i="19"/>
  <c r="Q370" i="19"/>
  <c r="O370" i="19"/>
  <c r="L370" i="19"/>
  <c r="G370" i="19"/>
  <c r="C370" i="19"/>
  <c r="Q369" i="19"/>
  <c r="L369" i="19"/>
  <c r="G369" i="19"/>
  <c r="C369" i="19"/>
  <c r="Q368" i="19"/>
  <c r="L368" i="19"/>
  <c r="G368" i="19"/>
  <c r="C368" i="19"/>
  <c r="AB367" i="19"/>
  <c r="P367" i="19"/>
  <c r="AC367" i="19" s="1"/>
  <c r="AB366" i="19"/>
  <c r="AB370" i="19" s="1"/>
  <c r="P366" i="19"/>
  <c r="AK365" i="19"/>
  <c r="AG365" i="19"/>
  <c r="AG370" i="19" s="1"/>
  <c r="AB365" i="19"/>
  <c r="P365" i="19"/>
  <c r="AC365" i="19" s="1"/>
  <c r="Z364" i="19"/>
  <c r="Y364" i="19"/>
  <c r="X364" i="19"/>
  <c r="W364" i="19"/>
  <c r="V364" i="19"/>
  <c r="U364" i="19"/>
  <c r="T364" i="19"/>
  <c r="O364" i="19"/>
  <c r="L364" i="19"/>
  <c r="Q363" i="19"/>
  <c r="L363" i="19"/>
  <c r="G363" i="19"/>
  <c r="C363" i="19"/>
  <c r="Q362" i="19"/>
  <c r="Q364" i="19" s="1"/>
  <c r="L362" i="19"/>
  <c r="G362" i="19"/>
  <c r="G364" i="19" s="1"/>
  <c r="C362" i="19"/>
  <c r="AB361" i="19"/>
  <c r="AC361" i="19" s="1"/>
  <c r="P361" i="19"/>
  <c r="AB360" i="19"/>
  <c r="AB364" i="19" s="1"/>
  <c r="P360" i="19"/>
  <c r="AC360" i="19" s="1"/>
  <c r="AK359" i="19"/>
  <c r="AG359" i="19"/>
  <c r="AG364" i="19" s="1"/>
  <c r="AB359" i="19"/>
  <c r="P359" i="19"/>
  <c r="AF358" i="19"/>
  <c r="AD358" i="19"/>
  <c r="AC358" i="19"/>
  <c r="Z358" i="19"/>
  <c r="Y358" i="19"/>
  <c r="X358" i="19"/>
  <c r="W358" i="19"/>
  <c r="V358" i="19"/>
  <c r="U358" i="19"/>
  <c r="T358" i="19"/>
  <c r="O358" i="19"/>
  <c r="G358" i="19"/>
  <c r="Q357" i="19"/>
  <c r="Q358" i="19" s="1"/>
  <c r="L357" i="19"/>
  <c r="L358" i="19" s="1"/>
  <c r="G357" i="19"/>
  <c r="C357" i="19"/>
  <c r="C358" i="19" s="1"/>
  <c r="Q356" i="19"/>
  <c r="L356" i="19"/>
  <c r="G356" i="19"/>
  <c r="C356" i="19"/>
  <c r="AB355" i="19"/>
  <c r="P355" i="19"/>
  <c r="AC355" i="19" s="1"/>
  <c r="AB354" i="19"/>
  <c r="P354" i="19"/>
  <c r="AC354" i="19" s="1"/>
  <c r="AK353" i="19"/>
  <c r="AG353" i="19"/>
  <c r="AC353" i="19"/>
  <c r="AB353" i="19"/>
  <c r="AB358" i="19" s="1"/>
  <c r="P353" i="19"/>
  <c r="P358" i="19" s="1"/>
  <c r="AG352" i="19"/>
  <c r="Z352" i="19"/>
  <c r="Y352" i="19"/>
  <c r="X352" i="19"/>
  <c r="W352" i="19"/>
  <c r="V352" i="19"/>
  <c r="U352" i="19"/>
  <c r="T352" i="19"/>
  <c r="O352" i="19"/>
  <c r="Q351" i="19"/>
  <c r="L351" i="19"/>
  <c r="L352" i="19" s="1"/>
  <c r="G351" i="19"/>
  <c r="C351" i="19"/>
  <c r="Q350" i="19"/>
  <c r="Q352" i="19" s="1"/>
  <c r="L350" i="19"/>
  <c r="G350" i="19"/>
  <c r="G352" i="19" s="1"/>
  <c r="C350" i="19"/>
  <c r="C352" i="19" s="1"/>
  <c r="AC349" i="19"/>
  <c r="AB349" i="19"/>
  <c r="P349" i="19"/>
  <c r="AB348" i="19"/>
  <c r="P348" i="19"/>
  <c r="AC348" i="19" s="1"/>
  <c r="AK347" i="19"/>
  <c r="AG347" i="19"/>
  <c r="AB347" i="19"/>
  <c r="AB352" i="19" s="1"/>
  <c r="P347" i="19"/>
  <c r="AG346" i="19"/>
  <c r="AF346" i="19"/>
  <c r="AE346" i="19"/>
  <c r="AB346" i="19"/>
  <c r="Z346" i="19"/>
  <c r="Y346" i="19"/>
  <c r="X346" i="19"/>
  <c r="W346" i="19"/>
  <c r="V346" i="19"/>
  <c r="U346" i="19"/>
  <c r="T346" i="19"/>
  <c r="Q346" i="19"/>
  <c r="O346" i="19"/>
  <c r="C346" i="19"/>
  <c r="Q345" i="19"/>
  <c r="L345" i="19"/>
  <c r="L346" i="19" s="1"/>
  <c r="G345" i="19"/>
  <c r="G346" i="19" s="1"/>
  <c r="C345" i="19"/>
  <c r="Q344" i="19"/>
  <c r="L344" i="19"/>
  <c r="G344" i="19"/>
  <c r="C344" i="19"/>
  <c r="AB343" i="19"/>
  <c r="P343" i="19"/>
  <c r="AC343" i="19" s="1"/>
  <c r="AB342" i="19"/>
  <c r="P342" i="19"/>
  <c r="AC342" i="19" s="1"/>
  <c r="AK341" i="19"/>
  <c r="AG341" i="19"/>
  <c r="AB341" i="19"/>
  <c r="P341" i="19"/>
  <c r="P346" i="19" s="1"/>
  <c r="AG340" i="19"/>
  <c r="Z340" i="19"/>
  <c r="Y340" i="19"/>
  <c r="X340" i="19"/>
  <c r="W340" i="19"/>
  <c r="V340" i="19"/>
  <c r="U340" i="19"/>
  <c r="T340" i="19"/>
  <c r="Q340" i="19"/>
  <c r="P340" i="19"/>
  <c r="O340" i="19"/>
  <c r="L340" i="19"/>
  <c r="G340" i="19"/>
  <c r="C340" i="19"/>
  <c r="Q339" i="19"/>
  <c r="L339" i="19"/>
  <c r="G339" i="19"/>
  <c r="C339" i="19"/>
  <c r="Q338" i="19"/>
  <c r="L338" i="19"/>
  <c r="G338" i="19"/>
  <c r="C338" i="19"/>
  <c r="AB337" i="19"/>
  <c r="AC337" i="19" s="1"/>
  <c r="P337" i="19"/>
  <c r="AB336" i="19"/>
  <c r="AC336" i="19" s="1"/>
  <c r="AC340" i="19" s="1"/>
  <c r="P336" i="19"/>
  <c r="AK335" i="19"/>
  <c r="AG335" i="19"/>
  <c r="AC335" i="19"/>
  <c r="AB335" i="19"/>
  <c r="P335" i="19"/>
  <c r="Z334" i="19"/>
  <c r="Y334" i="19"/>
  <c r="X334" i="19"/>
  <c r="W334" i="19"/>
  <c r="V334" i="19"/>
  <c r="U334" i="19"/>
  <c r="T334" i="19"/>
  <c r="O334" i="19"/>
  <c r="Q333" i="19"/>
  <c r="Q334" i="19" s="1"/>
  <c r="L333" i="19"/>
  <c r="G333" i="19"/>
  <c r="C333" i="19"/>
  <c r="Q332" i="19"/>
  <c r="L332" i="19"/>
  <c r="G332" i="19"/>
  <c r="G334" i="19" s="1"/>
  <c r="C332" i="19"/>
  <c r="C334" i="19" s="1"/>
  <c r="AB331" i="19"/>
  <c r="AC331" i="19" s="1"/>
  <c r="P331" i="19"/>
  <c r="AC330" i="19"/>
  <c r="AB330" i="19"/>
  <c r="P330" i="19"/>
  <c r="AK329" i="19"/>
  <c r="AG329" i="19"/>
  <c r="AB329" i="19"/>
  <c r="AB334" i="19" s="1"/>
  <c r="P329" i="19"/>
  <c r="Z328" i="19"/>
  <c r="Y328" i="19"/>
  <c r="X328" i="19"/>
  <c r="W328" i="19"/>
  <c r="V328" i="19"/>
  <c r="U328" i="19"/>
  <c r="T328" i="19"/>
  <c r="Q328" i="19"/>
  <c r="P328" i="19"/>
  <c r="O328" i="19"/>
  <c r="Q327" i="19"/>
  <c r="L327" i="19"/>
  <c r="G327" i="19"/>
  <c r="G328" i="19" s="1"/>
  <c r="C327" i="19"/>
  <c r="C328" i="19" s="1"/>
  <c r="Q326" i="19"/>
  <c r="L326" i="19"/>
  <c r="L328" i="19" s="1"/>
  <c r="G326" i="19"/>
  <c r="C326" i="19"/>
  <c r="AB325" i="19"/>
  <c r="P325" i="19"/>
  <c r="AC325" i="19" s="1"/>
  <c r="AB324" i="19"/>
  <c r="AB328" i="19" s="1"/>
  <c r="P324" i="19"/>
  <c r="AK323" i="19"/>
  <c r="AG323" i="19"/>
  <c r="AG328" i="19" s="1"/>
  <c r="AB323" i="19"/>
  <c r="P323" i="19"/>
  <c r="AC323" i="19" s="1"/>
  <c r="Z322" i="19"/>
  <c r="Y322" i="19"/>
  <c r="X322" i="19"/>
  <c r="W322" i="19"/>
  <c r="V322" i="19"/>
  <c r="U322" i="19"/>
  <c r="T322" i="19"/>
  <c r="Q322" i="19"/>
  <c r="O322" i="19"/>
  <c r="Q321" i="19"/>
  <c r="L321" i="19"/>
  <c r="G321" i="19"/>
  <c r="C321" i="19"/>
  <c r="Q320" i="19"/>
  <c r="L320" i="19"/>
  <c r="L322" i="19" s="1"/>
  <c r="G320" i="19"/>
  <c r="G322" i="19" s="1"/>
  <c r="C320" i="19"/>
  <c r="C322" i="19" s="1"/>
  <c r="AB319" i="19"/>
  <c r="AC319" i="19" s="1"/>
  <c r="P319" i="19"/>
  <c r="AB318" i="19"/>
  <c r="P318" i="19"/>
  <c r="AC318" i="19" s="1"/>
  <c r="AK317" i="19"/>
  <c r="AG317" i="19"/>
  <c r="AB317" i="19"/>
  <c r="P317" i="19"/>
  <c r="AC317" i="19" s="1"/>
  <c r="Z316" i="19"/>
  <c r="Y316" i="19"/>
  <c r="X316" i="19"/>
  <c r="W316" i="19"/>
  <c r="V316" i="19"/>
  <c r="U316" i="19"/>
  <c r="T316" i="19"/>
  <c r="O316" i="19"/>
  <c r="Q315" i="19"/>
  <c r="L315" i="19"/>
  <c r="G315" i="19"/>
  <c r="C315" i="19"/>
  <c r="Q314" i="19"/>
  <c r="Q316" i="19" s="1"/>
  <c r="L314" i="19"/>
  <c r="L316" i="19" s="1"/>
  <c r="G314" i="19"/>
  <c r="G316" i="19" s="1"/>
  <c r="C314" i="19"/>
  <c r="C316" i="19" s="1"/>
  <c r="AC313" i="19"/>
  <c r="AB313" i="19"/>
  <c r="P313" i="19"/>
  <c r="AB312" i="19"/>
  <c r="AB316" i="19" s="1"/>
  <c r="P312" i="19"/>
  <c r="AK311" i="19"/>
  <c r="AG311" i="19"/>
  <c r="AB311" i="19"/>
  <c r="P311" i="19"/>
  <c r="Z310" i="19"/>
  <c r="Y310" i="19"/>
  <c r="X310" i="19"/>
  <c r="W310" i="19"/>
  <c r="V310" i="19"/>
  <c r="U310" i="19"/>
  <c r="T310" i="19"/>
  <c r="O310" i="19"/>
  <c r="Q309" i="19"/>
  <c r="Q310" i="19" s="1"/>
  <c r="L309" i="19"/>
  <c r="L310" i="19" s="1"/>
  <c r="G309" i="19"/>
  <c r="C309" i="19"/>
  <c r="Q308" i="19"/>
  <c r="L308" i="19"/>
  <c r="G308" i="19"/>
  <c r="G310" i="19" s="1"/>
  <c r="C308" i="19"/>
  <c r="AC307" i="19"/>
  <c r="AB307" i="19"/>
  <c r="AB310" i="19" s="1"/>
  <c r="P307" i="19"/>
  <c r="AB306" i="19"/>
  <c r="P306" i="19"/>
  <c r="AC306" i="19" s="1"/>
  <c r="AK305" i="19"/>
  <c r="AG305" i="19"/>
  <c r="AB305" i="19"/>
  <c r="P305" i="19"/>
  <c r="P310" i="19" s="1"/>
  <c r="AD304" i="19"/>
  <c r="AC304" i="19"/>
  <c r="AB304" i="19"/>
  <c r="Z304" i="19"/>
  <c r="Y304" i="19"/>
  <c r="X304" i="19"/>
  <c r="W304" i="19"/>
  <c r="V304" i="19"/>
  <c r="U304" i="19"/>
  <c r="T304" i="19"/>
  <c r="O304" i="19"/>
  <c r="Q303" i="19"/>
  <c r="L303" i="19"/>
  <c r="G303" i="19"/>
  <c r="C303" i="19"/>
  <c r="Q302" i="19"/>
  <c r="Q304" i="19" s="1"/>
  <c r="L302" i="19"/>
  <c r="L304" i="19" s="1"/>
  <c r="G302" i="19"/>
  <c r="C302" i="19"/>
  <c r="C304" i="19" s="1"/>
  <c r="AB301" i="19"/>
  <c r="P301" i="19"/>
  <c r="AC301" i="19" s="1"/>
  <c r="AB300" i="19"/>
  <c r="P300" i="19"/>
  <c r="AC300" i="19" s="1"/>
  <c r="AK299" i="19"/>
  <c r="AG299" i="19"/>
  <c r="AB299" i="19"/>
  <c r="AC299" i="19" s="1"/>
  <c r="P299" i="19"/>
  <c r="P304" i="19" s="1"/>
  <c r="AG298" i="19"/>
  <c r="AF298" i="19"/>
  <c r="AE298" i="19"/>
  <c r="AD298" i="19"/>
  <c r="Z298" i="19"/>
  <c r="Y298" i="19"/>
  <c r="X298" i="19"/>
  <c r="W298" i="19"/>
  <c r="V298" i="19"/>
  <c r="U298" i="19"/>
  <c r="T298" i="19"/>
  <c r="O298" i="19"/>
  <c r="G298" i="19"/>
  <c r="C298" i="19"/>
  <c r="Q297" i="19"/>
  <c r="Q298" i="19" s="1"/>
  <c r="L297" i="19"/>
  <c r="L298" i="19" s="1"/>
  <c r="G297" i="19"/>
  <c r="C297" i="19"/>
  <c r="Q296" i="19"/>
  <c r="L296" i="19"/>
  <c r="G296" i="19"/>
  <c r="C296" i="19"/>
  <c r="AB295" i="19"/>
  <c r="P295" i="19"/>
  <c r="AC295" i="19" s="1"/>
  <c r="AB294" i="19"/>
  <c r="P294" i="19"/>
  <c r="AC294" i="19" s="1"/>
  <c r="AK293" i="19"/>
  <c r="AG293" i="19"/>
  <c r="AB293" i="19"/>
  <c r="AB298" i="19" s="1"/>
  <c r="P293" i="19"/>
  <c r="P298" i="19" s="1"/>
  <c r="Z292" i="19"/>
  <c r="Y292" i="19"/>
  <c r="X292" i="19"/>
  <c r="W292" i="19"/>
  <c r="V292" i="19"/>
  <c r="U292" i="19"/>
  <c r="T292" i="19"/>
  <c r="O292" i="19"/>
  <c r="L292" i="19"/>
  <c r="Q291" i="19"/>
  <c r="L291" i="19"/>
  <c r="G291" i="19"/>
  <c r="C291" i="19"/>
  <c r="Q290" i="19"/>
  <c r="Q292" i="19" s="1"/>
  <c r="L290" i="19"/>
  <c r="G290" i="19"/>
  <c r="G292" i="19" s="1"/>
  <c r="C290" i="19"/>
  <c r="C292" i="19" s="1"/>
  <c r="AB289" i="19"/>
  <c r="P289" i="19"/>
  <c r="AC289" i="19" s="1"/>
  <c r="AB288" i="19"/>
  <c r="P288" i="19"/>
  <c r="P292" i="19" s="1"/>
  <c r="AK287" i="19"/>
  <c r="AG287" i="19"/>
  <c r="AB287" i="19"/>
  <c r="P287" i="19"/>
  <c r="AF286" i="19"/>
  <c r="Z286" i="19"/>
  <c r="Y286" i="19"/>
  <c r="X286" i="19"/>
  <c r="W286" i="19"/>
  <c r="V286" i="19"/>
  <c r="U286" i="19"/>
  <c r="T286" i="19"/>
  <c r="O286" i="19"/>
  <c r="G286" i="19"/>
  <c r="Q285" i="19"/>
  <c r="L285" i="19"/>
  <c r="G285" i="19"/>
  <c r="C285" i="19"/>
  <c r="C286" i="19" s="1"/>
  <c r="Q284" i="19"/>
  <c r="L284" i="19"/>
  <c r="G284" i="19"/>
  <c r="C284" i="19"/>
  <c r="AB283" i="19"/>
  <c r="AC283" i="19" s="1"/>
  <c r="P283" i="19"/>
  <c r="AC282" i="19"/>
  <c r="AB282" i="19"/>
  <c r="P282" i="19"/>
  <c r="AK281" i="19"/>
  <c r="AG281" i="19"/>
  <c r="AB281" i="19"/>
  <c r="AB286" i="19" s="1"/>
  <c r="P281" i="19"/>
  <c r="P286" i="19" s="1"/>
  <c r="AG280" i="19"/>
  <c r="AF280" i="19"/>
  <c r="Z280" i="19"/>
  <c r="Y280" i="19"/>
  <c r="X280" i="19"/>
  <c r="W280" i="19"/>
  <c r="V280" i="19"/>
  <c r="U280" i="19"/>
  <c r="T280" i="19"/>
  <c r="Q280" i="19"/>
  <c r="O280" i="19"/>
  <c r="L280" i="19"/>
  <c r="G280" i="19"/>
  <c r="Q279" i="19"/>
  <c r="L279" i="19"/>
  <c r="G279" i="19"/>
  <c r="C279" i="19"/>
  <c r="C280" i="19" s="1"/>
  <c r="Q278" i="19"/>
  <c r="L278" i="19"/>
  <c r="G278" i="19"/>
  <c r="C278" i="19"/>
  <c r="AB277" i="19"/>
  <c r="P277" i="19"/>
  <c r="AC277" i="19" s="1"/>
  <c r="AB276" i="19"/>
  <c r="AB280" i="19" s="1"/>
  <c r="P276" i="19"/>
  <c r="AC276" i="19" s="1"/>
  <c r="AK275" i="19"/>
  <c r="AG275" i="19"/>
  <c r="AB275" i="19"/>
  <c r="P275" i="19"/>
  <c r="AC275" i="19" s="1"/>
  <c r="Z274" i="19"/>
  <c r="Y274" i="19"/>
  <c r="X274" i="19"/>
  <c r="W274" i="19"/>
  <c r="V274" i="19"/>
  <c r="U274" i="19"/>
  <c r="T274" i="19"/>
  <c r="Q274" i="19"/>
  <c r="O274" i="19"/>
  <c r="L274" i="19"/>
  <c r="Q273" i="19"/>
  <c r="L273" i="19"/>
  <c r="G273" i="19"/>
  <c r="C273" i="19"/>
  <c r="Q272" i="19"/>
  <c r="L272" i="19"/>
  <c r="G272" i="19"/>
  <c r="G274" i="19" s="1"/>
  <c r="C272" i="19"/>
  <c r="C274" i="19" s="1"/>
  <c r="AB271" i="19"/>
  <c r="P271" i="19"/>
  <c r="AC271" i="19" s="1"/>
  <c r="AB270" i="19"/>
  <c r="AB274" i="19" s="1"/>
  <c r="P270" i="19"/>
  <c r="AK269" i="19"/>
  <c r="AG269" i="19"/>
  <c r="AB269" i="19"/>
  <c r="P269" i="19"/>
  <c r="AC269" i="19" s="1"/>
  <c r="Z268" i="19"/>
  <c r="Y268" i="19"/>
  <c r="X268" i="19"/>
  <c r="W268" i="19"/>
  <c r="V268" i="19"/>
  <c r="U268" i="19"/>
  <c r="T268" i="19"/>
  <c r="O268" i="19"/>
  <c r="Q267" i="19"/>
  <c r="L267" i="19"/>
  <c r="G267" i="19"/>
  <c r="C267" i="19"/>
  <c r="Q266" i="19"/>
  <c r="Q268" i="19" s="1"/>
  <c r="L266" i="19"/>
  <c r="L268" i="19" s="1"/>
  <c r="G266" i="19"/>
  <c r="G268" i="19" s="1"/>
  <c r="C266" i="19"/>
  <c r="C268" i="19" s="1"/>
  <c r="AB265" i="19"/>
  <c r="AC265" i="19" s="1"/>
  <c r="P265" i="19"/>
  <c r="AB264" i="19"/>
  <c r="AB268" i="19" s="1"/>
  <c r="P264" i="19"/>
  <c r="AK263" i="19"/>
  <c r="AG263" i="19"/>
  <c r="AB263" i="19"/>
  <c r="P263" i="19"/>
  <c r="Z262" i="19"/>
  <c r="Y262" i="19"/>
  <c r="X262" i="19"/>
  <c r="W262" i="19"/>
  <c r="V262" i="19"/>
  <c r="U262" i="19"/>
  <c r="T262" i="19"/>
  <c r="P262" i="19"/>
  <c r="O262" i="19"/>
  <c r="Q261" i="19"/>
  <c r="Q262" i="19" s="1"/>
  <c r="L261" i="19"/>
  <c r="L262" i="19" s="1"/>
  <c r="G261" i="19"/>
  <c r="C261" i="19"/>
  <c r="Q260" i="19"/>
  <c r="L260" i="19"/>
  <c r="G260" i="19"/>
  <c r="G262" i="19" s="1"/>
  <c r="C260" i="19"/>
  <c r="C262" i="19" s="1"/>
  <c r="AB259" i="19"/>
  <c r="P259" i="19"/>
  <c r="AC259" i="19" s="1"/>
  <c r="AB258" i="19"/>
  <c r="AB262" i="19" s="1"/>
  <c r="P258" i="19"/>
  <c r="AK257" i="19"/>
  <c r="AG257" i="19"/>
  <c r="AF31" i="19" s="1"/>
  <c r="AB257" i="19"/>
  <c r="P257" i="19"/>
  <c r="AC257" i="19" s="1"/>
  <c r="AB256" i="19"/>
  <c r="Z256" i="19"/>
  <c r="Y256" i="19"/>
  <c r="X256" i="19"/>
  <c r="W256" i="19"/>
  <c r="V256" i="19"/>
  <c r="U256" i="19"/>
  <c r="T256" i="19"/>
  <c r="O256" i="19"/>
  <c r="Q255" i="19"/>
  <c r="L255" i="19"/>
  <c r="G255" i="19"/>
  <c r="C255" i="19"/>
  <c r="Q254" i="19"/>
  <c r="Q256" i="19" s="1"/>
  <c r="L254" i="19"/>
  <c r="L256" i="19" s="1"/>
  <c r="G254" i="19"/>
  <c r="C254" i="19"/>
  <c r="AB253" i="19"/>
  <c r="P253" i="19"/>
  <c r="AC253" i="19" s="1"/>
  <c r="AC252" i="19"/>
  <c r="AB252" i="19"/>
  <c r="P252" i="19"/>
  <c r="AK251" i="19"/>
  <c r="AG251" i="19"/>
  <c r="AB251" i="19"/>
  <c r="P251" i="19"/>
  <c r="AE250" i="19"/>
  <c r="Z250" i="19"/>
  <c r="Y250" i="19"/>
  <c r="X250" i="19"/>
  <c r="W250" i="19"/>
  <c r="V250" i="19"/>
  <c r="U250" i="19"/>
  <c r="T250" i="19"/>
  <c r="O250" i="19"/>
  <c r="Q249" i="19"/>
  <c r="L249" i="19"/>
  <c r="G249" i="19"/>
  <c r="C249" i="19"/>
  <c r="Q248" i="19"/>
  <c r="Q250" i="19" s="1"/>
  <c r="L248" i="19"/>
  <c r="L250" i="19" s="1"/>
  <c r="G248" i="19"/>
  <c r="G250" i="19" s="1"/>
  <c r="C248" i="19"/>
  <c r="C250" i="19" s="1"/>
  <c r="AB247" i="19"/>
  <c r="P247" i="19"/>
  <c r="AC247" i="19" s="1"/>
  <c r="AB246" i="19"/>
  <c r="AB250" i="19" s="1"/>
  <c r="P246" i="19"/>
  <c r="AC246" i="19" s="1"/>
  <c r="AK245" i="19"/>
  <c r="AG245" i="19"/>
  <c r="AC245" i="19"/>
  <c r="AB245" i="19"/>
  <c r="P245" i="19"/>
  <c r="Z244" i="19"/>
  <c r="Y244" i="19"/>
  <c r="X244" i="19"/>
  <c r="W244" i="19"/>
  <c r="V244" i="19"/>
  <c r="U244" i="19"/>
  <c r="T244" i="19"/>
  <c r="P244" i="19"/>
  <c r="O244" i="19"/>
  <c r="C244" i="19"/>
  <c r="Q243" i="19"/>
  <c r="L243" i="19"/>
  <c r="G243" i="19"/>
  <c r="C243" i="19"/>
  <c r="Q242" i="19"/>
  <c r="Q244" i="19" s="1"/>
  <c r="L242" i="19"/>
  <c r="G242" i="19"/>
  <c r="G244" i="19" s="1"/>
  <c r="C242" i="19"/>
  <c r="AB241" i="19"/>
  <c r="P241" i="19"/>
  <c r="AC241" i="19" s="1"/>
  <c r="AC240" i="19"/>
  <c r="AB240" i="19"/>
  <c r="P240" i="19"/>
  <c r="AK239" i="19"/>
  <c r="AG239" i="19"/>
  <c r="AG244" i="19" s="1"/>
  <c r="AB239" i="19"/>
  <c r="P239" i="19"/>
  <c r="AF238" i="19"/>
  <c r="Z238" i="19"/>
  <c r="Y238" i="19"/>
  <c r="X238" i="19"/>
  <c r="W238" i="19"/>
  <c r="V238" i="19"/>
  <c r="U238" i="19"/>
  <c r="T238" i="19"/>
  <c r="O238" i="19"/>
  <c r="G238" i="19"/>
  <c r="C238" i="19"/>
  <c r="Q237" i="19"/>
  <c r="Q238" i="19" s="1"/>
  <c r="L237" i="19"/>
  <c r="G237" i="19"/>
  <c r="C237" i="19"/>
  <c r="Q236" i="19"/>
  <c r="L236" i="19"/>
  <c r="G236" i="19"/>
  <c r="C236" i="19"/>
  <c r="AB235" i="19"/>
  <c r="P235" i="19"/>
  <c r="AC235" i="19" s="1"/>
  <c r="AC234" i="19"/>
  <c r="AB234" i="19"/>
  <c r="P234" i="19"/>
  <c r="AK233" i="19"/>
  <c r="AG233" i="19"/>
  <c r="AG238" i="19" s="1"/>
  <c r="AB233" i="19"/>
  <c r="AB238" i="19" s="1"/>
  <c r="P233" i="19"/>
  <c r="P238" i="19" s="1"/>
  <c r="Z232" i="19"/>
  <c r="Y232" i="19"/>
  <c r="X232" i="19"/>
  <c r="W232" i="19"/>
  <c r="V232" i="19"/>
  <c r="U232" i="19"/>
  <c r="T232" i="19"/>
  <c r="Q232" i="19"/>
  <c r="P232" i="19"/>
  <c r="O232" i="19"/>
  <c r="L232" i="19"/>
  <c r="G232" i="19"/>
  <c r="C232" i="19"/>
  <c r="Q231" i="19"/>
  <c r="L231" i="19"/>
  <c r="G231" i="19"/>
  <c r="C231" i="19"/>
  <c r="Q230" i="19"/>
  <c r="L230" i="19"/>
  <c r="G230" i="19"/>
  <c r="C230" i="19"/>
  <c r="AB229" i="19"/>
  <c r="P229" i="19"/>
  <c r="AB228" i="19"/>
  <c r="AC228" i="19" s="1"/>
  <c r="P228" i="19"/>
  <c r="AK227" i="19"/>
  <c r="AG227" i="19"/>
  <c r="AG232" i="19" s="1"/>
  <c r="AC227" i="19"/>
  <c r="AB227" i="19"/>
  <c r="P227" i="19"/>
  <c r="Z226" i="19"/>
  <c r="Y226" i="19"/>
  <c r="X226" i="19"/>
  <c r="W226" i="19"/>
  <c r="V226" i="19"/>
  <c r="U226" i="19"/>
  <c r="T226" i="19"/>
  <c r="Q226" i="19"/>
  <c r="O226" i="19"/>
  <c r="L226" i="19"/>
  <c r="Q225" i="19"/>
  <c r="L225" i="19"/>
  <c r="G225" i="19"/>
  <c r="C225" i="19"/>
  <c r="Q224" i="19"/>
  <c r="L224" i="19"/>
  <c r="G224" i="19"/>
  <c r="G226" i="19" s="1"/>
  <c r="C224" i="19"/>
  <c r="C226" i="19" s="1"/>
  <c r="AB223" i="19"/>
  <c r="P223" i="19"/>
  <c r="AC223" i="19" s="1"/>
  <c r="AB222" i="19"/>
  <c r="AB226" i="19" s="1"/>
  <c r="P222" i="19"/>
  <c r="P226" i="19" s="1"/>
  <c r="AK221" i="19"/>
  <c r="AG221" i="19"/>
  <c r="AG226" i="19" s="1"/>
  <c r="AB221" i="19"/>
  <c r="P221" i="19"/>
  <c r="AC221" i="19" s="1"/>
  <c r="Z220" i="19"/>
  <c r="Y220" i="19"/>
  <c r="X220" i="19"/>
  <c r="W220" i="19"/>
  <c r="V220" i="19"/>
  <c r="U220" i="19"/>
  <c r="T220" i="19"/>
  <c r="O220" i="19"/>
  <c r="Q219" i="19"/>
  <c r="L219" i="19"/>
  <c r="G219" i="19"/>
  <c r="C219" i="19"/>
  <c r="Q218" i="19"/>
  <c r="Q220" i="19" s="1"/>
  <c r="L218" i="19"/>
  <c r="L220" i="19" s="1"/>
  <c r="G218" i="19"/>
  <c r="G220" i="19" s="1"/>
  <c r="C218" i="19"/>
  <c r="C220" i="19" s="1"/>
  <c r="AB217" i="19"/>
  <c r="AB220" i="19" s="1"/>
  <c r="P217" i="19"/>
  <c r="AB216" i="19"/>
  <c r="P216" i="19"/>
  <c r="AK215" i="19"/>
  <c r="AG215" i="19"/>
  <c r="AB215" i="19"/>
  <c r="P215" i="19"/>
  <c r="P220" i="19" s="1"/>
  <c r="AD214" i="19"/>
  <c r="Z214" i="19"/>
  <c r="Y214" i="19"/>
  <c r="X214" i="19"/>
  <c r="W214" i="19"/>
  <c r="V214" i="19"/>
  <c r="U214" i="19"/>
  <c r="T214" i="19"/>
  <c r="O214" i="19"/>
  <c r="Q213" i="19"/>
  <c r="Q214" i="19" s="1"/>
  <c r="L213" i="19"/>
  <c r="L214" i="19" s="1"/>
  <c r="G213" i="19"/>
  <c r="G214" i="19" s="1"/>
  <c r="C213" i="19"/>
  <c r="C214" i="19" s="1"/>
  <c r="Q212" i="19"/>
  <c r="L212" i="19"/>
  <c r="G212" i="19"/>
  <c r="C212" i="19"/>
  <c r="AB211" i="19"/>
  <c r="P211" i="19"/>
  <c r="AB210" i="19"/>
  <c r="P210" i="19"/>
  <c r="AC210" i="19" s="1"/>
  <c r="AK209" i="19"/>
  <c r="AG209" i="19"/>
  <c r="AG214" i="19" s="1"/>
  <c r="AB209" i="19"/>
  <c r="AC209" i="19" s="1"/>
  <c r="P209" i="19"/>
  <c r="P214" i="19" s="1"/>
  <c r="Z208" i="19"/>
  <c r="Y208" i="19"/>
  <c r="X208" i="19"/>
  <c r="W208" i="19"/>
  <c r="V208" i="19"/>
  <c r="U208" i="19"/>
  <c r="T208" i="19"/>
  <c r="O208" i="19"/>
  <c r="L208" i="19"/>
  <c r="Q207" i="19"/>
  <c r="Q208" i="19" s="1"/>
  <c r="L207" i="19"/>
  <c r="G207" i="19"/>
  <c r="C207" i="19"/>
  <c r="Q206" i="19"/>
  <c r="L206" i="19"/>
  <c r="G206" i="19"/>
  <c r="C206" i="19"/>
  <c r="AC205" i="19"/>
  <c r="AB205" i="19"/>
  <c r="P205" i="19"/>
  <c r="AB204" i="19"/>
  <c r="P204" i="19"/>
  <c r="AC204" i="19" s="1"/>
  <c r="AK203" i="19"/>
  <c r="AG203" i="19"/>
  <c r="AC203" i="19"/>
  <c r="AC208" i="19" s="1"/>
  <c r="AB203" i="19"/>
  <c r="AB208" i="19" s="1"/>
  <c r="P203" i="19"/>
  <c r="P208" i="19" s="1"/>
  <c r="AG202" i="19"/>
  <c r="AC202" i="19"/>
  <c r="AB202" i="19"/>
  <c r="Z202" i="19"/>
  <c r="Y202" i="19"/>
  <c r="X202" i="19"/>
  <c r="W202" i="19"/>
  <c r="V202" i="19"/>
  <c r="U202" i="19"/>
  <c r="T202" i="19"/>
  <c r="O202" i="19"/>
  <c r="Q201" i="19"/>
  <c r="L201" i="19"/>
  <c r="L202" i="19" s="1"/>
  <c r="G201" i="19"/>
  <c r="C201" i="19"/>
  <c r="Q200" i="19"/>
  <c r="Q202" i="19" s="1"/>
  <c r="L200" i="19"/>
  <c r="G200" i="19"/>
  <c r="C200" i="19"/>
  <c r="AB199" i="19"/>
  <c r="P199" i="19"/>
  <c r="AC199" i="19" s="1"/>
  <c r="AB198" i="19"/>
  <c r="P198" i="19"/>
  <c r="AC198" i="19" s="1"/>
  <c r="AK197" i="19"/>
  <c r="AG197" i="19"/>
  <c r="AB197" i="19"/>
  <c r="P197" i="19"/>
  <c r="AC197" i="19" s="1"/>
  <c r="AG196" i="19"/>
  <c r="AF196" i="19"/>
  <c r="AE196" i="19"/>
  <c r="AD196" i="19"/>
  <c r="Z196" i="19"/>
  <c r="Y196" i="19"/>
  <c r="X196" i="19"/>
  <c r="W196" i="19"/>
  <c r="V196" i="19"/>
  <c r="U196" i="19"/>
  <c r="T196" i="19"/>
  <c r="O196" i="19"/>
  <c r="C196" i="19"/>
  <c r="Q195" i="19"/>
  <c r="L195" i="19"/>
  <c r="G195" i="19"/>
  <c r="C195" i="19"/>
  <c r="Q194" i="19"/>
  <c r="L194" i="19"/>
  <c r="L196" i="19" s="1"/>
  <c r="G194" i="19"/>
  <c r="G196" i="19" s="1"/>
  <c r="C194" i="19"/>
  <c r="AB193" i="19"/>
  <c r="AC193" i="19" s="1"/>
  <c r="P193" i="19"/>
  <c r="AB192" i="19"/>
  <c r="P192" i="19"/>
  <c r="AK191" i="19"/>
  <c r="AG191" i="19"/>
  <c r="AB191" i="19"/>
  <c r="P191" i="19"/>
  <c r="AF190" i="19"/>
  <c r="AE190" i="19"/>
  <c r="AB190" i="19"/>
  <c r="Z190" i="19"/>
  <c r="Y190" i="19"/>
  <c r="X190" i="19"/>
  <c r="W190" i="19"/>
  <c r="V190" i="19"/>
  <c r="U190" i="19"/>
  <c r="T190" i="19"/>
  <c r="O190" i="19"/>
  <c r="Q189" i="19"/>
  <c r="Q190" i="19" s="1"/>
  <c r="L189" i="19"/>
  <c r="G189" i="19"/>
  <c r="G190" i="19" s="1"/>
  <c r="C189" i="19"/>
  <c r="C190" i="19" s="1"/>
  <c r="Q188" i="19"/>
  <c r="L188" i="19"/>
  <c r="G188" i="19"/>
  <c r="C188" i="19"/>
  <c r="AB187" i="19"/>
  <c r="P187" i="19"/>
  <c r="AC187" i="19" s="1"/>
  <c r="AC186" i="19"/>
  <c r="AB186" i="19"/>
  <c r="P186" i="19"/>
  <c r="AK185" i="19"/>
  <c r="AG185" i="19"/>
  <c r="AG190" i="19" s="1"/>
  <c r="AB185" i="19"/>
  <c r="AC185" i="19" s="1"/>
  <c r="AC190" i="19" s="1"/>
  <c r="P185" i="19"/>
  <c r="P190" i="19" s="1"/>
  <c r="AG184" i="19"/>
  <c r="AF184" i="19"/>
  <c r="Z184" i="19"/>
  <c r="Y184" i="19"/>
  <c r="X184" i="19"/>
  <c r="W184" i="19"/>
  <c r="V184" i="19"/>
  <c r="U184" i="19"/>
  <c r="T184" i="19"/>
  <c r="Q184" i="19"/>
  <c r="O184" i="19"/>
  <c r="L184" i="19"/>
  <c r="G184" i="19"/>
  <c r="C184" i="19"/>
  <c r="Q183" i="19"/>
  <c r="L183" i="19"/>
  <c r="G183" i="19"/>
  <c r="C183" i="19"/>
  <c r="Q182" i="19"/>
  <c r="L182" i="19"/>
  <c r="G182" i="19"/>
  <c r="C182" i="19"/>
  <c r="AB181" i="19"/>
  <c r="AC181" i="19" s="1"/>
  <c r="P181" i="19"/>
  <c r="AB180" i="19"/>
  <c r="AB184" i="19" s="1"/>
  <c r="P180" i="19"/>
  <c r="AC180" i="19" s="1"/>
  <c r="AK179" i="19"/>
  <c r="AG179" i="19"/>
  <c r="AB179" i="19"/>
  <c r="P179" i="19"/>
  <c r="AC179" i="19" s="1"/>
  <c r="Z178" i="19"/>
  <c r="Y178" i="19"/>
  <c r="X178" i="19"/>
  <c r="W178" i="19"/>
  <c r="V178" i="19"/>
  <c r="U178" i="19"/>
  <c r="T178" i="19"/>
  <c r="Q178" i="19"/>
  <c r="O178" i="19"/>
  <c r="C178" i="19"/>
  <c r="Q177" i="19"/>
  <c r="L177" i="19"/>
  <c r="G177" i="19"/>
  <c r="C177" i="19"/>
  <c r="Q176" i="19"/>
  <c r="L176" i="19"/>
  <c r="L178" i="19" s="1"/>
  <c r="G176" i="19"/>
  <c r="G178" i="19" s="1"/>
  <c r="C176" i="19"/>
  <c r="AB175" i="19"/>
  <c r="AB178" i="19" s="1"/>
  <c r="P175" i="19"/>
  <c r="P178" i="19" s="1"/>
  <c r="AC174" i="19"/>
  <c r="AB174" i="19"/>
  <c r="P174" i="19"/>
  <c r="AK173" i="19"/>
  <c r="AG173" i="19"/>
  <c r="AB173" i="19"/>
  <c r="P173" i="19"/>
  <c r="AC173" i="19" s="1"/>
  <c r="AB172" i="19"/>
  <c r="Z172" i="19"/>
  <c r="Y172" i="19"/>
  <c r="X172" i="19"/>
  <c r="W172" i="19"/>
  <c r="V172" i="19"/>
  <c r="U172" i="19"/>
  <c r="T172" i="19"/>
  <c r="O172" i="19"/>
  <c r="L172" i="19"/>
  <c r="Q171" i="19"/>
  <c r="L171" i="19"/>
  <c r="G171" i="19"/>
  <c r="C171" i="19"/>
  <c r="Q170" i="19"/>
  <c r="Q172" i="19" s="1"/>
  <c r="L170" i="19"/>
  <c r="G170" i="19"/>
  <c r="G172" i="19" s="1"/>
  <c r="C170" i="19"/>
  <c r="C172" i="19" s="1"/>
  <c r="AC169" i="19"/>
  <c r="AB169" i="19"/>
  <c r="P169" i="19"/>
  <c r="AB168" i="19"/>
  <c r="P168" i="19"/>
  <c r="AC168" i="19" s="1"/>
  <c r="AK167" i="19"/>
  <c r="AG167" i="19"/>
  <c r="AG172" i="19" s="1"/>
  <c r="AB167" i="19"/>
  <c r="P167" i="19"/>
  <c r="AF166" i="19"/>
  <c r="AE166" i="19"/>
  <c r="AD166" i="19"/>
  <c r="AB166" i="19"/>
  <c r="Z166" i="19"/>
  <c r="Y166" i="19"/>
  <c r="X166" i="19"/>
  <c r="W166" i="19"/>
  <c r="V166" i="19"/>
  <c r="U166" i="19"/>
  <c r="T166" i="19"/>
  <c r="O166" i="19"/>
  <c r="Q165" i="19"/>
  <c r="Q166" i="19" s="1"/>
  <c r="L165" i="19"/>
  <c r="L166" i="19" s="1"/>
  <c r="G165" i="19"/>
  <c r="G166" i="19" s="1"/>
  <c r="C165" i="19"/>
  <c r="Q164" i="19"/>
  <c r="L164" i="19"/>
  <c r="G164" i="19"/>
  <c r="C164" i="19"/>
  <c r="C166" i="19" s="1"/>
  <c r="AC163" i="19"/>
  <c r="AB163" i="19"/>
  <c r="P163" i="19"/>
  <c r="AB162" i="19"/>
  <c r="P162" i="19"/>
  <c r="AC162" i="19" s="1"/>
  <c r="AK161" i="19"/>
  <c r="AG161" i="19"/>
  <c r="AG166" i="19" s="1"/>
  <c r="AB161" i="19"/>
  <c r="P161" i="19"/>
  <c r="P166" i="19" s="1"/>
  <c r="AG160" i="19"/>
  <c r="AF160" i="19"/>
  <c r="AE160" i="19"/>
  <c r="AD160" i="19"/>
  <c r="Z160" i="19"/>
  <c r="Y160" i="19"/>
  <c r="X160" i="19"/>
  <c r="W160" i="19"/>
  <c r="V160" i="19"/>
  <c r="U160" i="19"/>
  <c r="T160" i="19"/>
  <c r="Q160" i="19"/>
  <c r="O160" i="19"/>
  <c r="L160" i="19"/>
  <c r="Q159" i="19"/>
  <c r="L159" i="19"/>
  <c r="G159" i="19"/>
  <c r="C159" i="19"/>
  <c r="Q158" i="19"/>
  <c r="L158" i="19"/>
  <c r="G158" i="19"/>
  <c r="G160" i="19" s="1"/>
  <c r="C158" i="19"/>
  <c r="AB157" i="19"/>
  <c r="P157" i="19"/>
  <c r="AC157" i="19" s="1"/>
  <c r="AB156" i="19"/>
  <c r="AC156" i="19" s="1"/>
  <c r="P156" i="19"/>
  <c r="P160" i="19" s="1"/>
  <c r="AK155" i="19"/>
  <c r="AG155" i="19"/>
  <c r="AB155" i="19"/>
  <c r="P155" i="19"/>
  <c r="AC155" i="19" s="1"/>
  <c r="AC160" i="19" s="1"/>
  <c r="AF154" i="19"/>
  <c r="AE154" i="19"/>
  <c r="AD154" i="19"/>
  <c r="Z154" i="19"/>
  <c r="Y154" i="19"/>
  <c r="X154" i="19"/>
  <c r="W154" i="19"/>
  <c r="V154" i="19"/>
  <c r="U154" i="19"/>
  <c r="T154" i="19"/>
  <c r="O154" i="19"/>
  <c r="G154" i="19"/>
  <c r="C154" i="19"/>
  <c r="Q153" i="19"/>
  <c r="L153" i="19"/>
  <c r="L154" i="19" s="1"/>
  <c r="G153" i="19"/>
  <c r="C153" i="19"/>
  <c r="Q152" i="19"/>
  <c r="L152" i="19"/>
  <c r="G152" i="19"/>
  <c r="C152" i="19"/>
  <c r="AB151" i="19"/>
  <c r="P151" i="19"/>
  <c r="AC151" i="19" s="1"/>
  <c r="AB150" i="19"/>
  <c r="P150" i="19"/>
  <c r="AC150" i="19" s="1"/>
  <c r="AK149" i="19"/>
  <c r="AG149" i="19"/>
  <c r="AG154" i="19" s="1"/>
  <c r="AB149" i="19"/>
  <c r="AB154" i="19" s="1"/>
  <c r="P149" i="19"/>
  <c r="P154" i="19" s="1"/>
  <c r="AG148" i="19"/>
  <c r="Z148" i="19"/>
  <c r="Y148" i="19"/>
  <c r="X148" i="19"/>
  <c r="W148" i="19"/>
  <c r="V148" i="19"/>
  <c r="U148" i="19"/>
  <c r="T148" i="19"/>
  <c r="Q148" i="19"/>
  <c r="P148" i="19"/>
  <c r="O148" i="19"/>
  <c r="L148" i="19"/>
  <c r="G148" i="19"/>
  <c r="C148" i="19"/>
  <c r="Q147" i="19"/>
  <c r="L147" i="19"/>
  <c r="G147" i="19"/>
  <c r="C147" i="19"/>
  <c r="Q146" i="19"/>
  <c r="L146" i="19"/>
  <c r="G146" i="19"/>
  <c r="C146" i="19"/>
  <c r="AB145" i="19"/>
  <c r="P145" i="19"/>
  <c r="AC145" i="19" s="1"/>
  <c r="AB144" i="19"/>
  <c r="AC144" i="19" s="1"/>
  <c r="AC148" i="19" s="1"/>
  <c r="P144" i="19"/>
  <c r="AK143" i="19"/>
  <c r="AG143" i="19"/>
  <c r="AC143" i="19"/>
  <c r="AB143" i="19"/>
  <c r="P143" i="19"/>
  <c r="Z142" i="19"/>
  <c r="Y142" i="19"/>
  <c r="X142" i="19"/>
  <c r="W142" i="19"/>
  <c r="V142" i="19"/>
  <c r="U142" i="19"/>
  <c r="T142" i="19"/>
  <c r="Q142" i="19"/>
  <c r="P142" i="19"/>
  <c r="O142" i="19"/>
  <c r="Q141" i="19"/>
  <c r="L141" i="19"/>
  <c r="G141" i="19"/>
  <c r="C141" i="19"/>
  <c r="Q140" i="19"/>
  <c r="L140" i="19"/>
  <c r="L142" i="19" s="1"/>
  <c r="G140" i="19"/>
  <c r="G142" i="19" s="1"/>
  <c r="C140" i="19"/>
  <c r="C142" i="19" s="1"/>
  <c r="AB139" i="19"/>
  <c r="P139" i="19"/>
  <c r="AC139" i="19" s="1"/>
  <c r="AC138" i="19"/>
  <c r="AB138" i="19"/>
  <c r="P138" i="19"/>
  <c r="AK137" i="19"/>
  <c r="AG137" i="19"/>
  <c r="AB137" i="19"/>
  <c r="P137" i="19"/>
  <c r="AF136" i="19"/>
  <c r="AE136" i="19"/>
  <c r="AD136" i="19"/>
  <c r="Z136" i="19"/>
  <c r="Y136" i="19"/>
  <c r="X136" i="19"/>
  <c r="W136" i="19"/>
  <c r="V136" i="19"/>
  <c r="U136" i="19"/>
  <c r="T136" i="19"/>
  <c r="O136" i="19"/>
  <c r="Q135" i="19"/>
  <c r="L135" i="19"/>
  <c r="G135" i="19"/>
  <c r="G136" i="19" s="1"/>
  <c r="C135" i="19"/>
  <c r="C136" i="19" s="1"/>
  <c r="Q134" i="19"/>
  <c r="Q136" i="19" s="1"/>
  <c r="L134" i="19"/>
  <c r="L136" i="19" s="1"/>
  <c r="G134" i="19"/>
  <c r="C134" i="19"/>
  <c r="AB133" i="19"/>
  <c r="AB136" i="19" s="1"/>
  <c r="P133" i="19"/>
  <c r="AC133" i="19" s="1"/>
  <c r="AC132" i="19"/>
  <c r="AB132" i="19"/>
  <c r="P132" i="19"/>
  <c r="AK131" i="19"/>
  <c r="AG131" i="19"/>
  <c r="AG136" i="19" s="1"/>
  <c r="AB131" i="19"/>
  <c r="P131" i="19"/>
  <c r="AF130" i="19"/>
  <c r="AE130" i="19"/>
  <c r="AD130" i="19"/>
  <c r="AB130" i="19"/>
  <c r="Z130" i="19"/>
  <c r="Y130" i="19"/>
  <c r="X130" i="19"/>
  <c r="W130" i="19"/>
  <c r="V130" i="19"/>
  <c r="U130" i="19"/>
  <c r="T130" i="19"/>
  <c r="O130" i="19"/>
  <c r="C130" i="19"/>
  <c r="Q129" i="19"/>
  <c r="L129" i="19"/>
  <c r="G129" i="19"/>
  <c r="G130" i="19" s="1"/>
  <c r="C129" i="19"/>
  <c r="Q128" i="19"/>
  <c r="Q130" i="19" s="1"/>
  <c r="L128" i="19"/>
  <c r="L130" i="19" s="1"/>
  <c r="G128" i="19"/>
  <c r="C128" i="19"/>
  <c r="AB127" i="19"/>
  <c r="P127" i="19"/>
  <c r="AC127" i="19" s="1"/>
  <c r="AB126" i="19"/>
  <c r="P126" i="19"/>
  <c r="AC126" i="19" s="1"/>
  <c r="AK125" i="19"/>
  <c r="AG125" i="19"/>
  <c r="AG130" i="19" s="1"/>
  <c r="AB125" i="19"/>
  <c r="P125" i="19"/>
  <c r="AG124" i="19"/>
  <c r="AF124" i="19"/>
  <c r="AE124" i="19"/>
  <c r="AD124" i="19"/>
  <c r="Z124" i="19"/>
  <c r="Y124" i="19"/>
  <c r="X124" i="19"/>
  <c r="W124" i="19"/>
  <c r="V124" i="19"/>
  <c r="U124" i="19"/>
  <c r="T124" i="19"/>
  <c r="O124" i="19"/>
  <c r="G124" i="19"/>
  <c r="Q123" i="19"/>
  <c r="L123" i="19"/>
  <c r="L124" i="19" s="1"/>
  <c r="G123" i="19"/>
  <c r="C123" i="19"/>
  <c r="C124" i="19" s="1"/>
  <c r="Q122" i="19"/>
  <c r="L122" i="19"/>
  <c r="G122" i="19"/>
  <c r="C122" i="19"/>
  <c r="AB121" i="19"/>
  <c r="AC121" i="19" s="1"/>
  <c r="P121" i="19"/>
  <c r="AB120" i="19"/>
  <c r="P120" i="19"/>
  <c r="AC120" i="19" s="1"/>
  <c r="AK119" i="19"/>
  <c r="AG119" i="19"/>
  <c r="AB119" i="19"/>
  <c r="AB124" i="19" s="1"/>
  <c r="P119" i="19"/>
  <c r="AG118" i="19"/>
  <c r="AF118" i="19"/>
  <c r="AE118" i="19"/>
  <c r="AD118" i="19"/>
  <c r="Z118" i="19"/>
  <c r="Y118" i="19"/>
  <c r="X118" i="19"/>
  <c r="W118" i="19"/>
  <c r="V118" i="19"/>
  <c r="U118" i="19"/>
  <c r="T118" i="19"/>
  <c r="Q118" i="19"/>
  <c r="O118" i="19"/>
  <c r="L118" i="19"/>
  <c r="G118" i="19"/>
  <c r="Q117" i="19"/>
  <c r="L117" i="19"/>
  <c r="G117" i="19"/>
  <c r="C117" i="19"/>
  <c r="Q116" i="19"/>
  <c r="L116" i="19"/>
  <c r="G116" i="19"/>
  <c r="C116" i="19"/>
  <c r="C118" i="19" s="1"/>
  <c r="AB115" i="19"/>
  <c r="AC115" i="19" s="1"/>
  <c r="P115" i="19"/>
  <c r="AC114" i="19"/>
  <c r="AB114" i="19"/>
  <c r="P114" i="19"/>
  <c r="AK113" i="19"/>
  <c r="AG113" i="19"/>
  <c r="AB113" i="19"/>
  <c r="P113" i="19"/>
  <c r="AC113" i="19" s="1"/>
  <c r="Z112" i="19"/>
  <c r="Y112" i="19"/>
  <c r="X112" i="19"/>
  <c r="W112" i="19"/>
  <c r="V112" i="19"/>
  <c r="U112" i="19"/>
  <c r="T112" i="19"/>
  <c r="Q112" i="19"/>
  <c r="O112" i="19"/>
  <c r="Q111" i="19"/>
  <c r="L111" i="19"/>
  <c r="G111" i="19"/>
  <c r="C111" i="19"/>
  <c r="Q110" i="19"/>
  <c r="L110" i="19"/>
  <c r="G110" i="19"/>
  <c r="C110" i="19"/>
  <c r="C112" i="19" s="1"/>
  <c r="AB109" i="19"/>
  <c r="P109" i="19"/>
  <c r="AC109" i="19" s="1"/>
  <c r="AB108" i="19"/>
  <c r="AC108" i="19" s="1"/>
  <c r="P108" i="19"/>
  <c r="AK107" i="19"/>
  <c r="AG107" i="19"/>
  <c r="AB107" i="19"/>
  <c r="AB112" i="19" s="1"/>
  <c r="P107" i="19"/>
  <c r="AG106" i="19"/>
  <c r="AF106" i="19"/>
  <c r="AE106" i="19"/>
  <c r="AD106" i="19"/>
  <c r="Z106" i="19"/>
  <c r="Y106" i="19"/>
  <c r="X106" i="19"/>
  <c r="W106" i="19"/>
  <c r="V106" i="19"/>
  <c r="U106" i="19"/>
  <c r="T106" i="19"/>
  <c r="P106" i="19"/>
  <c r="O106" i="19"/>
  <c r="Q105" i="19"/>
  <c r="L105" i="19"/>
  <c r="G105" i="19"/>
  <c r="C105" i="19"/>
  <c r="C106" i="19" s="1"/>
  <c r="Q104" i="19"/>
  <c r="Q106" i="19" s="1"/>
  <c r="L104" i="19"/>
  <c r="L106" i="19" s="1"/>
  <c r="G104" i="19"/>
  <c r="G106" i="19" s="1"/>
  <c r="C104" i="19"/>
  <c r="AB103" i="19"/>
  <c r="P103" i="19"/>
  <c r="AC103" i="19" s="1"/>
  <c r="AB102" i="19"/>
  <c r="AB106" i="19" s="1"/>
  <c r="P102" i="19"/>
  <c r="AC102" i="19" s="1"/>
  <c r="AK101" i="19"/>
  <c r="AG101" i="19"/>
  <c r="AB101" i="19"/>
  <c r="P101" i="19"/>
  <c r="AC101" i="19" s="1"/>
  <c r="AC106" i="19" s="1"/>
  <c r="AF100" i="19"/>
  <c r="AE100" i="19"/>
  <c r="AD100" i="19"/>
  <c r="Z100" i="19"/>
  <c r="Y100" i="19"/>
  <c r="X100" i="19"/>
  <c r="W100" i="19"/>
  <c r="V100" i="19"/>
  <c r="U100" i="19"/>
  <c r="T100" i="19"/>
  <c r="O100" i="19"/>
  <c r="Q99" i="19"/>
  <c r="Q100" i="19" s="1"/>
  <c r="L99" i="19"/>
  <c r="L100" i="19" s="1"/>
  <c r="G99" i="19"/>
  <c r="C99" i="19"/>
  <c r="Q98" i="19"/>
  <c r="L98" i="19"/>
  <c r="G98" i="19"/>
  <c r="G100" i="19" s="1"/>
  <c r="C98" i="19"/>
  <c r="C100" i="19" s="1"/>
  <c r="AC97" i="19"/>
  <c r="AB97" i="19"/>
  <c r="P97" i="19"/>
  <c r="AB96" i="19"/>
  <c r="P96" i="19"/>
  <c r="P100" i="19" s="1"/>
  <c r="AK95" i="19"/>
  <c r="AG95" i="19"/>
  <c r="AG100" i="19" s="1"/>
  <c r="AC95" i="19"/>
  <c r="AB95" i="19"/>
  <c r="AB100" i="19" s="1"/>
  <c r="P95" i="19"/>
  <c r="AF94" i="19"/>
  <c r="AE94" i="19"/>
  <c r="AD94" i="19"/>
  <c r="AB94" i="19"/>
  <c r="Z94" i="19"/>
  <c r="Y94" i="19"/>
  <c r="X94" i="19"/>
  <c r="W94" i="19"/>
  <c r="V94" i="19"/>
  <c r="U94" i="19"/>
  <c r="T94" i="19"/>
  <c r="O94" i="19"/>
  <c r="Q93" i="19"/>
  <c r="L93" i="19"/>
  <c r="G93" i="19"/>
  <c r="G94" i="19" s="1"/>
  <c r="C93" i="19"/>
  <c r="Q92" i="19"/>
  <c r="Q94" i="19" s="1"/>
  <c r="L92" i="19"/>
  <c r="L94" i="19" s="1"/>
  <c r="G92" i="19"/>
  <c r="C92" i="19"/>
  <c r="AB91" i="19"/>
  <c r="P91" i="19"/>
  <c r="AC91" i="19" s="1"/>
  <c r="AC90" i="19"/>
  <c r="AB90" i="19"/>
  <c r="P90" i="19"/>
  <c r="AK89" i="19"/>
  <c r="AG89" i="19"/>
  <c r="AG94" i="19" s="1"/>
  <c r="AB89" i="19"/>
  <c r="P89" i="19"/>
  <c r="AC89" i="19" s="1"/>
  <c r="AC94" i="19" s="1"/>
  <c r="AG88" i="19"/>
  <c r="AF88" i="19"/>
  <c r="AE88" i="19"/>
  <c r="AD88" i="19"/>
  <c r="Z88" i="19"/>
  <c r="Y88" i="19"/>
  <c r="X88" i="19"/>
  <c r="W88" i="19"/>
  <c r="V88" i="19"/>
  <c r="U88" i="19"/>
  <c r="T88" i="19"/>
  <c r="O88" i="19"/>
  <c r="C88" i="19"/>
  <c r="Q87" i="19"/>
  <c r="L87" i="19"/>
  <c r="L88" i="19" s="1"/>
  <c r="G87" i="19"/>
  <c r="G88" i="19" s="1"/>
  <c r="C87" i="19"/>
  <c r="Q86" i="19"/>
  <c r="L86" i="19"/>
  <c r="G86" i="19"/>
  <c r="C86" i="19"/>
  <c r="AC85" i="19"/>
  <c r="AB85" i="19"/>
  <c r="P85" i="19"/>
  <c r="AB84" i="19"/>
  <c r="P84" i="19"/>
  <c r="AC84" i="19" s="1"/>
  <c r="AK83" i="19"/>
  <c r="AG83" i="19"/>
  <c r="AB83" i="19"/>
  <c r="AB88" i="19" s="1"/>
  <c r="P83" i="19"/>
  <c r="P88" i="19" s="1"/>
  <c r="AG82" i="19"/>
  <c r="AF82" i="19"/>
  <c r="AE82" i="19"/>
  <c r="AD82" i="19"/>
  <c r="Z82" i="19"/>
  <c r="Y82" i="19"/>
  <c r="X82" i="19"/>
  <c r="W82" i="19"/>
  <c r="V82" i="19"/>
  <c r="U82" i="19"/>
  <c r="T82" i="19"/>
  <c r="Q82" i="19"/>
  <c r="P82" i="19"/>
  <c r="L82" i="19"/>
  <c r="G82" i="19"/>
  <c r="C82" i="19"/>
  <c r="Q81" i="19"/>
  <c r="L81" i="19"/>
  <c r="G81" i="19"/>
  <c r="C81" i="19"/>
  <c r="Q80" i="19"/>
  <c r="L80" i="19"/>
  <c r="G80" i="19"/>
  <c r="C80" i="19"/>
  <c r="AB79" i="19"/>
  <c r="P79" i="19"/>
  <c r="AC79" i="19" s="1"/>
  <c r="AB78" i="19"/>
  <c r="AB82" i="19" s="1"/>
  <c r="P78" i="19"/>
  <c r="AK77" i="19"/>
  <c r="AG77" i="19"/>
  <c r="AC77" i="19"/>
  <c r="AB77" i="19"/>
  <c r="P77" i="19"/>
  <c r="Z76" i="19"/>
  <c r="Y76" i="19"/>
  <c r="X76" i="19"/>
  <c r="W76" i="19"/>
  <c r="V76" i="19"/>
  <c r="U76" i="19"/>
  <c r="T76" i="19"/>
  <c r="Q76" i="19"/>
  <c r="O76" i="19"/>
  <c r="L76" i="19"/>
  <c r="L75" i="19"/>
  <c r="G75" i="19"/>
  <c r="C75" i="19"/>
  <c r="L74" i="19"/>
  <c r="G74" i="19"/>
  <c r="G76" i="19" s="1"/>
  <c r="C74" i="19"/>
  <c r="C76" i="19" s="1"/>
  <c r="AB73" i="19"/>
  <c r="AB76" i="19" s="1"/>
  <c r="P73" i="19"/>
  <c r="AK72" i="19"/>
  <c r="AG72" i="19"/>
  <c r="AB72" i="19"/>
  <c r="P72" i="19"/>
  <c r="Z71" i="19"/>
  <c r="Y71" i="19"/>
  <c r="X71" i="19"/>
  <c r="W71" i="19"/>
  <c r="V71" i="19"/>
  <c r="U71" i="19"/>
  <c r="T71" i="19"/>
  <c r="O71" i="19"/>
  <c r="G71" i="19"/>
  <c r="C71" i="19"/>
  <c r="Q70" i="19"/>
  <c r="L70" i="19"/>
  <c r="L71" i="19" s="1"/>
  <c r="G70" i="19"/>
  <c r="C70" i="19"/>
  <c r="Q69" i="19"/>
  <c r="L69" i="19"/>
  <c r="G69" i="19"/>
  <c r="C69" i="19"/>
  <c r="AB68" i="19"/>
  <c r="AC68" i="19" s="1"/>
  <c r="P68" i="19"/>
  <c r="AK67" i="19"/>
  <c r="AG67" i="19"/>
  <c r="AG71" i="19" s="1"/>
  <c r="AB67" i="19"/>
  <c r="AB71" i="19" s="1"/>
  <c r="P67" i="19"/>
  <c r="P71" i="19" s="1"/>
  <c r="AG66" i="19"/>
  <c r="AF66" i="19"/>
  <c r="AE66" i="19"/>
  <c r="AD66" i="19"/>
  <c r="Z66" i="19"/>
  <c r="Y66" i="19"/>
  <c r="X66" i="19"/>
  <c r="W66" i="19"/>
  <c r="V66" i="19"/>
  <c r="U66" i="19"/>
  <c r="T66" i="19"/>
  <c r="Q66" i="19"/>
  <c r="O66" i="19"/>
  <c r="L66" i="19"/>
  <c r="G66" i="19"/>
  <c r="Q65" i="19"/>
  <c r="G65" i="19"/>
  <c r="C65" i="19"/>
  <c r="Q64" i="19"/>
  <c r="G64" i="19"/>
  <c r="C64" i="19"/>
  <c r="C66" i="19" s="1"/>
  <c r="AC63" i="19"/>
  <c r="AB63" i="19"/>
  <c r="P63" i="19"/>
  <c r="AK62" i="19"/>
  <c r="AG62" i="19"/>
  <c r="AB62" i="19"/>
  <c r="AB66" i="19" s="1"/>
  <c r="P62" i="19"/>
  <c r="AC62" i="19" s="1"/>
  <c r="AC66" i="19" s="1"/>
  <c r="AG61" i="19"/>
  <c r="AF61" i="19"/>
  <c r="AE61" i="19"/>
  <c r="AD61" i="19"/>
  <c r="Z61" i="19"/>
  <c r="Y61" i="19"/>
  <c r="X61" i="19"/>
  <c r="W61" i="19"/>
  <c r="V61" i="19"/>
  <c r="U61" i="19"/>
  <c r="T61" i="19"/>
  <c r="Q61" i="19"/>
  <c r="P61" i="19"/>
  <c r="O61" i="19"/>
  <c r="Q60" i="19"/>
  <c r="L60" i="19"/>
  <c r="L61" i="19" s="1"/>
  <c r="G60" i="19"/>
  <c r="G61" i="19" s="1"/>
  <c r="C60" i="19"/>
  <c r="C61" i="19" s="1"/>
  <c r="Q59" i="19"/>
  <c r="L59" i="19"/>
  <c r="G59" i="19"/>
  <c r="C59" i="19"/>
  <c r="AB58" i="19"/>
  <c r="AB61" i="19" s="1"/>
  <c r="P58" i="19"/>
  <c r="AC58" i="19" s="1"/>
  <c r="AK57" i="19"/>
  <c r="AG57" i="19"/>
  <c r="AC57" i="19"/>
  <c r="AC61" i="19" s="1"/>
  <c r="AB57" i="19"/>
  <c r="P57" i="19"/>
  <c r="AG56" i="19"/>
  <c r="AF56" i="19"/>
  <c r="AE56" i="19"/>
  <c r="AD56" i="19"/>
  <c r="Z56" i="19"/>
  <c r="Y56" i="19"/>
  <c r="X56" i="19"/>
  <c r="W56" i="19"/>
  <c r="V56" i="19"/>
  <c r="U56" i="19"/>
  <c r="T56" i="19"/>
  <c r="Q55" i="19"/>
  <c r="Q56" i="19" s="1"/>
  <c r="L55" i="19"/>
  <c r="L56" i="19" s="1"/>
  <c r="G55" i="19"/>
  <c r="C55" i="19"/>
  <c r="C56" i="19" s="1"/>
  <c r="Q54" i="19"/>
  <c r="L54" i="19"/>
  <c r="G54" i="19"/>
  <c r="C54" i="19"/>
  <c r="AB53" i="19"/>
  <c r="AB56" i="19" s="1"/>
  <c r="P53" i="19"/>
  <c r="AC53" i="19" s="1"/>
  <c r="AK52" i="19"/>
  <c r="AG52" i="19"/>
  <c r="AB52" i="19"/>
  <c r="P52" i="19"/>
  <c r="AG51" i="19"/>
  <c r="AF51" i="19"/>
  <c r="AE51" i="19"/>
  <c r="AD51" i="19"/>
  <c r="Z51" i="19"/>
  <c r="Y51" i="19"/>
  <c r="X51" i="19"/>
  <c r="W51" i="19"/>
  <c r="V51" i="19"/>
  <c r="U51" i="19"/>
  <c r="T51" i="19"/>
  <c r="C51" i="19"/>
  <c r="Q50" i="19"/>
  <c r="L50" i="19"/>
  <c r="G50" i="19"/>
  <c r="C50" i="19"/>
  <c r="Q49" i="19"/>
  <c r="Q51" i="19" s="1"/>
  <c r="L49" i="19"/>
  <c r="G49" i="19"/>
  <c r="G51" i="19" s="1"/>
  <c r="C49" i="19"/>
  <c r="AB48" i="19"/>
  <c r="P48" i="19"/>
  <c r="AC48" i="19" s="1"/>
  <c r="AK47" i="19"/>
  <c r="AG47" i="19"/>
  <c r="AB47" i="19"/>
  <c r="P47" i="19"/>
  <c r="AG45" i="19"/>
  <c r="AF45" i="19"/>
  <c r="AE45" i="19"/>
  <c r="AD45" i="19"/>
  <c r="Z45" i="19"/>
  <c r="Y45" i="19"/>
  <c r="X45" i="19"/>
  <c r="W45" i="19"/>
  <c r="V45" i="19"/>
  <c r="U45" i="19"/>
  <c r="T45" i="19"/>
  <c r="Q45" i="19"/>
  <c r="L45" i="19"/>
  <c r="G45" i="19"/>
  <c r="C45" i="19"/>
  <c r="Q44" i="19"/>
  <c r="Q46" i="19" s="1"/>
  <c r="L44" i="19"/>
  <c r="L46" i="19" s="1"/>
  <c r="G44" i="19"/>
  <c r="G46" i="19" s="1"/>
  <c r="C44" i="19"/>
  <c r="AB43" i="19"/>
  <c r="AB45" i="19" s="1"/>
  <c r="P43" i="19"/>
  <c r="AK42" i="19"/>
  <c r="AG42" i="19"/>
  <c r="AB42" i="19"/>
  <c r="P42" i="19"/>
  <c r="AF41" i="19"/>
  <c r="AE41" i="19"/>
  <c r="AD41" i="19"/>
  <c r="Z41" i="19"/>
  <c r="Y41" i="19"/>
  <c r="X41" i="19"/>
  <c r="W41" i="19"/>
  <c r="V41" i="19"/>
  <c r="U41" i="19"/>
  <c r="T41" i="19"/>
  <c r="Q40" i="19"/>
  <c r="L40" i="19"/>
  <c r="G40" i="19"/>
  <c r="C40" i="19"/>
  <c r="Q39" i="19"/>
  <c r="Q41" i="19" s="1"/>
  <c r="L39" i="19"/>
  <c r="L41" i="19" s="1"/>
  <c r="G39" i="19"/>
  <c r="G41" i="19" s="1"/>
  <c r="C39" i="19"/>
  <c r="C41" i="19" s="1"/>
  <c r="AB38" i="19"/>
  <c r="AB41" i="19" s="1"/>
  <c r="P38" i="19"/>
  <c r="P41" i="19" s="1"/>
  <c r="AK37" i="19"/>
  <c r="AG37" i="19"/>
  <c r="AG41" i="19" s="1"/>
  <c r="AC37" i="19"/>
  <c r="AB37" i="19"/>
  <c r="P37" i="19"/>
  <c r="Z36" i="19"/>
  <c r="Y36" i="19"/>
  <c r="X36" i="19"/>
  <c r="W36" i="19"/>
  <c r="V36" i="19"/>
  <c r="U36" i="19"/>
  <c r="T36" i="19"/>
  <c r="Q36" i="19"/>
  <c r="Q35" i="19"/>
  <c r="L35" i="19"/>
  <c r="G35" i="19"/>
  <c r="C35" i="19"/>
  <c r="Q34" i="19"/>
  <c r="L34" i="19"/>
  <c r="L36" i="19" s="1"/>
  <c r="G34" i="19"/>
  <c r="G36" i="19" s="1"/>
  <c r="C34" i="19"/>
  <c r="C36" i="19" s="1"/>
  <c r="AB33" i="19"/>
  <c r="P33" i="19"/>
  <c r="AC33" i="19" s="1"/>
  <c r="AK32" i="19"/>
  <c r="AG32" i="19"/>
  <c r="AB32" i="19"/>
  <c r="AB36" i="19" s="1"/>
  <c r="P32" i="19"/>
  <c r="AE31" i="19"/>
  <c r="AD31" i="19"/>
  <c r="Z31" i="19"/>
  <c r="Y31" i="19"/>
  <c r="X31" i="19"/>
  <c r="W31" i="19"/>
  <c r="V31" i="19"/>
  <c r="U31" i="19"/>
  <c r="T31" i="19"/>
  <c r="P31" i="19"/>
  <c r="Q30" i="19"/>
  <c r="L30" i="19"/>
  <c r="L31" i="19" s="1"/>
  <c r="G30" i="19"/>
  <c r="C30" i="19"/>
  <c r="Q29" i="19"/>
  <c r="Q31" i="19" s="1"/>
  <c r="L29" i="19"/>
  <c r="G29" i="19"/>
  <c r="C29" i="19"/>
  <c r="AB28" i="19"/>
  <c r="AB31" i="19" s="1"/>
  <c r="P28" i="19"/>
  <c r="AK27" i="19"/>
  <c r="AG27" i="19"/>
  <c r="AG31" i="19" s="1"/>
  <c r="AC27" i="19"/>
  <c r="AB27" i="19"/>
  <c r="P27" i="19"/>
  <c r="AF26" i="19"/>
  <c r="AE26" i="19"/>
  <c r="AD26" i="19"/>
  <c r="AB26" i="19"/>
  <c r="Z26" i="19"/>
  <c r="Y26" i="19"/>
  <c r="X26" i="19"/>
  <c r="W26" i="19"/>
  <c r="V26" i="19"/>
  <c r="U26" i="19"/>
  <c r="T26" i="19"/>
  <c r="Q25" i="19"/>
  <c r="Q26" i="19" s="1"/>
  <c r="L25" i="19"/>
  <c r="G25" i="19"/>
  <c r="C25" i="19"/>
  <c r="C26" i="19" s="1"/>
  <c r="Q24" i="19"/>
  <c r="L24" i="19"/>
  <c r="L26" i="19" s="1"/>
  <c r="G24" i="19"/>
  <c r="G26" i="19" s="1"/>
  <c r="C24" i="19"/>
  <c r="AB23" i="19"/>
  <c r="P23" i="19"/>
  <c r="AC23" i="19" s="1"/>
  <c r="AK22" i="19"/>
  <c r="AG22" i="19"/>
  <c r="AG26" i="19" s="1"/>
  <c r="AB22" i="19"/>
  <c r="P22" i="19"/>
  <c r="P26" i="19" s="1"/>
  <c r="AG21" i="19"/>
  <c r="AF21" i="19"/>
  <c r="AE21" i="19"/>
  <c r="AD21" i="19"/>
  <c r="Z21" i="19"/>
  <c r="Y21" i="19"/>
  <c r="X21" i="19"/>
  <c r="W21" i="19"/>
  <c r="V21" i="19"/>
  <c r="U21" i="19"/>
  <c r="T21" i="19"/>
  <c r="Q20" i="19"/>
  <c r="L20" i="19"/>
  <c r="G20" i="19"/>
  <c r="G21" i="19" s="1"/>
  <c r="C20" i="19"/>
  <c r="C21" i="19" s="1"/>
  <c r="Q19" i="19"/>
  <c r="Q21" i="19" s="1"/>
  <c r="L19" i="19"/>
  <c r="G19" i="19"/>
  <c r="C19" i="19"/>
  <c r="AB18" i="19"/>
  <c r="AB21" i="19" s="1"/>
  <c r="P18" i="19"/>
  <c r="AK17" i="19"/>
  <c r="AG17" i="19"/>
  <c r="AB17" i="19"/>
  <c r="P17" i="19"/>
  <c r="AG16" i="19"/>
  <c r="AF16" i="19"/>
  <c r="AE16" i="19"/>
  <c r="AD16" i="19"/>
  <c r="AB16" i="19"/>
  <c r="Z16" i="19"/>
  <c r="Y16" i="19"/>
  <c r="X16" i="19"/>
  <c r="W16" i="19"/>
  <c r="V16" i="19"/>
  <c r="U16" i="19"/>
  <c r="T16" i="19"/>
  <c r="Q15" i="19"/>
  <c r="Q16" i="19" s="1"/>
  <c r="L15" i="19"/>
  <c r="L16" i="19" s="1"/>
  <c r="G15" i="19"/>
  <c r="C15" i="19"/>
  <c r="Q14" i="19"/>
  <c r="L14" i="19"/>
  <c r="G14" i="19"/>
  <c r="G16" i="19" s="1"/>
  <c r="C14" i="19"/>
  <c r="AC13" i="19"/>
  <c r="AB13" i="19"/>
  <c r="P13" i="19"/>
  <c r="AK12" i="19"/>
  <c r="AG12" i="19"/>
  <c r="AB12" i="19"/>
  <c r="P12" i="19"/>
  <c r="P16" i="19" s="1"/>
  <c r="AG10" i="19"/>
  <c r="AF10" i="19"/>
  <c r="AE10" i="19"/>
  <c r="AD10" i="19"/>
  <c r="Z10" i="19"/>
  <c r="Y10" i="19"/>
  <c r="X10" i="19"/>
  <c r="W10" i="19"/>
  <c r="U10" i="19"/>
  <c r="T10" i="19"/>
  <c r="S10" i="19"/>
  <c r="R10" i="19"/>
  <c r="Q10" i="19"/>
  <c r="N10" i="19"/>
  <c r="M10" i="19"/>
  <c r="L10" i="19"/>
  <c r="I10" i="19"/>
  <c r="H10" i="19"/>
  <c r="G10" i="19"/>
  <c r="F10" i="19"/>
  <c r="E10" i="19"/>
  <c r="D10" i="19"/>
  <c r="C10" i="19"/>
  <c r="AC9" i="19"/>
  <c r="AB9" i="19"/>
  <c r="P9" i="19"/>
  <c r="AK8" i="19"/>
  <c r="AG8" i="19"/>
  <c r="AB8" i="19"/>
  <c r="AB10" i="19" s="1"/>
  <c r="P8" i="19"/>
  <c r="AC8" i="19" s="1"/>
  <c r="AC10" i="19" s="1"/>
  <c r="AE13" i="20" l="1"/>
  <c r="AF13" i="20"/>
  <c r="M13" i="20"/>
  <c r="C478" i="19"/>
  <c r="AC38" i="19"/>
  <c r="AC73" i="19"/>
  <c r="AC217" i="19"/>
  <c r="AC233" i="19"/>
  <c r="AC238" i="19" s="1"/>
  <c r="AB244" i="19"/>
  <c r="AC239" i="19"/>
  <c r="AC244" i="19" s="1"/>
  <c r="AC280" i="19"/>
  <c r="AB292" i="19"/>
  <c r="AC287" i="19"/>
  <c r="P400" i="19"/>
  <c r="P490" i="19"/>
  <c r="AC485" i="19"/>
  <c r="AC490" i="19" s="1"/>
  <c r="P66" i="19"/>
  <c r="AC184" i="19"/>
  <c r="AC229" i="19"/>
  <c r="AC232" i="19" s="1"/>
  <c r="P280" i="19"/>
  <c r="AC383" i="19"/>
  <c r="AC443" i="19"/>
  <c r="AC448" i="19" s="1"/>
  <c r="AB448" i="19"/>
  <c r="AC149" i="19"/>
  <c r="AC154" i="19" s="1"/>
  <c r="AC281" i="19"/>
  <c r="AC286" i="19" s="1"/>
  <c r="AC328" i="19"/>
  <c r="AC67" i="19"/>
  <c r="AC71" i="19" s="1"/>
  <c r="AG286" i="19"/>
  <c r="AE172" i="19"/>
  <c r="AD172" i="19"/>
  <c r="AE142" i="19"/>
  <c r="AD142" i="19"/>
  <c r="AF142" i="19"/>
  <c r="AF172" i="19"/>
  <c r="P394" i="19"/>
  <c r="AC83" i="19"/>
  <c r="AC88" i="19" s="1"/>
  <c r="P136" i="19"/>
  <c r="AC131" i="19"/>
  <c r="AC136" i="19" s="1"/>
  <c r="AC442" i="19"/>
  <c r="P94" i="19"/>
  <c r="AC324" i="19"/>
  <c r="AC78" i="19"/>
  <c r="AC82" i="19" s="1"/>
  <c r="P124" i="19"/>
  <c r="AC125" i="19"/>
  <c r="AC130" i="19" s="1"/>
  <c r="P130" i="19"/>
  <c r="P472" i="19"/>
  <c r="AC467" i="19"/>
  <c r="AC472" i="19" s="1"/>
  <c r="AC497" i="19"/>
  <c r="AC502" i="19" s="1"/>
  <c r="L21" i="19"/>
  <c r="AC43" i="19"/>
  <c r="P56" i="19"/>
  <c r="AC52" i="19"/>
  <c r="AC56" i="19" s="1"/>
  <c r="AD466" i="19"/>
  <c r="AF448" i="19"/>
  <c r="AD418" i="19"/>
  <c r="AF400" i="19"/>
  <c r="AD370" i="19"/>
  <c r="AF352" i="19"/>
  <c r="AD322" i="19"/>
  <c r="AF304" i="19"/>
  <c r="AD274" i="19"/>
  <c r="AF256" i="19"/>
  <c r="AD226" i="19"/>
  <c r="AF208" i="19"/>
  <c r="AD178" i="19"/>
  <c r="AF496" i="19"/>
  <c r="AF478" i="19"/>
  <c r="AD448" i="19"/>
  <c r="AF430" i="19"/>
  <c r="AF538" i="19"/>
  <c r="AE448" i="19"/>
  <c r="AE400" i="19"/>
  <c r="AE352" i="19"/>
  <c r="AE304" i="19"/>
  <c r="AE256" i="19"/>
  <c r="AE208" i="19"/>
  <c r="AE538" i="19"/>
  <c r="AD400" i="19"/>
  <c r="AF382" i="19"/>
  <c r="AE520" i="19"/>
  <c r="AD496" i="19"/>
  <c r="AD478" i="19"/>
  <c r="AF460" i="19"/>
  <c r="AD430" i="19"/>
  <c r="AF412" i="19"/>
  <c r="AD382" i="19"/>
  <c r="AF364" i="19"/>
  <c r="AD538" i="19"/>
  <c r="AF532" i="19"/>
  <c r="AD490" i="19"/>
  <c r="AE484" i="19"/>
  <c r="AE442" i="19"/>
  <c r="AE406" i="19"/>
  <c r="AE340" i="19"/>
  <c r="AG292" i="19"/>
  <c r="AG76" i="19" s="1"/>
  <c r="AF274" i="19"/>
  <c r="AD250" i="19"/>
  <c r="AF202" i="19"/>
  <c r="AD184" i="19"/>
  <c r="AG400" i="19"/>
  <c r="AD316" i="19"/>
  <c r="AE532" i="19"/>
  <c r="AD484" i="19"/>
  <c r="AD442" i="19"/>
  <c r="AD406" i="19"/>
  <c r="AF370" i="19"/>
  <c r="AD340" i="19"/>
  <c r="AF316" i="19"/>
  <c r="AF292" i="19"/>
  <c r="AE274" i="19"/>
  <c r="AE202" i="19"/>
  <c r="AF526" i="19"/>
  <c r="AE478" i="19"/>
  <c r="AF436" i="19"/>
  <c r="AF394" i="19"/>
  <c r="AE364" i="19"/>
  <c r="AF334" i="19"/>
  <c r="AD532" i="19"/>
  <c r="AE370" i="19"/>
  <c r="AE316" i="19"/>
  <c r="AE292" i="19"/>
  <c r="AG268" i="19"/>
  <c r="AF226" i="19"/>
  <c r="AD202" i="19"/>
  <c r="AG448" i="19"/>
  <c r="AD436" i="19"/>
  <c r="AE430" i="19"/>
  <c r="AE424" i="19"/>
  <c r="AF340" i="19"/>
  <c r="AE280" i="19"/>
  <c r="AE232" i="19"/>
  <c r="AE184" i="19"/>
  <c r="AG178" i="19"/>
  <c r="AE412" i="19"/>
  <c r="AF220" i="19"/>
  <c r="AF214" i="19"/>
  <c r="AF322" i="19"/>
  <c r="AE310" i="19"/>
  <c r="AG250" i="19"/>
  <c r="AD424" i="19"/>
  <c r="AE334" i="19"/>
  <c r="AD280" i="19"/>
  <c r="AD232" i="19"/>
  <c r="AF178" i="19"/>
  <c r="AE418" i="19"/>
  <c r="AF262" i="19"/>
  <c r="AE262" i="19"/>
  <c r="AE268" i="19"/>
  <c r="AD262" i="19"/>
  <c r="AG322" i="19"/>
  <c r="AD268" i="19"/>
  <c r="AG256" i="19"/>
  <c r="AE214" i="19"/>
  <c r="AF418" i="19"/>
  <c r="AF406" i="19"/>
  <c r="AD334" i="19"/>
  <c r="AF328" i="19"/>
  <c r="AG220" i="19"/>
  <c r="AE178" i="19"/>
  <c r="AE328" i="19"/>
  <c r="AE226" i="19"/>
  <c r="AG310" i="19"/>
  <c r="AD220" i="19"/>
  <c r="AF310" i="19"/>
  <c r="AD256" i="19"/>
  <c r="AD412" i="19"/>
  <c r="AD328" i="19"/>
  <c r="AG274" i="19"/>
  <c r="AF268" i="19"/>
  <c r="AE220" i="19"/>
  <c r="AE322" i="19"/>
  <c r="AD310" i="19"/>
  <c r="AG304" i="19"/>
  <c r="AF250" i="19"/>
  <c r="AE496" i="19"/>
  <c r="AF490" i="19"/>
  <c r="AE454" i="19"/>
  <c r="AF388" i="19"/>
  <c r="AE382" i="19"/>
  <c r="AF376" i="19"/>
  <c r="AE358" i="19"/>
  <c r="AD352" i="19"/>
  <c r="AD346" i="19"/>
  <c r="AD292" i="19"/>
  <c r="AE286" i="19"/>
  <c r="AD238" i="19"/>
  <c r="AD190" i="19"/>
  <c r="P184" i="19"/>
  <c r="C208" i="19"/>
  <c r="AC341" i="19"/>
  <c r="AC346" i="19" s="1"/>
  <c r="P352" i="19"/>
  <c r="AC347" i="19"/>
  <c r="AC352" i="19" s="1"/>
  <c r="AB376" i="19"/>
  <c r="AG436" i="19"/>
  <c r="AC438" i="19"/>
  <c r="P442" i="19"/>
  <c r="L460" i="19"/>
  <c r="AE460" i="19"/>
  <c r="AG490" i="19"/>
  <c r="L520" i="19"/>
  <c r="AD520" i="19"/>
  <c r="AC214" i="19"/>
  <c r="AF148" i="19"/>
  <c r="AE148" i="19"/>
  <c r="AD148" i="19"/>
  <c r="AC402" i="19"/>
  <c r="AC406" i="19" s="1"/>
  <c r="P460" i="19"/>
  <c r="AC455" i="19"/>
  <c r="AC460" i="19" s="1"/>
  <c r="AC175" i="19"/>
  <c r="AC178" i="19" s="1"/>
  <c r="P370" i="19"/>
  <c r="AC366" i="19"/>
  <c r="P454" i="19"/>
  <c r="P424" i="19"/>
  <c r="AC18" i="19"/>
  <c r="AC222" i="19"/>
  <c r="AC258" i="19"/>
  <c r="AC262" i="19" s="1"/>
  <c r="AC414" i="19"/>
  <c r="AC418" i="19" s="1"/>
  <c r="AB160" i="19"/>
  <c r="AC31" i="19"/>
  <c r="AG460" i="19"/>
  <c r="AC491" i="19"/>
  <c r="AC496" i="19" s="1"/>
  <c r="P496" i="19"/>
  <c r="AF520" i="19"/>
  <c r="C16" i="19"/>
  <c r="P76" i="19"/>
  <c r="AC72" i="19"/>
  <c r="P118" i="19"/>
  <c r="C202" i="19"/>
  <c r="AD208" i="19"/>
  <c r="AF232" i="19"/>
  <c r="AE244" i="19"/>
  <c r="AD71" i="19"/>
  <c r="AF71" i="19"/>
  <c r="AE71" i="19"/>
  <c r="C310" i="19"/>
  <c r="AD364" i="19"/>
  <c r="AD394" i="19"/>
  <c r="AF424" i="19"/>
  <c r="AD454" i="19"/>
  <c r="AC466" i="19"/>
  <c r="Q514" i="19"/>
  <c r="P112" i="19"/>
  <c r="AC107" i="19"/>
  <c r="AC112" i="19" s="1"/>
  <c r="AC329" i="19"/>
  <c r="AC334" i="19" s="1"/>
  <c r="AC161" i="19"/>
  <c r="AC166" i="19" s="1"/>
  <c r="AB214" i="19"/>
  <c r="AB196" i="19"/>
  <c r="AC191" i="19"/>
  <c r="AC377" i="19"/>
  <c r="AC382" i="19" s="1"/>
  <c r="P382" i="19"/>
  <c r="AC118" i="19"/>
  <c r="P256" i="19"/>
  <c r="AC407" i="19"/>
  <c r="AC412" i="19" s="1"/>
  <c r="P274" i="19"/>
  <c r="AC270" i="19"/>
  <c r="AC274" i="19" s="1"/>
  <c r="P376" i="19"/>
  <c r="AC371" i="19"/>
  <c r="AB436" i="19"/>
  <c r="AC431" i="19"/>
  <c r="AC436" i="19" s="1"/>
  <c r="AC41" i="19"/>
  <c r="AC119" i="19"/>
  <c r="AC124" i="19" s="1"/>
  <c r="AD244" i="19"/>
  <c r="AC293" i="19"/>
  <c r="AC298" i="19" s="1"/>
  <c r="AG406" i="19"/>
  <c r="AB118" i="19"/>
  <c r="G202" i="19"/>
  <c r="AG208" i="19"/>
  <c r="AE238" i="19"/>
  <c r="AF244" i="19"/>
  <c r="Q286" i="19"/>
  <c r="AD286" i="19"/>
  <c r="AC372" i="19"/>
  <c r="AE394" i="19"/>
  <c r="AG424" i="19"/>
  <c r="AF454" i="19"/>
  <c r="AG496" i="19"/>
  <c r="AD514" i="19"/>
  <c r="AG532" i="19"/>
  <c r="C46" i="19"/>
  <c r="L51" i="19"/>
  <c r="Q196" i="19"/>
  <c r="L244" i="19"/>
  <c r="AC264" i="19"/>
  <c r="G304" i="19"/>
  <c r="AC425" i="19"/>
  <c r="AC430" i="19" s="1"/>
  <c r="P430" i="19"/>
  <c r="Q460" i="19"/>
  <c r="L472" i="19"/>
  <c r="Q520" i="19"/>
  <c r="AG358" i="19"/>
  <c r="AC403" i="19"/>
  <c r="AC532" i="19"/>
  <c r="AC480" i="19"/>
  <c r="AC484" i="19" s="1"/>
  <c r="AG526" i="19"/>
  <c r="P202" i="19"/>
  <c r="P466" i="19"/>
  <c r="AC462" i="19"/>
  <c r="AC498" i="19"/>
  <c r="AC534" i="19"/>
  <c r="AC538" i="19" s="1"/>
  <c r="AC251" i="19"/>
  <c r="AC256" i="19" s="1"/>
  <c r="P10" i="19"/>
  <c r="AB142" i="19"/>
  <c r="AC137" i="19"/>
  <c r="AC142" i="19" s="1"/>
  <c r="Q154" i="19"/>
  <c r="C160" i="19"/>
  <c r="P250" i="19"/>
  <c r="AG262" i="19"/>
  <c r="AG316" i="19"/>
  <c r="AB322" i="19"/>
  <c r="C364" i="19"/>
  <c r="C394" i="19"/>
  <c r="G430" i="19"/>
  <c r="L436" i="19"/>
  <c r="AC322" i="19"/>
  <c r="P196" i="19"/>
  <c r="AC192" i="19"/>
  <c r="AC288" i="19"/>
  <c r="AC305" i="19"/>
  <c r="AC310" i="19" s="1"/>
  <c r="AC12" i="19"/>
  <c r="AC16" i="19" s="1"/>
  <c r="AC28" i="19"/>
  <c r="G112" i="19"/>
  <c r="P172" i="19"/>
  <c r="C31" i="19"/>
  <c r="L112" i="19"/>
  <c r="G31" i="19"/>
  <c r="Q88" i="19"/>
  <c r="C94" i="19"/>
  <c r="AG142" i="19"/>
  <c r="AB148" i="19"/>
  <c r="AC167" i="19"/>
  <c r="AC172" i="19" s="1"/>
  <c r="L190" i="19"/>
  <c r="AC215" i="19"/>
  <c r="AC220" i="19" s="1"/>
  <c r="AC226" i="19"/>
  <c r="AB232" i="19"/>
  <c r="L238" i="19"/>
  <c r="P268" i="19"/>
  <c r="AC263" i="19"/>
  <c r="P322" i="19"/>
  <c r="G382" i="19"/>
  <c r="G394" i="19"/>
  <c r="L430" i="19"/>
  <c r="P388" i="19"/>
  <c r="AC384" i="19"/>
  <c r="P51" i="19"/>
  <c r="AC47" i="19"/>
  <c r="AC51" i="19" s="1"/>
  <c r="AC250" i="19"/>
  <c r="AG472" i="19"/>
  <c r="P21" i="19"/>
  <c r="AC17" i="19"/>
  <c r="AC21" i="19" s="1"/>
  <c r="L334" i="19"/>
  <c r="G56" i="19"/>
  <c r="AC96" i="19"/>
  <c r="AC100" i="19" s="1"/>
  <c r="AC211" i="19"/>
  <c r="L286" i="19"/>
  <c r="AC312" i="19"/>
  <c r="P334" i="19"/>
  <c r="L382" i="19"/>
  <c r="L394" i="19"/>
  <c r="P412" i="19"/>
  <c r="C520" i="19"/>
  <c r="AB51" i="19"/>
  <c r="G208" i="19"/>
  <c r="P316" i="19"/>
  <c r="P364" i="19"/>
  <c r="G412" i="19"/>
  <c r="AG520" i="19"/>
  <c r="G538" i="19"/>
  <c r="AG334" i="19"/>
  <c r="P45" i="19"/>
  <c r="Q71" i="19"/>
  <c r="AC216" i="19"/>
  <c r="C256" i="19"/>
  <c r="AB340" i="19"/>
  <c r="AC370" i="19"/>
  <c r="Q376" i="19"/>
  <c r="AB484" i="19"/>
  <c r="G496" i="19"/>
  <c r="P532" i="19"/>
  <c r="C448" i="19"/>
  <c r="Q490" i="19"/>
  <c r="AC526" i="19"/>
  <c r="C538" i="19"/>
  <c r="AC22" i="19"/>
  <c r="AC26" i="19" s="1"/>
  <c r="P36" i="19"/>
  <c r="AC32" i="19"/>
  <c r="AC36" i="19" s="1"/>
  <c r="AC42" i="19"/>
  <c r="Q124" i="19"/>
  <c r="G256" i="19"/>
  <c r="AC311" i="19"/>
  <c r="AC316" i="19" s="1"/>
  <c r="AC359" i="19"/>
  <c r="AC364" i="19" s="1"/>
  <c r="AC395" i="19"/>
  <c r="AC400" i="19" s="1"/>
  <c r="AB400" i="19"/>
  <c r="Q412" i="19"/>
  <c r="AG478" i="19"/>
  <c r="L496" i="19"/>
  <c r="AH13" i="20" l="1"/>
  <c r="AC292" i="19"/>
  <c r="AF112" i="19"/>
  <c r="AE112" i="19"/>
  <c r="AG112" i="19"/>
  <c r="AD112" i="19"/>
  <c r="AG36" i="19"/>
  <c r="AF36" i="19"/>
  <c r="AE36" i="19"/>
  <c r="AD36" i="19"/>
  <c r="AC388" i="19"/>
  <c r="AC376" i="19"/>
  <c r="AC76" i="19"/>
  <c r="AE76" i="19"/>
  <c r="AD76" i="19"/>
  <c r="AF76" i="19"/>
  <c r="AC45" i="19"/>
  <c r="AC196" i="19"/>
  <c r="AC268" i="19"/>
  <c r="M46" i="14" l="1"/>
  <c r="F57" i="14" l="1"/>
  <c r="F56" i="14"/>
  <c r="F55" i="14"/>
  <c r="F54" i="14"/>
  <c r="F53" i="14"/>
  <c r="F51" i="14"/>
  <c r="F50" i="14"/>
  <c r="F49" i="14"/>
  <c r="F52" i="14"/>
  <c r="M39" i="14"/>
  <c r="M40" i="14"/>
  <c r="M35" i="14"/>
  <c r="M36" i="14"/>
  <c r="M4" i="14"/>
  <c r="M6" i="14"/>
  <c r="F46" i="14"/>
  <c r="F45" i="14"/>
  <c r="F44" i="14"/>
  <c r="F43" i="14"/>
  <c r="F34" i="14"/>
  <c r="F33" i="14"/>
  <c r="F32" i="14"/>
  <c r="F30" i="14"/>
  <c r="F29" i="14"/>
  <c r="F26" i="14"/>
  <c r="L46" i="14"/>
  <c r="M41" i="14" l="1"/>
  <c r="F41" i="14" s="1"/>
  <c r="M37" i="14"/>
  <c r="F37" i="14" s="1"/>
  <c r="L39" i="14"/>
  <c r="L40" i="14"/>
  <c r="L41" i="14" s="1"/>
  <c r="L35" i="14"/>
  <c r="L36" i="14"/>
  <c r="L37" i="14" s="1"/>
  <c r="L4" i="14"/>
  <c r="L6" i="14"/>
  <c r="K46" i="14" l="1"/>
  <c r="K35" i="14" l="1"/>
  <c r="K37" i="14" s="1"/>
  <c r="K36" i="14"/>
  <c r="K39" i="14"/>
  <c r="K40" i="14"/>
  <c r="K4" i="14"/>
  <c r="K6" i="14"/>
  <c r="K41" i="14" l="1"/>
  <c r="J46" i="14" l="1"/>
  <c r="J4" i="14" l="1"/>
  <c r="J6" i="14"/>
  <c r="J35" i="14"/>
  <c r="J36" i="14"/>
  <c r="J39" i="14"/>
  <c r="J40" i="14"/>
  <c r="I46" i="14"/>
  <c r="J41" i="14" l="1"/>
  <c r="J37" i="14"/>
  <c r="I35" i="14"/>
  <c r="I36" i="14"/>
  <c r="I39" i="14"/>
  <c r="I40" i="14"/>
  <c r="I4" i="14"/>
  <c r="I6" i="14"/>
  <c r="M291" i="16"/>
  <c r="M292" i="16" s="1"/>
  <c r="L291" i="16"/>
  <c r="L292" i="16" s="1"/>
  <c r="K291" i="16"/>
  <c r="K292" i="16" s="1"/>
  <c r="I291" i="16"/>
  <c r="I292" i="16" s="1"/>
  <c r="H291" i="16"/>
  <c r="G291" i="16"/>
  <c r="F291" i="16"/>
  <c r="E291" i="16"/>
  <c r="D291" i="16"/>
  <c r="C291" i="16"/>
  <c r="C272" i="16"/>
  <c r="E272" i="16"/>
  <c r="F272" i="16"/>
  <c r="G272" i="16"/>
  <c r="H272" i="16"/>
  <c r="I272" i="16"/>
  <c r="I273" i="16" s="1"/>
  <c r="J272" i="16"/>
  <c r="K272" i="16"/>
  <c r="K273" i="16" s="1"/>
  <c r="L272" i="16"/>
  <c r="L273" i="16" s="1"/>
  <c r="M272" i="16"/>
  <c r="M273" i="16" s="1"/>
  <c r="D272" i="16"/>
  <c r="I9" i="14" s="1"/>
  <c r="M290" i="16"/>
  <c r="L290" i="16"/>
  <c r="K290" i="16"/>
  <c r="I290" i="16"/>
  <c r="H290" i="16"/>
  <c r="G290" i="16"/>
  <c r="F290" i="16"/>
  <c r="E290" i="16"/>
  <c r="D290" i="16"/>
  <c r="C290" i="16"/>
  <c r="B290" i="16"/>
  <c r="M288" i="16"/>
  <c r="L288" i="16"/>
  <c r="K288" i="16"/>
  <c r="I288" i="16"/>
  <c r="H288" i="16"/>
  <c r="G288" i="16"/>
  <c r="F288" i="16"/>
  <c r="E288" i="16"/>
  <c r="D288" i="16"/>
  <c r="C288" i="16"/>
  <c r="B288" i="16"/>
  <c r="M286" i="16"/>
  <c r="L286" i="16"/>
  <c r="K286" i="16"/>
  <c r="I286" i="16"/>
  <c r="H286" i="16"/>
  <c r="G286" i="16"/>
  <c r="F286" i="16"/>
  <c r="E286" i="16"/>
  <c r="D286" i="16"/>
  <c r="C286" i="16"/>
  <c r="B286" i="16"/>
  <c r="M284" i="16"/>
  <c r="L284" i="16"/>
  <c r="K284" i="16"/>
  <c r="I284" i="16"/>
  <c r="H284" i="16"/>
  <c r="G284" i="16"/>
  <c r="F284" i="16"/>
  <c r="E284" i="16"/>
  <c r="D284" i="16"/>
  <c r="C284" i="16"/>
  <c r="B284" i="16"/>
  <c r="M282" i="16"/>
  <c r="L282" i="16"/>
  <c r="K282" i="16"/>
  <c r="I282" i="16"/>
  <c r="H282" i="16"/>
  <c r="G282" i="16"/>
  <c r="F282" i="16"/>
  <c r="E282" i="16"/>
  <c r="D282" i="16"/>
  <c r="C282" i="16"/>
  <c r="B282" i="16"/>
  <c r="M280" i="16"/>
  <c r="L280" i="16"/>
  <c r="K280" i="16"/>
  <c r="I280" i="16"/>
  <c r="H280" i="16"/>
  <c r="G280" i="16"/>
  <c r="F280" i="16"/>
  <c r="E280" i="16"/>
  <c r="D280" i="16"/>
  <c r="C280" i="16"/>
  <c r="B280" i="16"/>
  <c r="M278" i="16"/>
  <c r="L278" i="16"/>
  <c r="K278" i="16"/>
  <c r="I278" i="16"/>
  <c r="H278" i="16"/>
  <c r="G278" i="16"/>
  <c r="F278" i="16"/>
  <c r="E278" i="16"/>
  <c r="D278" i="16"/>
  <c r="M276" i="16"/>
  <c r="L276" i="16"/>
  <c r="K276" i="16"/>
  <c r="I276" i="16"/>
  <c r="H276" i="16"/>
  <c r="G276" i="16"/>
  <c r="F276" i="16"/>
  <c r="E276" i="16"/>
  <c r="D276" i="16"/>
  <c r="C276" i="16"/>
  <c r="B276" i="16"/>
  <c r="M271" i="16"/>
  <c r="L271" i="16"/>
  <c r="K271" i="16"/>
  <c r="I271" i="16"/>
  <c r="H271" i="16"/>
  <c r="G271" i="16"/>
  <c r="F271" i="16"/>
  <c r="E271" i="16"/>
  <c r="D271" i="16"/>
  <c r="C271" i="16"/>
  <c r="B271" i="16"/>
  <c r="M269" i="16"/>
  <c r="L269" i="16"/>
  <c r="K269" i="16"/>
  <c r="I269" i="16"/>
  <c r="H269" i="16"/>
  <c r="G269" i="16"/>
  <c r="F269" i="16"/>
  <c r="E269" i="16"/>
  <c r="D269" i="16"/>
  <c r="C269" i="16"/>
  <c r="B269" i="16"/>
  <c r="M267" i="16"/>
  <c r="L267" i="16"/>
  <c r="K267" i="16"/>
  <c r="I267" i="16"/>
  <c r="H267" i="16"/>
  <c r="G267" i="16"/>
  <c r="F267" i="16"/>
  <c r="E267" i="16"/>
  <c r="D267" i="16"/>
  <c r="C267" i="16"/>
  <c r="B267" i="16"/>
  <c r="M265" i="16"/>
  <c r="L265" i="16"/>
  <c r="K265" i="16"/>
  <c r="I265" i="16"/>
  <c r="H265" i="16"/>
  <c r="G265" i="16"/>
  <c r="F265" i="16"/>
  <c r="E265" i="16"/>
  <c r="D265" i="16"/>
  <c r="C265" i="16"/>
  <c r="B265" i="16"/>
  <c r="M263" i="16"/>
  <c r="L263" i="16"/>
  <c r="K263" i="16"/>
  <c r="I263" i="16"/>
  <c r="H263" i="16"/>
  <c r="G263" i="16"/>
  <c r="F263" i="16"/>
  <c r="E263" i="16"/>
  <c r="D263" i="16"/>
  <c r="C263" i="16"/>
  <c r="B263" i="16"/>
  <c r="C261" i="16"/>
  <c r="D261" i="16"/>
  <c r="E261" i="16"/>
  <c r="F261" i="16"/>
  <c r="G261" i="16"/>
  <c r="H261" i="16"/>
  <c r="I261" i="16"/>
  <c r="K261" i="16"/>
  <c r="L261" i="16"/>
  <c r="M261" i="16"/>
  <c r="B261" i="16"/>
  <c r="D259" i="16"/>
  <c r="E259" i="16"/>
  <c r="F259" i="16"/>
  <c r="G259" i="16"/>
  <c r="H259" i="16"/>
  <c r="I259" i="16"/>
  <c r="K259" i="16"/>
  <c r="L259" i="16"/>
  <c r="M259" i="16"/>
  <c r="C257" i="16"/>
  <c r="D257" i="16"/>
  <c r="E257" i="16"/>
  <c r="F257" i="16"/>
  <c r="G257" i="16"/>
  <c r="H257" i="16"/>
  <c r="I257" i="16"/>
  <c r="K257" i="16"/>
  <c r="L257" i="16"/>
  <c r="M257" i="16"/>
  <c r="B257" i="16"/>
  <c r="H39" i="14"/>
  <c r="H40" i="14"/>
  <c r="H35" i="14"/>
  <c r="H36" i="14"/>
  <c r="J273" i="16" l="1"/>
  <c r="O9" i="14"/>
  <c r="H292" i="16"/>
  <c r="M13" i="14" s="1"/>
  <c r="M12" i="14"/>
  <c r="H273" i="16"/>
  <c r="M10" i="14" s="1"/>
  <c r="M9" i="14"/>
  <c r="G292" i="16"/>
  <c r="L13" i="14" s="1"/>
  <c r="L12" i="14"/>
  <c r="G273" i="16"/>
  <c r="L10" i="14" s="1"/>
  <c r="L9" i="14"/>
  <c r="K12" i="14"/>
  <c r="K9" i="14"/>
  <c r="J12" i="14"/>
  <c r="J9" i="14"/>
  <c r="H37" i="14"/>
  <c r="I41" i="14"/>
  <c r="I37" i="14"/>
  <c r="I12" i="14"/>
  <c r="H41" i="14"/>
  <c r="C11" i="17" l="1"/>
  <c r="C10" i="17"/>
  <c r="H46" i="14" l="1"/>
  <c r="H4" i="14" l="1"/>
  <c r="H6" i="14"/>
  <c r="B277" i="16" l="1"/>
  <c r="N277" i="16" s="1"/>
  <c r="B258" i="16"/>
  <c r="O258" i="16" s="1"/>
  <c r="G40" i="14"/>
  <c r="G39" i="14"/>
  <c r="G36" i="14"/>
  <c r="G35" i="14"/>
  <c r="G6" i="14"/>
  <c r="G4" i="14"/>
  <c r="P104" i="5"/>
  <c r="P103" i="5"/>
  <c r="P100" i="5"/>
  <c r="P99" i="5"/>
  <c r="P96" i="5"/>
  <c r="P95" i="5"/>
  <c r="P92" i="5"/>
  <c r="P91" i="5"/>
  <c r="P88" i="5"/>
  <c r="P87" i="5"/>
  <c r="P84" i="5"/>
  <c r="P83" i="5"/>
  <c r="P80" i="5"/>
  <c r="P79" i="5"/>
  <c r="P76" i="5"/>
  <c r="P75" i="5"/>
  <c r="P73" i="5"/>
  <c r="P72" i="5"/>
  <c r="P71" i="5"/>
  <c r="P69" i="5"/>
  <c r="P68" i="5"/>
  <c r="P67" i="5"/>
  <c r="P65" i="5"/>
  <c r="P64" i="5"/>
  <c r="P63" i="5"/>
  <c r="P61" i="5"/>
  <c r="P60" i="5"/>
  <c r="P59" i="5"/>
  <c r="P57" i="5"/>
  <c r="P56" i="5"/>
  <c r="P55" i="5"/>
  <c r="P53" i="5"/>
  <c r="P52" i="5"/>
  <c r="P51" i="5"/>
  <c r="P48" i="5"/>
  <c r="P47" i="5"/>
  <c r="P44" i="5"/>
  <c r="P43" i="5"/>
  <c r="P40" i="5"/>
  <c r="P39" i="5"/>
  <c r="P36" i="5"/>
  <c r="P35" i="5"/>
  <c r="P33" i="5"/>
  <c r="P32" i="5"/>
  <c r="P31" i="5"/>
  <c r="P28" i="5"/>
  <c r="P27" i="5"/>
  <c r="P24" i="5"/>
  <c r="P23" i="5"/>
  <c r="P20" i="5"/>
  <c r="P19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M61" i="3"/>
  <c r="L61" i="3"/>
  <c r="K61" i="3"/>
  <c r="J61" i="3"/>
  <c r="O7" i="14" s="1"/>
  <c r="I61" i="3"/>
  <c r="H61" i="3"/>
  <c r="M7" i="14" s="1"/>
  <c r="G61" i="3"/>
  <c r="L7" i="14" s="1"/>
  <c r="F61" i="3"/>
  <c r="K7" i="14" s="1"/>
  <c r="E61" i="3"/>
  <c r="J7" i="14" s="1"/>
  <c r="D61" i="3"/>
  <c r="I7" i="14" s="1"/>
  <c r="C61" i="3"/>
  <c r="H7" i="14" s="1"/>
  <c r="B61" i="3"/>
  <c r="G7" i="14" s="1"/>
  <c r="M60" i="3"/>
  <c r="L60" i="3"/>
  <c r="K60" i="3"/>
  <c r="J60" i="3"/>
  <c r="O5" i="14" s="1"/>
  <c r="I60" i="3"/>
  <c r="H60" i="3"/>
  <c r="M5" i="14" s="1"/>
  <c r="G60" i="3"/>
  <c r="L5" i="14" s="1"/>
  <c r="F60" i="3"/>
  <c r="K5" i="14" s="1"/>
  <c r="E60" i="3"/>
  <c r="J5" i="14" s="1"/>
  <c r="D60" i="3"/>
  <c r="I5" i="14" s="1"/>
  <c r="C60" i="3"/>
  <c r="H5" i="14" s="1"/>
  <c r="B60" i="3"/>
  <c r="G5" i="14" s="1"/>
  <c r="N290" i="16"/>
  <c r="O289" i="16"/>
  <c r="N289" i="16"/>
  <c r="N288" i="16"/>
  <c r="O287" i="16"/>
  <c r="N287" i="16"/>
  <c r="N286" i="16"/>
  <c r="O285" i="16"/>
  <c r="N285" i="16"/>
  <c r="N284" i="16"/>
  <c r="O283" i="16"/>
  <c r="N283" i="16"/>
  <c r="N282" i="16"/>
  <c r="O281" i="16"/>
  <c r="N281" i="16"/>
  <c r="N280" i="16"/>
  <c r="O279" i="16"/>
  <c r="N279" i="16"/>
  <c r="H12" i="14"/>
  <c r="N276" i="16"/>
  <c r="O275" i="16"/>
  <c r="N275" i="16"/>
  <c r="N271" i="16"/>
  <c r="O270" i="16"/>
  <c r="N270" i="16"/>
  <c r="O268" i="16"/>
  <c r="N268" i="16"/>
  <c r="N267" i="16"/>
  <c r="O266" i="16"/>
  <c r="N266" i="16"/>
  <c r="N265" i="16"/>
  <c r="O264" i="16"/>
  <c r="N264" i="16"/>
  <c r="N263" i="16"/>
  <c r="O262" i="16"/>
  <c r="N262" i="16"/>
  <c r="N261" i="16"/>
  <c r="O260" i="16"/>
  <c r="N260" i="16"/>
  <c r="N257" i="16"/>
  <c r="O256" i="16"/>
  <c r="N256" i="16"/>
  <c r="P74" i="5" l="1"/>
  <c r="P66" i="5"/>
  <c r="N258" i="16"/>
  <c r="N272" i="16" s="1"/>
  <c r="O277" i="16"/>
  <c r="B272" i="16"/>
  <c r="G9" i="14" s="1"/>
  <c r="B259" i="16"/>
  <c r="B291" i="16"/>
  <c r="B278" i="16"/>
  <c r="H9" i="14"/>
  <c r="P105" i="5"/>
  <c r="P101" i="5"/>
  <c r="N269" i="16"/>
  <c r="O291" i="16" l="1"/>
  <c r="G12" i="14"/>
  <c r="O272" i="16"/>
  <c r="N291" i="16"/>
  <c r="K239" i="16" l="1"/>
  <c r="F216" i="16" l="1"/>
  <c r="G216" i="16"/>
  <c r="E216" i="16" l="1"/>
  <c r="S58" i="14" l="1"/>
  <c r="S57" i="14"/>
  <c r="S56" i="14"/>
  <c r="S55" i="14"/>
  <c r="S54" i="14"/>
  <c r="S53" i="14"/>
  <c r="S52" i="14"/>
  <c r="S51" i="14"/>
  <c r="S50" i="14"/>
  <c r="S49" i="14"/>
  <c r="S48" i="14"/>
  <c r="S45" i="14"/>
  <c r="S44" i="14"/>
  <c r="S43" i="14"/>
  <c r="S34" i="14"/>
  <c r="S33" i="14"/>
  <c r="S32" i="14"/>
  <c r="S30" i="14"/>
  <c r="S29" i="14"/>
  <c r="S26" i="14"/>
  <c r="S23" i="14"/>
  <c r="S21" i="14"/>
  <c r="S20" i="14"/>
  <c r="S19" i="14"/>
  <c r="S18" i="14"/>
  <c r="S17" i="14"/>
  <c r="S16" i="14"/>
  <c r="S14" i="14"/>
  <c r="S11" i="14"/>
  <c r="S3" i="14"/>
  <c r="G46" i="14" l="1"/>
  <c r="S46" i="14" l="1"/>
  <c r="C235" i="16"/>
  <c r="D235" i="16"/>
  <c r="C236" i="16" l="1"/>
  <c r="C278" i="16" s="1"/>
  <c r="N278" i="16" s="1"/>
  <c r="C217" i="16"/>
  <c r="C259" i="16" s="1"/>
  <c r="N259" i="16" s="1"/>
  <c r="S40" i="14" l="1"/>
  <c r="B249" i="16" l="1"/>
  <c r="B247" i="16"/>
  <c r="B245" i="16"/>
  <c r="B243" i="16"/>
  <c r="B241" i="16"/>
  <c r="B239" i="16"/>
  <c r="B237" i="16"/>
  <c r="B235" i="16"/>
  <c r="B230" i="16"/>
  <c r="B228" i="16"/>
  <c r="B226" i="16"/>
  <c r="B224" i="16"/>
  <c r="B222" i="16"/>
  <c r="B218" i="16"/>
  <c r="B216" i="16"/>
  <c r="T48" i="14"/>
  <c r="S36" i="14" l="1"/>
  <c r="S35" i="14" l="1"/>
  <c r="G37" i="14"/>
  <c r="S39" i="14"/>
  <c r="G41" i="14"/>
  <c r="S6" i="14"/>
  <c r="S4" i="14"/>
  <c r="S12" i="14"/>
  <c r="S9" i="14"/>
  <c r="S41" i="14" l="1"/>
  <c r="S37" i="14"/>
  <c r="B50" i="3"/>
  <c r="B56" i="3"/>
  <c r="B55" i="3"/>
  <c r="E46" i="14"/>
  <c r="D97" i="5" l="1"/>
  <c r="O97" i="5"/>
  <c r="O106" i="5" s="1"/>
  <c r="N97" i="5"/>
  <c r="N106" i="5" s="1"/>
  <c r="M97" i="5"/>
  <c r="M106" i="5" s="1"/>
  <c r="L97" i="5"/>
  <c r="L106" i="5" s="1"/>
  <c r="K97" i="5"/>
  <c r="K106" i="5" s="1"/>
  <c r="J97" i="5"/>
  <c r="J106" i="5" s="1"/>
  <c r="M42" i="14" s="1"/>
  <c r="I97" i="5"/>
  <c r="I106" i="5" s="1"/>
  <c r="L42" i="14" s="1"/>
  <c r="H97" i="5"/>
  <c r="H106" i="5" s="1"/>
  <c r="K42" i="14" s="1"/>
  <c r="G97" i="5"/>
  <c r="G106" i="5" s="1"/>
  <c r="J42" i="14" s="1"/>
  <c r="F97" i="5"/>
  <c r="F106" i="5" s="1"/>
  <c r="I42" i="14" s="1"/>
  <c r="E97" i="5"/>
  <c r="E106" i="5" s="1"/>
  <c r="H42" i="14" s="1"/>
  <c r="O93" i="5"/>
  <c r="O102" i="5" s="1"/>
  <c r="N93" i="5"/>
  <c r="N102" i="5" s="1"/>
  <c r="M93" i="5"/>
  <c r="M102" i="5" s="1"/>
  <c r="L93" i="5"/>
  <c r="L102" i="5" s="1"/>
  <c r="K93" i="5"/>
  <c r="K102" i="5" s="1"/>
  <c r="J93" i="5"/>
  <c r="J102" i="5" s="1"/>
  <c r="I93" i="5"/>
  <c r="I102" i="5" s="1"/>
  <c r="L38" i="14" s="1"/>
  <c r="H93" i="5"/>
  <c r="H102" i="5" s="1"/>
  <c r="K38" i="14" s="1"/>
  <c r="G93" i="5"/>
  <c r="G102" i="5" s="1"/>
  <c r="J38" i="14" s="1"/>
  <c r="F93" i="5"/>
  <c r="F102" i="5" s="1"/>
  <c r="I38" i="14" s="1"/>
  <c r="E93" i="5"/>
  <c r="E102" i="5" s="1"/>
  <c r="H38" i="14" s="1"/>
  <c r="D93" i="5"/>
  <c r="M56" i="3"/>
  <c r="L56" i="3"/>
  <c r="K56" i="3"/>
  <c r="J56" i="3"/>
  <c r="I56" i="3"/>
  <c r="H56" i="3"/>
  <c r="G56" i="3"/>
  <c r="F56" i="3"/>
  <c r="E56" i="3"/>
  <c r="D56" i="3"/>
  <c r="C56" i="3"/>
  <c r="M55" i="3"/>
  <c r="L55" i="3"/>
  <c r="K55" i="3"/>
  <c r="J55" i="3"/>
  <c r="I55" i="3"/>
  <c r="H55" i="3"/>
  <c r="G55" i="3"/>
  <c r="F55" i="3"/>
  <c r="E55" i="3"/>
  <c r="D55" i="3"/>
  <c r="C55" i="3"/>
  <c r="B250" i="16"/>
  <c r="B292" i="16" s="1"/>
  <c r="B231" i="16"/>
  <c r="B273" i="16" s="1"/>
  <c r="M250" i="16"/>
  <c r="L250" i="16"/>
  <c r="K250" i="16"/>
  <c r="J250" i="16"/>
  <c r="I250" i="16"/>
  <c r="H250" i="16"/>
  <c r="G250" i="16"/>
  <c r="F250" i="16"/>
  <c r="F292" i="16" s="1"/>
  <c r="K13" i="14" s="1"/>
  <c r="E250" i="16"/>
  <c r="E292" i="16" s="1"/>
  <c r="J13" i="14" s="1"/>
  <c r="D250" i="16"/>
  <c r="D292" i="16" s="1"/>
  <c r="I13" i="14" s="1"/>
  <c r="C250" i="16"/>
  <c r="C292" i="16" s="1"/>
  <c r="H13" i="14" s="1"/>
  <c r="M249" i="16"/>
  <c r="L249" i="16"/>
  <c r="K249" i="16"/>
  <c r="J249" i="16"/>
  <c r="I249" i="16"/>
  <c r="H249" i="16"/>
  <c r="G249" i="16"/>
  <c r="F249" i="16"/>
  <c r="E249" i="16"/>
  <c r="D249" i="16"/>
  <c r="C249" i="16"/>
  <c r="O248" i="16"/>
  <c r="N248" i="16"/>
  <c r="M247" i="16"/>
  <c r="L247" i="16"/>
  <c r="K247" i="16"/>
  <c r="J247" i="16"/>
  <c r="I247" i="16"/>
  <c r="H247" i="16"/>
  <c r="G247" i="16"/>
  <c r="F247" i="16"/>
  <c r="E247" i="16"/>
  <c r="D247" i="16"/>
  <c r="C247" i="16"/>
  <c r="O246" i="16"/>
  <c r="N246" i="16"/>
  <c r="M245" i="16"/>
  <c r="L245" i="16"/>
  <c r="K245" i="16"/>
  <c r="J245" i="16"/>
  <c r="I245" i="16"/>
  <c r="H245" i="16"/>
  <c r="G245" i="16"/>
  <c r="F245" i="16"/>
  <c r="E245" i="16"/>
  <c r="D245" i="16"/>
  <c r="C245" i="16"/>
  <c r="O244" i="16"/>
  <c r="N244" i="16"/>
  <c r="M243" i="16"/>
  <c r="L243" i="16"/>
  <c r="K243" i="16"/>
  <c r="J243" i="16"/>
  <c r="I243" i="16"/>
  <c r="H243" i="16"/>
  <c r="G243" i="16"/>
  <c r="F243" i="16"/>
  <c r="E243" i="16"/>
  <c r="D243" i="16"/>
  <c r="C243" i="16"/>
  <c r="O242" i="16"/>
  <c r="N242" i="16"/>
  <c r="M241" i="16"/>
  <c r="L241" i="16"/>
  <c r="K241" i="16"/>
  <c r="J241" i="16"/>
  <c r="I241" i="16"/>
  <c r="H241" i="16"/>
  <c r="G241" i="16"/>
  <c r="F241" i="16"/>
  <c r="E241" i="16"/>
  <c r="D241" i="16"/>
  <c r="C241" i="16"/>
  <c r="O240" i="16"/>
  <c r="N240" i="16"/>
  <c r="M239" i="16"/>
  <c r="L239" i="16"/>
  <c r="J239" i="16"/>
  <c r="I239" i="16"/>
  <c r="H239" i="16"/>
  <c r="G239" i="16"/>
  <c r="F239" i="16"/>
  <c r="E239" i="16"/>
  <c r="D239" i="16"/>
  <c r="C239" i="16"/>
  <c r="O238" i="16"/>
  <c r="N238" i="16"/>
  <c r="M237" i="16"/>
  <c r="L237" i="16"/>
  <c r="K237" i="16"/>
  <c r="J237" i="16"/>
  <c r="I237" i="16"/>
  <c r="H237" i="16"/>
  <c r="G237" i="16"/>
  <c r="F237" i="16"/>
  <c r="E237" i="16"/>
  <c r="D237" i="16"/>
  <c r="C237" i="16"/>
  <c r="O236" i="16"/>
  <c r="N236" i="16"/>
  <c r="M235" i="16"/>
  <c r="L235" i="16"/>
  <c r="K235" i="16"/>
  <c r="J235" i="16"/>
  <c r="I235" i="16"/>
  <c r="H235" i="16"/>
  <c r="G235" i="16"/>
  <c r="F235" i="16"/>
  <c r="E235" i="16"/>
  <c r="O234" i="16"/>
  <c r="N234" i="16"/>
  <c r="M231" i="16"/>
  <c r="L231" i="16"/>
  <c r="K231" i="16"/>
  <c r="J231" i="16"/>
  <c r="I231" i="16"/>
  <c r="H231" i="16"/>
  <c r="G231" i="16"/>
  <c r="F231" i="16"/>
  <c r="F273" i="16" s="1"/>
  <c r="K10" i="14" s="1"/>
  <c r="E231" i="16"/>
  <c r="E273" i="16" s="1"/>
  <c r="J10" i="14" s="1"/>
  <c r="D231" i="16"/>
  <c r="D273" i="16" s="1"/>
  <c r="I10" i="14" s="1"/>
  <c r="C231" i="16"/>
  <c r="C273" i="16" s="1"/>
  <c r="H10" i="14" s="1"/>
  <c r="M230" i="16"/>
  <c r="L230" i="16"/>
  <c r="K230" i="16"/>
  <c r="J230" i="16"/>
  <c r="I230" i="16"/>
  <c r="H230" i="16"/>
  <c r="G230" i="16"/>
  <c r="F230" i="16"/>
  <c r="E230" i="16"/>
  <c r="D230" i="16"/>
  <c r="C230" i="16"/>
  <c r="O229" i="16"/>
  <c r="N229" i="16"/>
  <c r="M228" i="16"/>
  <c r="L228" i="16"/>
  <c r="K228" i="16"/>
  <c r="J228" i="16"/>
  <c r="I228" i="16"/>
  <c r="H228" i="16"/>
  <c r="G228" i="16"/>
  <c r="F228" i="16"/>
  <c r="E228" i="16"/>
  <c r="D228" i="16"/>
  <c r="C228" i="16"/>
  <c r="O227" i="16"/>
  <c r="N227" i="16"/>
  <c r="M226" i="16"/>
  <c r="L226" i="16"/>
  <c r="K226" i="16"/>
  <c r="J226" i="16"/>
  <c r="I226" i="16"/>
  <c r="H226" i="16"/>
  <c r="G226" i="16"/>
  <c r="F226" i="16"/>
  <c r="E226" i="16"/>
  <c r="D226" i="16"/>
  <c r="C226" i="16"/>
  <c r="O225" i="16"/>
  <c r="N225" i="16"/>
  <c r="M224" i="16"/>
  <c r="L224" i="16"/>
  <c r="K224" i="16"/>
  <c r="J224" i="16"/>
  <c r="I224" i="16"/>
  <c r="H224" i="16"/>
  <c r="G224" i="16"/>
  <c r="F224" i="16"/>
  <c r="E224" i="16"/>
  <c r="D224" i="16"/>
  <c r="C224" i="16"/>
  <c r="O223" i="16"/>
  <c r="N223" i="16"/>
  <c r="M222" i="16"/>
  <c r="L222" i="16"/>
  <c r="K222" i="16"/>
  <c r="J222" i="16"/>
  <c r="I222" i="16"/>
  <c r="H222" i="16"/>
  <c r="G222" i="16"/>
  <c r="F222" i="16"/>
  <c r="E222" i="16"/>
  <c r="D222" i="16"/>
  <c r="C222" i="16"/>
  <c r="O221" i="16"/>
  <c r="N221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O219" i="16"/>
  <c r="N219" i="16"/>
  <c r="M218" i="16"/>
  <c r="L218" i="16"/>
  <c r="K218" i="16"/>
  <c r="J218" i="16"/>
  <c r="I218" i="16"/>
  <c r="H218" i="16"/>
  <c r="G218" i="16"/>
  <c r="F218" i="16"/>
  <c r="E218" i="16"/>
  <c r="D218" i="16"/>
  <c r="C218" i="16"/>
  <c r="O217" i="16"/>
  <c r="N217" i="16"/>
  <c r="M216" i="16"/>
  <c r="L216" i="16"/>
  <c r="K216" i="16"/>
  <c r="J216" i="16"/>
  <c r="I216" i="16"/>
  <c r="H216" i="16"/>
  <c r="D216" i="16"/>
  <c r="C216" i="16"/>
  <c r="O215" i="16"/>
  <c r="N215" i="16"/>
  <c r="G10" i="14" l="1"/>
  <c r="S10" i="14" s="1"/>
  <c r="N273" i="16"/>
  <c r="P93" i="5"/>
  <c r="D102" i="5"/>
  <c r="G38" i="14" s="1"/>
  <c r="G13" i="14"/>
  <c r="S13" i="14" s="1"/>
  <c r="N292" i="16"/>
  <c r="P97" i="5"/>
  <c r="D106" i="5"/>
  <c r="G42" i="14" s="1"/>
  <c r="S5" i="14"/>
  <c r="S7" i="14"/>
  <c r="N247" i="16"/>
  <c r="N243" i="16"/>
  <c r="N228" i="16"/>
  <c r="N239" i="16"/>
  <c r="N249" i="16"/>
  <c r="N245" i="16"/>
  <c r="N241" i="16"/>
  <c r="N237" i="16"/>
  <c r="N235" i="16"/>
  <c r="N230" i="16"/>
  <c r="N226" i="16"/>
  <c r="N224" i="16"/>
  <c r="N222" i="16"/>
  <c r="N231" i="16"/>
  <c r="N218" i="16"/>
  <c r="N220" i="16"/>
  <c r="N216" i="16"/>
  <c r="O231" i="16"/>
  <c r="O250" i="16"/>
  <c r="N250" i="16"/>
  <c r="P106" i="5" l="1"/>
  <c r="P102" i="5"/>
  <c r="L50" i="3"/>
  <c r="K50" i="3" l="1"/>
  <c r="N207" i="16" l="1"/>
  <c r="N176" i="16" l="1"/>
  <c r="N174" i="16"/>
  <c r="O174" i="16" l="1"/>
  <c r="N188" i="16" l="1"/>
  <c r="N186" i="16"/>
  <c r="N184" i="16"/>
  <c r="N182" i="16"/>
  <c r="N180" i="16"/>
  <c r="N178" i="16"/>
  <c r="N190" i="16" l="1"/>
  <c r="T30" i="14" l="1"/>
  <c r="T29" i="14"/>
  <c r="T26" i="14"/>
  <c r="T23" i="14"/>
  <c r="F31" i="14" l="1"/>
  <c r="F26" i="17" l="1"/>
  <c r="K22" i="14" s="1"/>
  <c r="F18" i="17"/>
  <c r="K15" i="14" s="1"/>
  <c r="F7" i="17"/>
  <c r="K8" i="14" s="1"/>
  <c r="F28" i="17" l="1"/>
  <c r="F175" i="16"/>
  <c r="D7" i="17" l="1"/>
  <c r="I8" i="14" s="1"/>
  <c r="E26" i="17" l="1"/>
  <c r="J22" i="14" s="1"/>
  <c r="G26" i="17"/>
  <c r="L22" i="14" s="1"/>
  <c r="H26" i="17"/>
  <c r="M22" i="14" s="1"/>
  <c r="I26" i="17"/>
  <c r="N22" i="14" s="1"/>
  <c r="J26" i="17"/>
  <c r="O22" i="14" s="1"/>
  <c r="K26" i="17"/>
  <c r="L26" i="17"/>
  <c r="M26" i="17"/>
  <c r="B26" i="17"/>
  <c r="G22" i="14" s="1"/>
  <c r="C26" i="17"/>
  <c r="H22" i="14" s="1"/>
  <c r="D26" i="17"/>
  <c r="I22" i="14" s="1"/>
  <c r="E18" i="17"/>
  <c r="J15" i="14" s="1"/>
  <c r="G18" i="17"/>
  <c r="L15" i="14" s="1"/>
  <c r="H18" i="17"/>
  <c r="M15" i="14" s="1"/>
  <c r="I18" i="17"/>
  <c r="N15" i="14" s="1"/>
  <c r="J18" i="17"/>
  <c r="O15" i="14" s="1"/>
  <c r="K18" i="17"/>
  <c r="L18" i="17"/>
  <c r="M18" i="17"/>
  <c r="B18" i="17"/>
  <c r="G15" i="14" s="1"/>
  <c r="C18" i="17"/>
  <c r="H15" i="14" s="1"/>
  <c r="D18" i="17"/>
  <c r="I15" i="14" s="1"/>
  <c r="E7" i="17"/>
  <c r="J8" i="14" s="1"/>
  <c r="G7" i="17"/>
  <c r="L8" i="14" s="1"/>
  <c r="H7" i="17"/>
  <c r="M8" i="14" s="1"/>
  <c r="I7" i="17"/>
  <c r="N8" i="14" s="1"/>
  <c r="J7" i="17"/>
  <c r="O8" i="14" s="1"/>
  <c r="K7" i="17"/>
  <c r="L7" i="17"/>
  <c r="M7" i="17"/>
  <c r="B7" i="17"/>
  <c r="G8" i="14" s="1"/>
  <c r="C7" i="17"/>
  <c r="H8" i="14" s="1"/>
  <c r="O193" i="16"/>
  <c r="N195" i="16"/>
  <c r="C198" i="16"/>
  <c r="C181" i="16"/>
  <c r="S8" i="14" l="1"/>
  <c r="S22" i="14"/>
  <c r="S15" i="14"/>
  <c r="J28" i="17"/>
  <c r="K28" i="17"/>
  <c r="M28" i="17"/>
  <c r="L28" i="17"/>
  <c r="G28" i="17"/>
  <c r="C28" i="17"/>
  <c r="B28" i="17"/>
  <c r="D28" i="17"/>
  <c r="E28" i="17"/>
  <c r="C51" i="3"/>
  <c r="C50" i="3"/>
  <c r="T58" i="14" l="1"/>
  <c r="E89" i="5" l="1"/>
  <c r="F89" i="5"/>
  <c r="F98" i="5" s="1"/>
  <c r="G89" i="5"/>
  <c r="G98" i="5" s="1"/>
  <c r="H89" i="5"/>
  <c r="H98" i="5" s="1"/>
  <c r="I89" i="5"/>
  <c r="J89" i="5"/>
  <c r="K89" i="5"/>
  <c r="L89" i="5"/>
  <c r="M89" i="5"/>
  <c r="N89" i="5"/>
  <c r="O89" i="5"/>
  <c r="D89" i="5"/>
  <c r="E85" i="5"/>
  <c r="F85" i="5"/>
  <c r="G85" i="5"/>
  <c r="H85" i="5"/>
  <c r="I85" i="5"/>
  <c r="I94" i="5" s="1"/>
  <c r="J85" i="5"/>
  <c r="J94" i="5" s="1"/>
  <c r="K85" i="5"/>
  <c r="K94" i="5" s="1"/>
  <c r="L85" i="5"/>
  <c r="M85" i="5"/>
  <c r="N85" i="5"/>
  <c r="O85" i="5"/>
  <c r="O94" i="5" s="1"/>
  <c r="D85" i="5"/>
  <c r="M50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K51" i="3"/>
  <c r="L51" i="3"/>
  <c r="B51" i="3"/>
  <c r="M51" i="3"/>
  <c r="B208" i="16"/>
  <c r="B206" i="16"/>
  <c r="B204" i="16"/>
  <c r="B202" i="16"/>
  <c r="B200" i="16"/>
  <c r="B198" i="16"/>
  <c r="B196" i="16"/>
  <c r="B194" i="16"/>
  <c r="B189" i="16"/>
  <c r="B187" i="16"/>
  <c r="B185" i="16"/>
  <c r="B183" i="16"/>
  <c r="B181" i="16"/>
  <c r="B179" i="16"/>
  <c r="B177" i="16"/>
  <c r="B175" i="16"/>
  <c r="B168" i="16"/>
  <c r="B190" i="16"/>
  <c r="M209" i="16"/>
  <c r="M251" i="16" s="1"/>
  <c r="L209" i="16"/>
  <c r="L251" i="16" s="1"/>
  <c r="K209" i="16"/>
  <c r="K251" i="16" s="1"/>
  <c r="J209" i="16"/>
  <c r="J251" i="16" s="1"/>
  <c r="I209" i="16"/>
  <c r="I251" i="16" s="1"/>
  <c r="H209" i="16"/>
  <c r="H251" i="16" s="1"/>
  <c r="G209" i="16"/>
  <c r="G251" i="16" s="1"/>
  <c r="F209" i="16"/>
  <c r="F251" i="16" s="1"/>
  <c r="E209" i="16"/>
  <c r="E251" i="16" s="1"/>
  <c r="D209" i="16"/>
  <c r="D251" i="16" s="1"/>
  <c r="C209" i="16"/>
  <c r="C251" i="16" s="1"/>
  <c r="B209" i="16"/>
  <c r="B251" i="16" s="1"/>
  <c r="M208" i="16"/>
  <c r="L208" i="16"/>
  <c r="K208" i="16"/>
  <c r="J208" i="16"/>
  <c r="I208" i="16"/>
  <c r="H208" i="16"/>
  <c r="G208" i="16"/>
  <c r="F208" i="16"/>
  <c r="E208" i="16"/>
  <c r="D208" i="16"/>
  <c r="C208" i="16"/>
  <c r="O207" i="16"/>
  <c r="M206" i="16"/>
  <c r="L206" i="16"/>
  <c r="K206" i="16"/>
  <c r="J206" i="16"/>
  <c r="I206" i="16"/>
  <c r="H206" i="16"/>
  <c r="G206" i="16"/>
  <c r="F206" i="16"/>
  <c r="E206" i="16"/>
  <c r="D206" i="16"/>
  <c r="C206" i="16"/>
  <c r="O205" i="16"/>
  <c r="N205" i="16"/>
  <c r="M204" i="16"/>
  <c r="L204" i="16"/>
  <c r="K204" i="16"/>
  <c r="J204" i="16"/>
  <c r="I204" i="16"/>
  <c r="H204" i="16"/>
  <c r="G204" i="16"/>
  <c r="F204" i="16"/>
  <c r="E204" i="16"/>
  <c r="D204" i="16"/>
  <c r="C204" i="16"/>
  <c r="O203" i="16"/>
  <c r="N203" i="16"/>
  <c r="M202" i="16"/>
  <c r="L202" i="16"/>
  <c r="K202" i="16"/>
  <c r="J202" i="16"/>
  <c r="I202" i="16"/>
  <c r="H202" i="16"/>
  <c r="G202" i="16"/>
  <c r="F202" i="16"/>
  <c r="E202" i="16"/>
  <c r="D202" i="16"/>
  <c r="C202" i="16"/>
  <c r="O201" i="16"/>
  <c r="N201" i="16"/>
  <c r="M200" i="16"/>
  <c r="L200" i="16"/>
  <c r="K200" i="16"/>
  <c r="J200" i="16"/>
  <c r="I200" i="16"/>
  <c r="H200" i="16"/>
  <c r="G200" i="16"/>
  <c r="F200" i="16"/>
  <c r="E200" i="16"/>
  <c r="D200" i="16"/>
  <c r="C200" i="16"/>
  <c r="O199" i="16"/>
  <c r="N199" i="16"/>
  <c r="M198" i="16"/>
  <c r="L198" i="16"/>
  <c r="K198" i="16"/>
  <c r="J198" i="16"/>
  <c r="I198" i="16"/>
  <c r="H198" i="16"/>
  <c r="G198" i="16"/>
  <c r="F198" i="16"/>
  <c r="E198" i="16"/>
  <c r="D198" i="16"/>
  <c r="O197" i="16"/>
  <c r="N197" i="16"/>
  <c r="M196" i="16"/>
  <c r="L196" i="16"/>
  <c r="K196" i="16"/>
  <c r="J196" i="16"/>
  <c r="I196" i="16"/>
  <c r="H196" i="16"/>
  <c r="G196" i="16"/>
  <c r="F196" i="16"/>
  <c r="E196" i="16"/>
  <c r="D196" i="16"/>
  <c r="C196" i="16"/>
  <c r="O195" i="16"/>
  <c r="M194" i="16"/>
  <c r="L194" i="16"/>
  <c r="K194" i="16"/>
  <c r="J194" i="16"/>
  <c r="I194" i="16"/>
  <c r="H194" i="16"/>
  <c r="G194" i="16"/>
  <c r="F194" i="16"/>
  <c r="E194" i="16"/>
  <c r="D194" i="16"/>
  <c r="C194" i="16"/>
  <c r="N193" i="16"/>
  <c r="M190" i="16"/>
  <c r="M232" i="16" s="1"/>
  <c r="L190" i="16"/>
  <c r="L232" i="16" s="1"/>
  <c r="K190" i="16"/>
  <c r="K232" i="16" s="1"/>
  <c r="J190" i="16"/>
  <c r="J232" i="16" s="1"/>
  <c r="I190" i="16"/>
  <c r="I232" i="16" s="1"/>
  <c r="H190" i="16"/>
  <c r="H232" i="16" s="1"/>
  <c r="G190" i="16"/>
  <c r="G232" i="16" s="1"/>
  <c r="F190" i="16"/>
  <c r="F232" i="16" s="1"/>
  <c r="E190" i="16"/>
  <c r="E232" i="16" s="1"/>
  <c r="D190" i="16"/>
  <c r="D232" i="16" s="1"/>
  <c r="C190" i="16"/>
  <c r="C232" i="16" s="1"/>
  <c r="M189" i="16"/>
  <c r="L189" i="16"/>
  <c r="K189" i="16"/>
  <c r="J189" i="16"/>
  <c r="I189" i="16"/>
  <c r="H189" i="16"/>
  <c r="G189" i="16"/>
  <c r="F189" i="16"/>
  <c r="E189" i="16"/>
  <c r="D189" i="16"/>
  <c r="C189" i="16"/>
  <c r="O188" i="16"/>
  <c r="M187" i="16"/>
  <c r="L187" i="16"/>
  <c r="K187" i="16"/>
  <c r="J187" i="16"/>
  <c r="I187" i="16"/>
  <c r="H187" i="16"/>
  <c r="G187" i="16"/>
  <c r="F187" i="16"/>
  <c r="E187" i="16"/>
  <c r="D187" i="16"/>
  <c r="C187" i="16"/>
  <c r="O186" i="16"/>
  <c r="M185" i="16"/>
  <c r="L185" i="16"/>
  <c r="K185" i="16"/>
  <c r="J185" i="16"/>
  <c r="I185" i="16"/>
  <c r="H185" i="16"/>
  <c r="G185" i="16"/>
  <c r="F185" i="16"/>
  <c r="E185" i="16"/>
  <c r="D185" i="16"/>
  <c r="C185" i="16"/>
  <c r="O184" i="16"/>
  <c r="M183" i="16"/>
  <c r="L183" i="16"/>
  <c r="K183" i="16"/>
  <c r="J183" i="16"/>
  <c r="I183" i="16"/>
  <c r="H183" i="16"/>
  <c r="G183" i="16"/>
  <c r="F183" i="16"/>
  <c r="E183" i="16"/>
  <c r="D183" i="16"/>
  <c r="C183" i="16"/>
  <c r="O182" i="16"/>
  <c r="M181" i="16"/>
  <c r="L181" i="16"/>
  <c r="K181" i="16"/>
  <c r="J181" i="16"/>
  <c r="I181" i="16"/>
  <c r="H181" i="16"/>
  <c r="G181" i="16"/>
  <c r="F181" i="16"/>
  <c r="E181" i="16"/>
  <c r="D181" i="16"/>
  <c r="O180" i="16"/>
  <c r="M179" i="16"/>
  <c r="L179" i="16"/>
  <c r="K179" i="16"/>
  <c r="J179" i="16"/>
  <c r="I179" i="16"/>
  <c r="H179" i="16"/>
  <c r="G179" i="16"/>
  <c r="F179" i="16"/>
  <c r="E179" i="16"/>
  <c r="D179" i="16"/>
  <c r="C179" i="16"/>
  <c r="O178" i="16"/>
  <c r="M177" i="16"/>
  <c r="L177" i="16"/>
  <c r="K177" i="16"/>
  <c r="J177" i="16"/>
  <c r="I177" i="16"/>
  <c r="H177" i="16"/>
  <c r="G177" i="16"/>
  <c r="F177" i="16"/>
  <c r="E177" i="16"/>
  <c r="D177" i="16"/>
  <c r="C177" i="16"/>
  <c r="O176" i="16"/>
  <c r="M175" i="16"/>
  <c r="L175" i="16"/>
  <c r="K175" i="16"/>
  <c r="J175" i="16"/>
  <c r="I175" i="16"/>
  <c r="H175" i="16"/>
  <c r="G175" i="16"/>
  <c r="E175" i="16"/>
  <c r="D175" i="16"/>
  <c r="C175" i="16"/>
  <c r="T57" i="14"/>
  <c r="G90" i="5" l="1"/>
  <c r="D94" i="5"/>
  <c r="P85" i="5"/>
  <c r="P94" i="5" s="1"/>
  <c r="D98" i="5"/>
  <c r="P89" i="5"/>
  <c r="H90" i="5"/>
  <c r="I86" i="5"/>
  <c r="F90" i="5"/>
  <c r="N206" i="16"/>
  <c r="H94" i="5"/>
  <c r="D90" i="5"/>
  <c r="O98" i="5"/>
  <c r="N183" i="16"/>
  <c r="N98" i="5"/>
  <c r="K98" i="5"/>
  <c r="G94" i="5"/>
  <c r="G86" i="5"/>
  <c r="N177" i="16"/>
  <c r="N175" i="16"/>
  <c r="D86" i="5"/>
  <c r="N181" i="16"/>
  <c r="N94" i="5"/>
  <c r="I90" i="5"/>
  <c r="I98" i="5"/>
  <c r="N179" i="16"/>
  <c r="F94" i="5"/>
  <c r="F86" i="5"/>
  <c r="M98" i="5"/>
  <c r="L98" i="5"/>
  <c r="N189" i="16"/>
  <c r="J90" i="5"/>
  <c r="J98" i="5"/>
  <c r="B232" i="16"/>
  <c r="N232" i="16" s="1"/>
  <c r="M94" i="5"/>
  <c r="L94" i="5"/>
  <c r="N187" i="16"/>
  <c r="E86" i="5"/>
  <c r="E94" i="5"/>
  <c r="N251" i="16"/>
  <c r="E90" i="5"/>
  <c r="E98" i="5"/>
  <c r="N209" i="16"/>
  <c r="O209" i="16"/>
  <c r="N185" i="16"/>
  <c r="N202" i="16"/>
  <c r="O190" i="16"/>
  <c r="N198" i="16"/>
  <c r="N200" i="16"/>
  <c r="N204" i="16"/>
  <c r="N208" i="16"/>
  <c r="N194" i="16"/>
  <c r="N196" i="16"/>
  <c r="T50" i="14"/>
  <c r="T51" i="14"/>
  <c r="M135" i="16"/>
  <c r="M154" i="16"/>
  <c r="P98" i="5" l="1"/>
  <c r="S42" i="14"/>
  <c r="S38" i="14"/>
  <c r="M150" i="16"/>
  <c r="M191" i="16" s="1"/>
  <c r="M169" i="16"/>
  <c r="M210" i="16" s="1"/>
  <c r="M166" i="16"/>
  <c r="M147" i="16"/>
  <c r="M168" i="16"/>
  <c r="M149" i="16"/>
  <c r="M164" i="16"/>
  <c r="M145" i="16"/>
  <c r="M143" i="16"/>
  <c r="M162" i="16"/>
  <c r="M160" i="16"/>
  <c r="M141" i="16"/>
  <c r="M158" i="16"/>
  <c r="M139" i="16"/>
  <c r="M137" i="16"/>
  <c r="M156" i="16"/>
  <c r="L168" i="16" l="1"/>
  <c r="L166" i="16"/>
  <c r="L164" i="16"/>
  <c r="L162" i="16"/>
  <c r="L160" i="16"/>
  <c r="L158" i="16"/>
  <c r="L156" i="16"/>
  <c r="L154" i="16"/>
  <c r="L150" i="16"/>
  <c r="L191" i="16" s="1"/>
  <c r="L149" i="16"/>
  <c r="L147" i="16"/>
  <c r="L145" i="16"/>
  <c r="L143" i="16"/>
  <c r="L141" i="16"/>
  <c r="L139" i="16"/>
  <c r="L137" i="16"/>
  <c r="L135" i="16"/>
  <c r="L169" i="16"/>
  <c r="L210" i="16" s="1"/>
  <c r="T33" i="14" l="1"/>
  <c r="O167" i="16"/>
  <c r="O153" i="16"/>
  <c r="O136" i="16"/>
  <c r="O134" i="16"/>
  <c r="K169" i="16" l="1"/>
  <c r="K210" i="16" s="1"/>
  <c r="K168" i="16"/>
  <c r="K166" i="16"/>
  <c r="K164" i="16"/>
  <c r="K162" i="16"/>
  <c r="K160" i="16"/>
  <c r="K158" i="16"/>
  <c r="K156" i="16"/>
  <c r="K154" i="16"/>
  <c r="K150" i="16"/>
  <c r="K191" i="16" s="1"/>
  <c r="K149" i="16"/>
  <c r="K147" i="16"/>
  <c r="K145" i="16"/>
  <c r="K143" i="16"/>
  <c r="K141" i="16"/>
  <c r="K139" i="16"/>
  <c r="K137" i="16"/>
  <c r="K135" i="16"/>
  <c r="H77" i="5" l="1"/>
  <c r="H86" i="5" l="1"/>
  <c r="J169" i="16"/>
  <c r="J210" i="16" s="1"/>
  <c r="J168" i="16"/>
  <c r="J166" i="16"/>
  <c r="J150" i="16"/>
  <c r="J191" i="16" s="1"/>
  <c r="J149" i="16"/>
  <c r="J147" i="16"/>
  <c r="J145" i="16"/>
  <c r="J164" i="16"/>
  <c r="J162" i="16"/>
  <c r="J143" i="16"/>
  <c r="J160" i="16"/>
  <c r="J158" i="16"/>
  <c r="J141" i="16"/>
  <c r="J139" i="16"/>
  <c r="J156" i="16"/>
  <c r="J137" i="16"/>
  <c r="J154" i="16" l="1"/>
  <c r="J135" i="16"/>
  <c r="B169" i="16"/>
  <c r="B210" i="16" s="1"/>
  <c r="N168" i="16"/>
  <c r="B154" i="16"/>
  <c r="B139" i="16"/>
  <c r="B137" i="16"/>
  <c r="B135" i="16"/>
  <c r="N134" i="16"/>
  <c r="I169" i="16"/>
  <c r="I210" i="16" s="1"/>
  <c r="I168" i="16"/>
  <c r="I166" i="16"/>
  <c r="I150" i="16"/>
  <c r="I191" i="16" s="1"/>
  <c r="I149" i="16"/>
  <c r="I147" i="16"/>
  <c r="I164" i="16"/>
  <c r="I145" i="16"/>
  <c r="I143" i="16"/>
  <c r="I162" i="16"/>
  <c r="I160" i="16"/>
  <c r="I141" i="16"/>
  <c r="I156" i="16"/>
  <c r="I137" i="16"/>
  <c r="K77" i="5" l="1"/>
  <c r="K78" i="5" l="1"/>
  <c r="K86" i="5"/>
  <c r="I154" i="16"/>
  <c r="I135" i="16"/>
  <c r="I158" i="16" l="1"/>
  <c r="I139" i="16"/>
  <c r="H150" i="16" l="1"/>
  <c r="I45" i="3"/>
  <c r="L77" i="5"/>
  <c r="M77" i="5"/>
  <c r="N77" i="5"/>
  <c r="O77" i="5"/>
  <c r="L81" i="5"/>
  <c r="M81" i="5"/>
  <c r="N81" i="5"/>
  <c r="O81" i="5"/>
  <c r="K81" i="5"/>
  <c r="P81" i="5" l="1"/>
  <c r="L78" i="5"/>
  <c r="L86" i="5"/>
  <c r="K82" i="5"/>
  <c r="K90" i="5"/>
  <c r="O82" i="5"/>
  <c r="O90" i="5"/>
  <c r="N82" i="5"/>
  <c r="N90" i="5"/>
  <c r="M82" i="5"/>
  <c r="M90" i="5"/>
  <c r="L82" i="5"/>
  <c r="L90" i="5"/>
  <c r="O86" i="5"/>
  <c r="O78" i="5"/>
  <c r="N86" i="5"/>
  <c r="N78" i="5"/>
  <c r="M86" i="5"/>
  <c r="M78" i="5"/>
  <c r="H191" i="16"/>
  <c r="J82" i="5"/>
  <c r="H46" i="3"/>
  <c r="H45" i="3"/>
  <c r="P82" i="5" l="1"/>
  <c r="P90" i="5"/>
  <c r="H154" i="16"/>
  <c r="H135" i="16"/>
  <c r="J77" i="5" l="1"/>
  <c r="P77" i="5" s="1"/>
  <c r="J78" i="5" l="1"/>
  <c r="J86" i="5"/>
  <c r="P86" i="5" s="1"/>
  <c r="I129" i="16"/>
  <c r="I170" i="16" s="1"/>
  <c r="J129" i="16"/>
  <c r="J170" i="16" s="1"/>
  <c r="K129" i="16"/>
  <c r="K170" i="16" s="1"/>
  <c r="L129" i="16"/>
  <c r="L170" i="16" s="1"/>
  <c r="M129" i="16"/>
  <c r="M170" i="16" s="1"/>
  <c r="H129" i="16"/>
  <c r="H169" i="16"/>
  <c r="H149" i="16"/>
  <c r="H168" i="16"/>
  <c r="H166" i="16"/>
  <c r="H147" i="16"/>
  <c r="H145" i="16"/>
  <c r="H156" i="16"/>
  <c r="H164" i="16"/>
  <c r="H143" i="16"/>
  <c r="H162" i="16"/>
  <c r="H141" i="16"/>
  <c r="H160" i="16"/>
  <c r="H137" i="16"/>
  <c r="H170" i="16" l="1"/>
  <c r="H210" i="16"/>
  <c r="H158" i="16"/>
  <c r="H139" i="16"/>
  <c r="G139" i="16"/>
  <c r="G169" i="16" l="1"/>
  <c r="G210" i="16" s="1"/>
  <c r="F135" i="16"/>
  <c r="G135" i="16"/>
  <c r="I82" i="5" l="1"/>
  <c r="I78" i="5"/>
  <c r="G154" i="16" l="1"/>
  <c r="F149" i="16"/>
  <c r="G150" i="16"/>
  <c r="G191" i="16" s="1"/>
  <c r="G137" i="16"/>
  <c r="G156" i="16"/>
  <c r="G158" i="16"/>
  <c r="G162" i="16" l="1"/>
  <c r="G164" i="16"/>
  <c r="G166" i="16"/>
  <c r="G147" i="16"/>
  <c r="G145" i="16"/>
  <c r="G143" i="16"/>
  <c r="G168" i="16"/>
  <c r="G149" i="16"/>
  <c r="G160" i="16" l="1"/>
  <c r="G141" i="16"/>
  <c r="F150" i="16" l="1"/>
  <c r="F191" i="16" s="1"/>
  <c r="F169" i="16"/>
  <c r="F210" i="16" s="1"/>
  <c r="E169" i="16"/>
  <c r="E210" i="16" s="1"/>
  <c r="D169" i="16"/>
  <c r="D210" i="16" s="1"/>
  <c r="C169" i="16"/>
  <c r="C210" i="16" s="1"/>
  <c r="H82" i="5"/>
  <c r="H78" i="5"/>
  <c r="N210" i="16" l="1"/>
  <c r="F154" i="16" l="1"/>
  <c r="F147" i="16" l="1"/>
  <c r="F166" i="16"/>
  <c r="F164" i="16"/>
  <c r="F162" i="16"/>
  <c r="F145" i="16"/>
  <c r="F143" i="16"/>
  <c r="F168" i="16"/>
  <c r="F160" i="16"/>
  <c r="F141" i="16"/>
  <c r="F156" i="16"/>
  <c r="F137" i="16"/>
  <c r="F158" i="16" l="1"/>
  <c r="F139" i="16"/>
  <c r="G78" i="5" l="1"/>
  <c r="G82" i="5"/>
  <c r="E154" i="16" l="1"/>
  <c r="E135" i="16"/>
  <c r="E168" i="16" l="1"/>
  <c r="E166" i="16"/>
  <c r="E164" i="16"/>
  <c r="E162" i="16"/>
  <c r="E160" i="16"/>
  <c r="E150" i="16"/>
  <c r="E191" i="16" s="1"/>
  <c r="E147" i="16"/>
  <c r="E145" i="16"/>
  <c r="E143" i="16"/>
  <c r="E141" i="16"/>
  <c r="E158" i="16"/>
  <c r="E139" i="16"/>
  <c r="E149" i="16"/>
  <c r="E156" i="16"/>
  <c r="E137" i="16"/>
  <c r="N148" i="16" l="1"/>
  <c r="D158" i="16" l="1"/>
  <c r="D139" i="16"/>
  <c r="F82" i="5" l="1"/>
  <c r="F78" i="5"/>
  <c r="D154" i="16" l="1"/>
  <c r="D135" i="16"/>
  <c r="D156" i="16" l="1"/>
  <c r="D137" i="16"/>
  <c r="D150" i="16"/>
  <c r="D191" i="16" s="1"/>
  <c r="D141" i="16"/>
  <c r="D147" i="16"/>
  <c r="D160" i="16"/>
  <c r="D166" i="16"/>
  <c r="D164" i="16"/>
  <c r="D145" i="16"/>
  <c r="D162" i="16"/>
  <c r="D143" i="16"/>
  <c r="D168" i="16"/>
  <c r="D149" i="16"/>
  <c r="N155" i="16" l="1"/>
  <c r="N157" i="16"/>
  <c r="N159" i="16"/>
  <c r="N161" i="16"/>
  <c r="N163" i="16"/>
  <c r="N165" i="16"/>
  <c r="N167" i="16"/>
  <c r="E82" i="5" l="1"/>
  <c r="E78" i="5"/>
  <c r="C168" i="16" l="1"/>
  <c r="C166" i="16"/>
  <c r="T56" i="14" l="1"/>
  <c r="T55" i="14"/>
  <c r="T54" i="14"/>
  <c r="T53" i="14"/>
  <c r="T52" i="14"/>
  <c r="T34" i="14"/>
  <c r="B156" i="16" l="1"/>
  <c r="B166" i="16"/>
  <c r="N166" i="16" s="1"/>
  <c r="B149" i="16"/>
  <c r="N149" i="16" s="1"/>
  <c r="D82" i="5" l="1"/>
  <c r="D78" i="5"/>
  <c r="P78" i="5" s="1"/>
  <c r="C45" i="3" l="1"/>
  <c r="D45" i="3"/>
  <c r="E45" i="3"/>
  <c r="F45" i="3"/>
  <c r="G45" i="3"/>
  <c r="J45" i="3"/>
  <c r="K45" i="3"/>
  <c r="L45" i="3"/>
  <c r="M45" i="3"/>
  <c r="C46" i="3"/>
  <c r="D46" i="3"/>
  <c r="E46" i="3"/>
  <c r="F46" i="3"/>
  <c r="G46" i="3"/>
  <c r="I46" i="3"/>
  <c r="J46" i="3"/>
  <c r="K46" i="3"/>
  <c r="L46" i="3"/>
  <c r="M46" i="3"/>
  <c r="B46" i="3"/>
  <c r="B45" i="3"/>
  <c r="B9" i="16" l="1"/>
  <c r="C9" i="16"/>
  <c r="D9" i="16"/>
  <c r="E9" i="16"/>
  <c r="F9" i="16"/>
  <c r="G9" i="16"/>
  <c r="H9" i="16"/>
  <c r="I9" i="16"/>
  <c r="J9" i="16"/>
  <c r="K9" i="16"/>
  <c r="L9" i="16"/>
  <c r="M9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21" i="16"/>
  <c r="O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3" i="16"/>
  <c r="O23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5" i="16"/>
  <c r="O25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7" i="16"/>
  <c r="O27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9" i="16"/>
  <c r="O29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1" i="16"/>
  <c r="O31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3" i="16"/>
  <c r="O33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8" i="16"/>
  <c r="O38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40" i="16"/>
  <c r="O40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2" i="16"/>
  <c r="O42" i="16"/>
  <c r="N44" i="16"/>
  <c r="O44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6" i="16"/>
  <c r="O46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8" i="16"/>
  <c r="O48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50" i="16"/>
  <c r="O50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B52" i="16"/>
  <c r="C52" i="16"/>
  <c r="D52" i="16"/>
  <c r="E52" i="16"/>
  <c r="F52" i="16"/>
  <c r="G52" i="16"/>
  <c r="H52" i="16"/>
  <c r="I52" i="16"/>
  <c r="J52" i="16"/>
  <c r="K52" i="16"/>
  <c r="K53" i="16" s="1"/>
  <c r="L52" i="16"/>
  <c r="M52" i="16"/>
  <c r="B164" i="16"/>
  <c r="C164" i="16"/>
  <c r="C162" i="16"/>
  <c r="B162" i="16"/>
  <c r="C160" i="16"/>
  <c r="B160" i="16"/>
  <c r="C156" i="16"/>
  <c r="N156" i="16" s="1"/>
  <c r="C158" i="16"/>
  <c r="B158" i="16"/>
  <c r="C36" i="16" l="1"/>
  <c r="G53" i="16"/>
  <c r="N160" i="16"/>
  <c r="C53" i="16"/>
  <c r="N158" i="16"/>
  <c r="J36" i="16"/>
  <c r="N162" i="16"/>
  <c r="N164" i="16"/>
  <c r="D53" i="16"/>
  <c r="G36" i="16"/>
  <c r="L36" i="16"/>
  <c r="D36" i="16"/>
  <c r="H53" i="16"/>
  <c r="K36" i="16"/>
  <c r="N51" i="16"/>
  <c r="L53" i="16"/>
  <c r="N52" i="16"/>
  <c r="N35" i="16"/>
  <c r="B36" i="16"/>
  <c r="N32" i="16"/>
  <c r="N49" i="16"/>
  <c r="F53" i="16"/>
  <c r="F36" i="16"/>
  <c r="N34" i="16"/>
  <c r="N24" i="16"/>
  <c r="M53" i="16"/>
  <c r="E53" i="16"/>
  <c r="N39" i="16"/>
  <c r="M36" i="16"/>
  <c r="E36" i="16"/>
  <c r="N26" i="16"/>
  <c r="N28" i="16"/>
  <c r="N45" i="16"/>
  <c r="N41" i="16"/>
  <c r="N22" i="16"/>
  <c r="J53" i="16"/>
  <c r="B53" i="16"/>
  <c r="N30" i="16"/>
  <c r="O52" i="16"/>
  <c r="N47" i="16"/>
  <c r="I36" i="16"/>
  <c r="O35" i="16"/>
  <c r="I53" i="16"/>
  <c r="H36" i="16"/>
  <c r="C154" i="16"/>
  <c r="C149" i="16"/>
  <c r="C147" i="16"/>
  <c r="B147" i="16"/>
  <c r="C145" i="16"/>
  <c r="B145" i="16"/>
  <c r="C143" i="16"/>
  <c r="B143" i="16"/>
  <c r="C141" i="16"/>
  <c r="B141" i="16"/>
  <c r="C137" i="16"/>
  <c r="N137" i="16" s="1"/>
  <c r="C135" i="16"/>
  <c r="N135" i="16" s="1"/>
  <c r="O165" i="16"/>
  <c r="O163" i="16"/>
  <c r="O161" i="16"/>
  <c r="O159" i="16"/>
  <c r="O157" i="16"/>
  <c r="O155" i="16"/>
  <c r="N153" i="16"/>
  <c r="C150" i="16"/>
  <c r="C191" i="16" s="1"/>
  <c r="B150" i="16"/>
  <c r="O148" i="16"/>
  <c r="O146" i="16"/>
  <c r="N146" i="16"/>
  <c r="O144" i="16"/>
  <c r="N144" i="16"/>
  <c r="O142" i="16"/>
  <c r="N142" i="16"/>
  <c r="O140" i="16"/>
  <c r="N140" i="16"/>
  <c r="C139" i="16"/>
  <c r="N139" i="16" s="1"/>
  <c r="O138" i="16"/>
  <c r="N138" i="16"/>
  <c r="N136" i="16"/>
  <c r="B191" i="16" l="1"/>
  <c r="N191" i="16" s="1"/>
  <c r="N36" i="16"/>
  <c r="N53" i="16"/>
  <c r="N143" i="16"/>
  <c r="N145" i="16"/>
  <c r="N147" i="16"/>
  <c r="N154" i="16"/>
  <c r="N141" i="16"/>
  <c r="N150" i="16"/>
  <c r="N169" i="16"/>
  <c r="O169" i="16"/>
  <c r="O150" i="16"/>
  <c r="M126" i="16" l="1"/>
  <c r="M124" i="16"/>
  <c r="M122" i="16"/>
  <c r="M120" i="16"/>
  <c r="M116" i="16"/>
  <c r="M114" i="16"/>
  <c r="M97" i="16"/>
  <c r="M95" i="16"/>
  <c r="M107" i="16" l="1"/>
  <c r="M105" i="16"/>
  <c r="M103" i="16"/>
  <c r="M101" i="16"/>
  <c r="M118" i="16" l="1"/>
  <c r="M99" i="16"/>
  <c r="N74" i="5" l="1"/>
  <c r="L114" i="16" l="1"/>
  <c r="L95" i="16" l="1"/>
  <c r="L116" i="16" l="1"/>
  <c r="L97" i="16"/>
  <c r="L126" i="16" l="1"/>
  <c r="L124" i="16"/>
  <c r="L107" i="16"/>
  <c r="L105" i="16"/>
  <c r="L103" i="16"/>
  <c r="L122" i="16"/>
  <c r="L120" i="16"/>
  <c r="L101" i="16"/>
  <c r="L118" i="16" l="1"/>
  <c r="L99" i="16"/>
  <c r="N96" i="16" l="1"/>
  <c r="O94" i="16"/>
  <c r="N94" i="16" l="1"/>
  <c r="K114" i="16" l="1"/>
  <c r="K95" i="16"/>
  <c r="K124" i="16" l="1"/>
  <c r="K122" i="16"/>
  <c r="K120" i="16"/>
  <c r="K126" i="16"/>
  <c r="K107" i="16"/>
  <c r="K105" i="16"/>
  <c r="K103" i="16"/>
  <c r="K101" i="16"/>
  <c r="K116" i="16"/>
  <c r="K97" i="16"/>
  <c r="K118" i="16" l="1"/>
  <c r="K99" i="16"/>
  <c r="L70" i="5" l="1"/>
  <c r="J114" i="16" l="1"/>
  <c r="J95" i="16"/>
  <c r="J97" i="16" l="1"/>
  <c r="J126" i="16"/>
  <c r="J124" i="16"/>
  <c r="J122" i="16"/>
  <c r="J120" i="16"/>
  <c r="J116" i="16"/>
  <c r="J101" i="16"/>
  <c r="J107" i="16"/>
  <c r="J105" i="16"/>
  <c r="J103" i="16"/>
  <c r="J118" i="16" l="1"/>
  <c r="J99" i="16"/>
  <c r="N127" i="16" l="1"/>
  <c r="N125" i="16"/>
  <c r="O108" i="16"/>
  <c r="N108" i="16"/>
  <c r="O127" i="16" l="1"/>
  <c r="O125" i="16"/>
  <c r="O123" i="16"/>
  <c r="O121" i="16"/>
  <c r="O119" i="16"/>
  <c r="O117" i="16"/>
  <c r="O115" i="16"/>
  <c r="O113" i="16"/>
  <c r="O106" i="16"/>
  <c r="O100" i="16"/>
  <c r="O98" i="16"/>
  <c r="O96" i="16"/>
  <c r="I97" i="16"/>
  <c r="I114" i="16"/>
  <c r="I95" i="16"/>
  <c r="I116" i="16" l="1"/>
  <c r="I126" i="16"/>
  <c r="I124" i="16"/>
  <c r="I122" i="16"/>
  <c r="I120" i="16"/>
  <c r="I107" i="16"/>
  <c r="I105" i="16"/>
  <c r="I103" i="16"/>
  <c r="I101" i="16"/>
  <c r="B126" i="16"/>
  <c r="B129" i="16"/>
  <c r="B170" i="16" s="1"/>
  <c r="C110" i="16"/>
  <c r="C151" i="16" s="1"/>
  <c r="D110" i="16"/>
  <c r="D151" i="16" s="1"/>
  <c r="E110" i="16"/>
  <c r="E151" i="16" s="1"/>
  <c r="F110" i="16"/>
  <c r="F151" i="16" s="1"/>
  <c r="G110" i="16"/>
  <c r="G151" i="16" s="1"/>
  <c r="H110" i="16"/>
  <c r="H151" i="16" s="1"/>
  <c r="I110" i="16"/>
  <c r="I151" i="16" s="1"/>
  <c r="J110" i="16"/>
  <c r="J151" i="16" s="1"/>
  <c r="K110" i="16"/>
  <c r="K151" i="16" s="1"/>
  <c r="L110" i="16"/>
  <c r="L151" i="16" s="1"/>
  <c r="M110" i="16"/>
  <c r="M151" i="16" s="1"/>
  <c r="B110" i="16"/>
  <c r="B151" i="16" s="1"/>
  <c r="I118" i="16" l="1"/>
  <c r="I99" i="16"/>
  <c r="H114" i="16" l="1"/>
  <c r="H95" i="16"/>
  <c r="H126" i="16" l="1"/>
  <c r="H124" i="16"/>
  <c r="H122" i="16"/>
  <c r="H107" i="16"/>
  <c r="H105" i="16"/>
  <c r="H103" i="16"/>
  <c r="H120" i="16"/>
  <c r="H101" i="16"/>
  <c r="H118" i="16"/>
  <c r="H99" i="16"/>
  <c r="H116" i="16"/>
  <c r="H97" i="16"/>
  <c r="G129" i="16" l="1"/>
  <c r="G170" i="16" s="1"/>
  <c r="G126" i="16"/>
  <c r="G124" i="16"/>
  <c r="G122" i="16"/>
  <c r="G120" i="16"/>
  <c r="G107" i="16"/>
  <c r="G105" i="16"/>
  <c r="G103" i="16"/>
  <c r="G101" i="16"/>
  <c r="G114" i="16"/>
  <c r="G95" i="16"/>
  <c r="G116" i="16"/>
  <c r="G97" i="16"/>
  <c r="G118" i="16" l="1"/>
  <c r="G99" i="16"/>
  <c r="F114" i="16" l="1"/>
  <c r="F95" i="16"/>
  <c r="F129" i="16" l="1"/>
  <c r="F170" i="16" s="1"/>
  <c r="F116" i="16"/>
  <c r="F97" i="16"/>
  <c r="F118" i="16"/>
  <c r="F99" i="16"/>
  <c r="F120" i="16"/>
  <c r="F126" i="16"/>
  <c r="F124" i="16"/>
  <c r="F122" i="16"/>
  <c r="F103" i="16"/>
  <c r="F105" i="16"/>
  <c r="F107" i="16"/>
  <c r="F101" i="16"/>
  <c r="E114" i="16" l="1"/>
  <c r="E95" i="16"/>
  <c r="E116" i="16" l="1"/>
  <c r="E97" i="16"/>
  <c r="E118" i="16"/>
  <c r="E99" i="16"/>
  <c r="E129" i="16" l="1"/>
  <c r="E170" i="16" s="1"/>
  <c r="E126" i="16"/>
  <c r="E124" i="16"/>
  <c r="E122" i="16"/>
  <c r="E120" i="16"/>
  <c r="E107" i="16"/>
  <c r="E105" i="16"/>
  <c r="E103" i="16"/>
  <c r="E101" i="16"/>
  <c r="D129" i="16" l="1"/>
  <c r="D170" i="16" s="1"/>
  <c r="D114" i="16" l="1"/>
  <c r="D95" i="16"/>
  <c r="D126" i="16" l="1"/>
  <c r="D124" i="16"/>
  <c r="D122" i="16"/>
  <c r="D120" i="16"/>
  <c r="D116" i="16"/>
  <c r="D97" i="16"/>
  <c r="D101" i="16"/>
  <c r="D107" i="16"/>
  <c r="D105" i="16"/>
  <c r="D103" i="16"/>
  <c r="D118" i="16" l="1"/>
  <c r="D99" i="16"/>
  <c r="N123" i="16" l="1"/>
  <c r="N121" i="16"/>
  <c r="N119" i="16"/>
  <c r="N117" i="16"/>
  <c r="N115" i="16"/>
  <c r="N113" i="16"/>
  <c r="C120" i="16" l="1"/>
  <c r="C101" i="16"/>
  <c r="N106" i="16" l="1"/>
  <c r="N104" i="16"/>
  <c r="N102" i="16"/>
  <c r="N100" i="16"/>
  <c r="C129" i="16" l="1"/>
  <c r="C170" i="16" l="1"/>
  <c r="N170" i="16" s="1"/>
  <c r="O129" i="16"/>
  <c r="B101" i="16" l="1"/>
  <c r="B124" i="16" l="1"/>
  <c r="C122" i="16"/>
  <c r="B122" i="16"/>
  <c r="B120" i="16"/>
  <c r="B118" i="16" l="1"/>
  <c r="D70" i="5" l="1"/>
  <c r="O74" i="5"/>
  <c r="M74" i="5"/>
  <c r="L74" i="5"/>
  <c r="K74" i="5"/>
  <c r="J74" i="5"/>
  <c r="I74" i="5"/>
  <c r="H74" i="5"/>
  <c r="G74" i="5"/>
  <c r="F74" i="5"/>
  <c r="E74" i="5"/>
  <c r="D74" i="5"/>
  <c r="O70" i="5"/>
  <c r="N70" i="5"/>
  <c r="M70" i="5"/>
  <c r="K70" i="5"/>
  <c r="J70" i="5"/>
  <c r="I70" i="5"/>
  <c r="H70" i="5"/>
  <c r="G70" i="5"/>
  <c r="F70" i="5"/>
  <c r="E70" i="5"/>
  <c r="J40" i="3"/>
  <c r="I40" i="3"/>
  <c r="B41" i="3"/>
  <c r="B40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H40" i="3"/>
  <c r="G40" i="3"/>
  <c r="F40" i="3"/>
  <c r="E40" i="3"/>
  <c r="D40" i="3"/>
  <c r="C40" i="3"/>
  <c r="P70" i="5" l="1"/>
  <c r="B80" i="16"/>
  <c r="C118" i="16"/>
  <c r="C116" i="16"/>
  <c r="B116" i="16"/>
  <c r="C114" i="16"/>
  <c r="B114" i="16"/>
  <c r="N114" i="16" s="1"/>
  <c r="C107" i="16"/>
  <c r="B107" i="16"/>
  <c r="B103" i="16"/>
  <c r="N101" i="16"/>
  <c r="B99" i="16"/>
  <c r="B97" i="16"/>
  <c r="B95" i="16"/>
  <c r="N107" i="16" l="1"/>
  <c r="C126" i="16"/>
  <c r="C124" i="16"/>
  <c r="N116" i="16"/>
  <c r="C105" i="16"/>
  <c r="B105" i="16"/>
  <c r="O102" i="16"/>
  <c r="C103" i="16"/>
  <c r="N103" i="16" s="1"/>
  <c r="C99" i="16"/>
  <c r="C97" i="16"/>
  <c r="N97" i="16" s="1"/>
  <c r="C95" i="16"/>
  <c r="N95" i="16" s="1"/>
  <c r="O104" i="16"/>
  <c r="N98" i="16"/>
  <c r="N105" i="16" l="1"/>
  <c r="N110" i="16"/>
  <c r="N151" i="16" s="1"/>
  <c r="O110" i="16"/>
  <c r="N129" i="16"/>
  <c r="N99" i="16"/>
  <c r="N126" i="16"/>
  <c r="N124" i="16"/>
  <c r="M89" i="16" l="1"/>
  <c r="M130" i="16" s="1"/>
  <c r="M88" i="16"/>
  <c r="M86" i="16"/>
  <c r="M84" i="16"/>
  <c r="M82" i="16"/>
  <c r="M72" i="16"/>
  <c r="M111" i="16" s="1"/>
  <c r="M71" i="16"/>
  <c r="M69" i="16"/>
  <c r="M67" i="16"/>
  <c r="M65" i="16"/>
  <c r="M76" i="16" l="1"/>
  <c r="M59" i="16"/>
  <c r="M80" i="16" l="1"/>
  <c r="M63" i="16"/>
  <c r="M78" i="16"/>
  <c r="M61" i="16"/>
  <c r="L89" i="16" l="1"/>
  <c r="L130" i="16" s="1"/>
  <c r="L76" i="16" l="1"/>
  <c r="L78" i="16"/>
  <c r="L88" i="16"/>
  <c r="L86" i="16"/>
  <c r="L84" i="16"/>
  <c r="L82" i="16"/>
  <c r="L59" i="16"/>
  <c r="L61" i="16"/>
  <c r="L72" i="16"/>
  <c r="L111" i="16" s="1"/>
  <c r="L71" i="16"/>
  <c r="L69" i="16"/>
  <c r="L67" i="16"/>
  <c r="L65" i="16"/>
  <c r="K80" i="16" l="1"/>
  <c r="L80" i="16"/>
  <c r="L63" i="16"/>
  <c r="O77" i="16"/>
  <c r="O75" i="16"/>
  <c r="K89" i="16"/>
  <c r="K130" i="16" s="1"/>
  <c r="K76" i="16" l="1"/>
  <c r="K59" i="16"/>
  <c r="K72" i="16" l="1"/>
  <c r="K111" i="16" s="1"/>
  <c r="K88" i="16"/>
  <c r="K86" i="16"/>
  <c r="K84" i="16"/>
  <c r="K82" i="16"/>
  <c r="K65" i="16"/>
  <c r="K69" i="16"/>
  <c r="K71" i="16"/>
  <c r="K67" i="16"/>
  <c r="K78" i="16" l="1"/>
  <c r="K61" i="16"/>
  <c r="K63" i="16" l="1"/>
  <c r="J89" i="16" l="1"/>
  <c r="J130" i="16" s="1"/>
  <c r="J76" i="16"/>
  <c r="J59" i="16"/>
  <c r="J72" i="16" l="1"/>
  <c r="J111" i="16" s="1"/>
  <c r="J88" i="16"/>
  <c r="J86" i="16"/>
  <c r="J84" i="16"/>
  <c r="J82" i="16"/>
  <c r="J78" i="16" l="1"/>
  <c r="J61" i="16"/>
  <c r="J65" i="16"/>
  <c r="J71" i="16"/>
  <c r="J69" i="16"/>
  <c r="J67" i="16"/>
  <c r="J80" i="16" l="1"/>
  <c r="J63" i="16"/>
  <c r="H78" i="16"/>
  <c r="N58" i="16" l="1"/>
  <c r="O58" i="16"/>
  <c r="I89" i="16" l="1"/>
  <c r="I130" i="16" s="1"/>
  <c r="I76" i="16"/>
  <c r="I72" i="16"/>
  <c r="I111" i="16" s="1"/>
  <c r="I59" i="16"/>
  <c r="I78" i="16" l="1"/>
  <c r="I61" i="16"/>
  <c r="I88" i="16"/>
  <c r="I86" i="16"/>
  <c r="I84" i="16"/>
  <c r="I82" i="16"/>
  <c r="I65" i="16"/>
  <c r="I69" i="16"/>
  <c r="I71" i="16"/>
  <c r="I67" i="16"/>
  <c r="I80" i="16" l="1"/>
  <c r="I63" i="16"/>
  <c r="H72" i="16" l="1"/>
  <c r="H111" i="16" s="1"/>
  <c r="H89" i="16"/>
  <c r="H130" i="16" s="1"/>
  <c r="H88" i="16" l="1"/>
  <c r="H86" i="16"/>
  <c r="H84" i="16"/>
  <c r="H71" i="16"/>
  <c r="H69" i="16"/>
  <c r="H67" i="16"/>
  <c r="H82" i="16"/>
  <c r="H65" i="16"/>
  <c r="H61" i="16"/>
  <c r="H59" i="16" l="1"/>
  <c r="H76" i="16"/>
  <c r="H80" i="16" l="1"/>
  <c r="H63" i="16" l="1"/>
  <c r="G89" i="16" l="1"/>
  <c r="G130" i="16" s="1"/>
  <c r="G78" i="16"/>
  <c r="G76" i="16"/>
  <c r="G61" i="16" l="1"/>
  <c r="G59" i="16"/>
  <c r="G88" i="16" l="1"/>
  <c r="G86" i="16"/>
  <c r="G84" i="16"/>
  <c r="G72" i="16"/>
  <c r="G111" i="16" s="1"/>
  <c r="G71" i="16"/>
  <c r="G69" i="16"/>
  <c r="G67" i="16"/>
  <c r="G82" i="16"/>
  <c r="G65" i="16"/>
  <c r="G80" i="16" l="1"/>
  <c r="G63" i="16"/>
  <c r="F89" i="16" l="1"/>
  <c r="F130" i="16" s="1"/>
  <c r="F88" i="16"/>
  <c r="F86" i="16"/>
  <c r="F84" i="16"/>
  <c r="F82" i="16"/>
  <c r="F76" i="16"/>
  <c r="F59" i="16"/>
  <c r="F72" i="16"/>
  <c r="F111" i="16" s="1"/>
  <c r="F71" i="16"/>
  <c r="F69" i="16"/>
  <c r="F67" i="16"/>
  <c r="F65" i="16"/>
  <c r="F63" i="16"/>
  <c r="H66" i="5" l="1"/>
  <c r="F78" i="16" l="1"/>
  <c r="F61" i="16"/>
  <c r="F80" i="16" l="1"/>
  <c r="E76" i="16" l="1"/>
  <c r="E59" i="16"/>
  <c r="E89" i="16"/>
  <c r="E130" i="16" s="1"/>
  <c r="E88" i="16"/>
  <c r="E86" i="16"/>
  <c r="E84" i="16"/>
  <c r="E82" i="16"/>
  <c r="E72" i="16"/>
  <c r="E111" i="16" s="1"/>
  <c r="E71" i="16"/>
  <c r="E69" i="16"/>
  <c r="E67" i="16"/>
  <c r="E65" i="16"/>
  <c r="E78" i="16"/>
  <c r="E61" i="16"/>
  <c r="E80" i="16" l="1"/>
  <c r="E63" i="16"/>
  <c r="N87" i="16" l="1"/>
  <c r="N85" i="16"/>
  <c r="N83" i="16"/>
  <c r="N122" i="16" s="1"/>
  <c r="N81" i="16"/>
  <c r="N120" i="16" s="1"/>
  <c r="N79" i="16"/>
  <c r="N77" i="16"/>
  <c r="N75" i="16"/>
  <c r="N70" i="16"/>
  <c r="N68" i="16"/>
  <c r="N66" i="16"/>
  <c r="N64" i="16"/>
  <c r="N62" i="16"/>
  <c r="N60" i="16"/>
  <c r="O64" i="16" l="1"/>
  <c r="O62" i="16"/>
  <c r="O60" i="16"/>
  <c r="D59" i="16" l="1"/>
  <c r="D76" i="16"/>
  <c r="D78" i="16"/>
  <c r="D61" i="16"/>
  <c r="D89" i="16"/>
  <c r="D130" i="16" s="1"/>
  <c r="D88" i="16"/>
  <c r="D86" i="16"/>
  <c r="D84" i="16"/>
  <c r="D82" i="16"/>
  <c r="D72" i="16"/>
  <c r="D111" i="16" s="1"/>
  <c r="D71" i="16"/>
  <c r="D69" i="16"/>
  <c r="D67" i="16"/>
  <c r="D65" i="16"/>
  <c r="D80" i="16"/>
  <c r="D63" i="16"/>
  <c r="C76" i="16" l="1"/>
  <c r="C59" i="16"/>
  <c r="C89" i="16"/>
  <c r="C130" i="16" s="1"/>
  <c r="C88" i="16"/>
  <c r="N88" i="16" s="1"/>
  <c r="C86" i="16"/>
  <c r="N86" i="16" s="1"/>
  <c r="C84" i="16"/>
  <c r="N84" i="16" s="1"/>
  <c r="C82" i="16"/>
  <c r="C72" i="16"/>
  <c r="C111" i="16" s="1"/>
  <c r="C71" i="16"/>
  <c r="C69" i="16"/>
  <c r="C67" i="16"/>
  <c r="C65" i="16"/>
  <c r="N82" i="16" l="1"/>
  <c r="C78" i="16" l="1"/>
  <c r="N118" i="16" s="1"/>
  <c r="C61" i="16"/>
  <c r="C80" i="16" l="1"/>
  <c r="C63" i="16"/>
  <c r="N80" i="16" l="1"/>
  <c r="B89" i="16" l="1"/>
  <c r="B130" i="16" s="1"/>
  <c r="N130" i="16" s="1"/>
  <c r="N89" i="16" l="1"/>
  <c r="O89" i="16"/>
  <c r="B72" i="16"/>
  <c r="B111" i="16" s="1"/>
  <c r="N72" i="16" l="1"/>
  <c r="N111" i="16" s="1"/>
  <c r="B36" i="3" l="1"/>
  <c r="B35" i="3"/>
  <c r="B30" i="3"/>
  <c r="O66" i="5" l="1"/>
  <c r="N66" i="5"/>
  <c r="M66" i="5"/>
  <c r="L66" i="5"/>
  <c r="K66" i="5"/>
  <c r="J66" i="5"/>
  <c r="I66" i="5"/>
  <c r="G66" i="5"/>
  <c r="F66" i="5"/>
  <c r="E66" i="5"/>
  <c r="D66" i="5"/>
  <c r="O62" i="5"/>
  <c r="N62" i="5"/>
  <c r="M62" i="5"/>
  <c r="L62" i="5"/>
  <c r="K62" i="5"/>
  <c r="J62" i="5"/>
  <c r="I62" i="5"/>
  <c r="H62" i="5"/>
  <c r="G62" i="5"/>
  <c r="F62" i="5"/>
  <c r="E62" i="5"/>
  <c r="D62" i="5"/>
  <c r="M36" i="3"/>
  <c r="L36" i="3"/>
  <c r="K36" i="3"/>
  <c r="J36" i="3"/>
  <c r="I36" i="3"/>
  <c r="H36" i="3"/>
  <c r="G36" i="3"/>
  <c r="F36" i="3"/>
  <c r="E36" i="3"/>
  <c r="D36" i="3"/>
  <c r="C36" i="3"/>
  <c r="M35" i="3"/>
  <c r="L35" i="3"/>
  <c r="K35" i="3"/>
  <c r="J35" i="3"/>
  <c r="I35" i="3"/>
  <c r="H35" i="3"/>
  <c r="G35" i="3"/>
  <c r="F35" i="3"/>
  <c r="E35" i="3"/>
  <c r="D35" i="3"/>
  <c r="C35" i="3"/>
  <c r="P62" i="5" l="1"/>
  <c r="B86" i="16"/>
  <c r="B88" i="16"/>
  <c r="B84" i="16"/>
  <c r="B82" i="16"/>
  <c r="B78" i="16"/>
  <c r="B76" i="16"/>
  <c r="N76" i="16" s="1"/>
  <c r="B67" i="16"/>
  <c r="N67" i="16" s="1"/>
  <c r="B65" i="16"/>
  <c r="N65" i="16" s="1"/>
  <c r="B63" i="16"/>
  <c r="N63" i="16" s="1"/>
  <c r="B61" i="16"/>
  <c r="N61" i="16" s="1"/>
  <c r="B59" i="16"/>
  <c r="N59" i="16" s="1"/>
  <c r="B71" i="16"/>
  <c r="N71" i="16" l="1"/>
  <c r="N78" i="16"/>
  <c r="B69" i="16"/>
  <c r="N69" i="16" s="1"/>
  <c r="O87" i="16" l="1"/>
  <c r="O85" i="16"/>
  <c r="O83" i="16"/>
  <c r="O81" i="16"/>
  <c r="O79" i="16"/>
  <c r="O70" i="16"/>
  <c r="O68" i="16"/>
  <c r="O66" i="16"/>
  <c r="O72" i="16" l="1"/>
  <c r="M73" i="16" l="1"/>
  <c r="M90" i="16"/>
  <c r="L73" i="16" l="1"/>
  <c r="K73" i="16" l="1"/>
  <c r="J73" i="16" l="1"/>
  <c r="I73" i="16" l="1"/>
  <c r="B90" i="16" l="1"/>
  <c r="C90" i="16"/>
  <c r="D90" i="16"/>
  <c r="E90" i="16"/>
  <c r="F90" i="16"/>
  <c r="G90" i="16"/>
  <c r="H90" i="16"/>
  <c r="I90" i="16"/>
  <c r="J90" i="16"/>
  <c r="K90" i="16"/>
  <c r="L90" i="16"/>
  <c r="B73" i="16"/>
  <c r="N90" i="16" l="1"/>
  <c r="H73" i="16"/>
  <c r="G73" i="16" l="1"/>
  <c r="F73" i="16" l="1"/>
  <c r="E73" i="16" l="1"/>
  <c r="D73" i="16" l="1"/>
  <c r="C73" i="16" l="1"/>
  <c r="N73" i="16" s="1"/>
  <c r="O58" i="5" l="1"/>
  <c r="N58" i="5"/>
  <c r="M58" i="5"/>
  <c r="L58" i="5"/>
  <c r="K58" i="5"/>
  <c r="J58" i="5"/>
  <c r="I58" i="5"/>
  <c r="H58" i="5"/>
  <c r="G58" i="5"/>
  <c r="F58" i="5"/>
  <c r="E58" i="5"/>
  <c r="O54" i="5"/>
  <c r="N54" i="5"/>
  <c r="M54" i="5"/>
  <c r="L54" i="5"/>
  <c r="K54" i="5"/>
  <c r="J54" i="5"/>
  <c r="I54" i="5"/>
  <c r="H54" i="5"/>
  <c r="G54" i="5"/>
  <c r="F54" i="5"/>
  <c r="E54" i="5"/>
  <c r="M31" i="3" l="1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M25" i="3" l="1"/>
  <c r="M26" i="3"/>
  <c r="L25" i="3" l="1"/>
  <c r="L26" i="3"/>
  <c r="L50" i="5" l="1"/>
  <c r="M50" i="5"/>
  <c r="K25" i="3" l="1"/>
  <c r="K26" i="3"/>
  <c r="J26" i="3" l="1"/>
  <c r="J25" i="3"/>
  <c r="K50" i="5" l="1"/>
  <c r="I25" i="3" l="1"/>
  <c r="I26" i="3"/>
  <c r="H25" i="3" l="1"/>
  <c r="H26" i="3"/>
  <c r="G25" i="3" l="1"/>
  <c r="G26" i="3"/>
  <c r="H50" i="5" l="1"/>
  <c r="F25" i="3" l="1"/>
  <c r="F26" i="3"/>
  <c r="G50" i="5" l="1"/>
  <c r="G46" i="5"/>
  <c r="E25" i="3"/>
  <c r="E26" i="3"/>
  <c r="D25" i="3"/>
  <c r="D26" i="3"/>
  <c r="C25" i="3"/>
  <c r="C26" i="3"/>
  <c r="D49" i="5"/>
  <c r="D45" i="5"/>
  <c r="O50" i="5"/>
  <c r="N50" i="5"/>
  <c r="J50" i="5"/>
  <c r="I50" i="5"/>
  <c r="F50" i="5"/>
  <c r="O46" i="5"/>
  <c r="N46" i="5"/>
  <c r="M46" i="5"/>
  <c r="L46" i="5"/>
  <c r="K46" i="5"/>
  <c r="J46" i="5"/>
  <c r="I46" i="5"/>
  <c r="H46" i="5"/>
  <c r="F46" i="5"/>
  <c r="B26" i="3"/>
  <c r="B25" i="3"/>
  <c r="B20" i="3"/>
  <c r="O42" i="5"/>
  <c r="M20" i="3"/>
  <c r="M21" i="3"/>
  <c r="N38" i="5"/>
  <c r="L20" i="3"/>
  <c r="L21" i="3"/>
  <c r="M42" i="5"/>
  <c r="N42" i="5"/>
  <c r="M38" i="5"/>
  <c r="O38" i="5"/>
  <c r="K20" i="3"/>
  <c r="K21" i="3"/>
  <c r="J20" i="3"/>
  <c r="J21" i="3"/>
  <c r="L42" i="5"/>
  <c r="L38" i="5"/>
  <c r="I21" i="3"/>
  <c r="I20" i="3"/>
  <c r="K42" i="5"/>
  <c r="K38" i="5"/>
  <c r="J42" i="5"/>
  <c r="J38" i="5"/>
  <c r="H21" i="3"/>
  <c r="H20" i="3"/>
  <c r="I42" i="5"/>
  <c r="I38" i="5"/>
  <c r="G21" i="3"/>
  <c r="G20" i="3"/>
  <c r="H42" i="5"/>
  <c r="H38" i="5"/>
  <c r="F21" i="3"/>
  <c r="F20" i="3"/>
  <c r="G42" i="5"/>
  <c r="G38" i="5"/>
  <c r="E21" i="3"/>
  <c r="E20" i="3"/>
  <c r="F42" i="5"/>
  <c r="F38" i="5"/>
  <c r="D21" i="3"/>
  <c r="D20" i="3"/>
  <c r="C21" i="3"/>
  <c r="C20" i="3"/>
  <c r="E41" i="5"/>
  <c r="E50" i="5" s="1"/>
  <c r="D41" i="5"/>
  <c r="E37" i="5"/>
  <c r="E46" i="5" s="1"/>
  <c r="D37" i="5"/>
  <c r="B21" i="3"/>
  <c r="M16" i="3"/>
  <c r="M15" i="3"/>
  <c r="L16" i="3"/>
  <c r="L15" i="3"/>
  <c r="N34" i="5"/>
  <c r="N30" i="5"/>
  <c r="M34" i="5"/>
  <c r="M30" i="5"/>
  <c r="K15" i="3"/>
  <c r="K16" i="3"/>
  <c r="J15" i="3"/>
  <c r="J16" i="3"/>
  <c r="L34" i="5"/>
  <c r="L30" i="5"/>
  <c r="I15" i="3"/>
  <c r="I16" i="3"/>
  <c r="K34" i="5"/>
  <c r="K30" i="5"/>
  <c r="H15" i="3"/>
  <c r="H16" i="3"/>
  <c r="J34" i="5"/>
  <c r="J30" i="5"/>
  <c r="G15" i="3"/>
  <c r="G16" i="3"/>
  <c r="I34" i="5"/>
  <c r="I30" i="5"/>
  <c r="F15" i="3"/>
  <c r="F16" i="3"/>
  <c r="H34" i="5"/>
  <c r="H30" i="5"/>
  <c r="E15" i="3"/>
  <c r="E16" i="3"/>
  <c r="G34" i="5"/>
  <c r="G30" i="5"/>
  <c r="D15" i="3"/>
  <c r="D16" i="3"/>
  <c r="F34" i="5"/>
  <c r="F30" i="5"/>
  <c r="E34" i="5"/>
  <c r="E30" i="5"/>
  <c r="C15" i="3"/>
  <c r="C16" i="3"/>
  <c r="B16" i="3"/>
  <c r="B15" i="3"/>
  <c r="D34" i="5"/>
  <c r="D29" i="5"/>
  <c r="P29" i="5" s="1"/>
  <c r="M10" i="3"/>
  <c r="M11" i="3"/>
  <c r="O25" i="5"/>
  <c r="O21" i="5"/>
  <c r="L10" i="3"/>
  <c r="L11" i="3"/>
  <c r="K10" i="3"/>
  <c r="K11" i="3"/>
  <c r="J10" i="3"/>
  <c r="J11" i="3"/>
  <c r="I10" i="3"/>
  <c r="I11" i="3"/>
  <c r="H10" i="3"/>
  <c r="H11" i="3"/>
  <c r="G10" i="3"/>
  <c r="G11" i="3"/>
  <c r="F10" i="3"/>
  <c r="F11" i="3"/>
  <c r="P8" i="5"/>
  <c r="P12" i="5"/>
  <c r="P15" i="5"/>
  <c r="P16" i="5"/>
  <c r="P11" i="5"/>
  <c r="H9" i="5"/>
  <c r="O17" i="5"/>
  <c r="O13" i="5"/>
  <c r="N17" i="5"/>
  <c r="N26" i="5" s="1"/>
  <c r="N13" i="5"/>
  <c r="N22" i="5" s="1"/>
  <c r="M17" i="5"/>
  <c r="M26" i="5" s="1"/>
  <c r="M13" i="5"/>
  <c r="M22" i="5" s="1"/>
  <c r="L17" i="5"/>
  <c r="L26" i="5" s="1"/>
  <c r="L13" i="5"/>
  <c r="L22" i="5" s="1"/>
  <c r="K17" i="5"/>
  <c r="K26" i="5" s="1"/>
  <c r="K13" i="5"/>
  <c r="K22" i="5" s="1"/>
  <c r="J17" i="5"/>
  <c r="J26" i="5" s="1"/>
  <c r="J13" i="5"/>
  <c r="J22" i="5" s="1"/>
  <c r="I17" i="5"/>
  <c r="I26" i="5" s="1"/>
  <c r="H13" i="5"/>
  <c r="I13" i="5"/>
  <c r="I22" i="5" s="1"/>
  <c r="H17" i="5"/>
  <c r="H26" i="5" s="1"/>
  <c r="E13" i="5"/>
  <c r="E22" i="5" s="1"/>
  <c r="F13" i="5"/>
  <c r="F22" i="5" s="1"/>
  <c r="G13" i="5"/>
  <c r="G22" i="5" s="1"/>
  <c r="D13" i="5"/>
  <c r="D22" i="5" s="1"/>
  <c r="E5" i="5"/>
  <c r="F5" i="5"/>
  <c r="G5" i="5"/>
  <c r="H5" i="5"/>
  <c r="I5" i="5"/>
  <c r="J5" i="5"/>
  <c r="K5" i="5"/>
  <c r="L5" i="5"/>
  <c r="M5" i="5"/>
  <c r="N5" i="5"/>
  <c r="O5" i="5"/>
  <c r="P5" i="5"/>
  <c r="D5" i="5"/>
  <c r="E9" i="5"/>
  <c r="F9" i="5"/>
  <c r="G9" i="5"/>
  <c r="I9" i="5"/>
  <c r="J9" i="5"/>
  <c r="K9" i="5"/>
  <c r="L9" i="5"/>
  <c r="M9" i="5"/>
  <c r="N9" i="5"/>
  <c r="O9" i="5"/>
  <c r="D9" i="5"/>
  <c r="G17" i="5"/>
  <c r="G26" i="5" s="1"/>
  <c r="F17" i="5"/>
  <c r="E17" i="5"/>
  <c r="E26" i="5" s="1"/>
  <c r="D17" i="5"/>
  <c r="D26" i="5" s="1"/>
  <c r="E6" i="3"/>
  <c r="E11" i="3" s="1"/>
  <c r="D6" i="3"/>
  <c r="D11" i="3" s="1"/>
  <c r="C6" i="3"/>
  <c r="C11" i="3" s="1"/>
  <c r="B6" i="3"/>
  <c r="B11" i="3" s="1"/>
  <c r="E5" i="3"/>
  <c r="E10" i="3" s="1"/>
  <c r="D5" i="3"/>
  <c r="D10" i="3" s="1"/>
  <c r="C5" i="3"/>
  <c r="C10" i="3" s="1"/>
  <c r="B5" i="3"/>
  <c r="B10" i="3" s="1"/>
  <c r="M3" i="3"/>
  <c r="M2" i="3"/>
  <c r="L3" i="3"/>
  <c r="L2" i="3"/>
  <c r="K3" i="3"/>
  <c r="K2" i="3"/>
  <c r="J2" i="3"/>
  <c r="J3" i="3"/>
  <c r="I3" i="3"/>
  <c r="I2" i="3"/>
  <c r="H3" i="3"/>
  <c r="H2" i="3"/>
  <c r="G3" i="3"/>
  <c r="G2" i="3"/>
  <c r="F3" i="3"/>
  <c r="F2" i="3"/>
  <c r="E3" i="3"/>
  <c r="E2" i="3"/>
  <c r="D3" i="3"/>
  <c r="C3" i="3"/>
  <c r="B3" i="3"/>
  <c r="D2" i="3"/>
  <c r="C2" i="3"/>
  <c r="B2" i="3"/>
  <c r="D30" i="5" l="1"/>
  <c r="P37" i="5"/>
  <c r="E42" i="5"/>
  <c r="D42" i="5"/>
  <c r="P41" i="5"/>
  <c r="P42" i="5" s="1"/>
  <c r="O30" i="5"/>
  <c r="P21" i="5"/>
  <c r="O34" i="5"/>
  <c r="P25" i="5"/>
  <c r="D54" i="5"/>
  <c r="P54" i="5" s="1"/>
  <c r="P45" i="5"/>
  <c r="D58" i="5"/>
  <c r="P49" i="5"/>
  <c r="D46" i="5"/>
  <c r="P46" i="5" s="1"/>
  <c r="J18" i="5"/>
  <c r="J14" i="5"/>
  <c r="O14" i="5"/>
  <c r="E14" i="5"/>
  <c r="L18" i="5"/>
  <c r="N14" i="5"/>
  <c r="G18" i="5"/>
  <c r="H18" i="5"/>
  <c r="D18" i="5"/>
  <c r="E18" i="5"/>
  <c r="P9" i="5"/>
  <c r="K14" i="5"/>
  <c r="I18" i="5"/>
  <c r="M14" i="5"/>
  <c r="F18" i="5"/>
  <c r="L14" i="5"/>
  <c r="N18" i="5"/>
  <c r="M18" i="5"/>
  <c r="G14" i="5"/>
  <c r="I14" i="5"/>
  <c r="H14" i="5"/>
  <c r="K18" i="5"/>
  <c r="O18" i="5"/>
  <c r="O22" i="5"/>
  <c r="D14" i="5"/>
  <c r="F26" i="5"/>
  <c r="H22" i="5"/>
  <c r="P17" i="5"/>
  <c r="P13" i="5"/>
  <c r="D38" i="5"/>
  <c r="F14" i="5"/>
  <c r="O26" i="5"/>
  <c r="E38" i="5"/>
  <c r="D50" i="5"/>
  <c r="P30" i="5" l="1"/>
  <c r="P22" i="5"/>
  <c r="P38" i="5"/>
  <c r="P26" i="5"/>
  <c r="P34" i="5"/>
  <c r="P50" i="5"/>
  <c r="P58" i="5"/>
  <c r="P18" i="5"/>
  <c r="Q18" i="5" s="1"/>
  <c r="R18" i="5" s="1"/>
  <c r="P14" i="5"/>
  <c r="T4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</author>
    <author>莊美嬌</author>
  </authors>
  <commentList>
    <comment ref="Q3" authorId="0" shapeId="0" xr:uid="{85BD9636-C1D1-41C9-AB4B-0E4F481A2153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黃承君到職不久後離職,故不計入.</t>
        </r>
      </text>
    </comment>
    <comment ref="F30" authorId="1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當月目標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當月發生</t>
        </r>
        <r>
          <rPr>
            <sz val="9"/>
            <color indexed="81"/>
            <rFont val="Tahoma"/>
            <family val="2"/>
          </rPr>
          <t>PPM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莊美嬌</author>
  </authors>
  <commentList>
    <comment ref="A43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4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8" authorId="0" shapeId="0" xr:uid="{00000000-0006-0000-0200-000003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9" authorId="0" shapeId="0" xr:uid="{00000000-0006-0000-0200-000004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3" authorId="0" shapeId="0" xr:uid="{00000000-0006-0000-0200-000005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4" authorId="0" shapeId="0" xr:uid="{00000000-0006-0000-0200-000006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8" authorId="0" shapeId="0" xr:uid="{B9578BAE-A452-428A-907A-31B03F861124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9" authorId="0" shapeId="0" xr:uid="{1D25F402-1C0F-4451-8247-40B1EB3D4EAD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hock</author>
    <author>L</author>
  </authors>
  <commentList>
    <comment ref="Q9" authorId="0" shapeId="0" xr:uid="{75E26F6A-FD4D-4BB6-8559-843E134FF50D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9" authorId="0" shapeId="0" xr:uid="{94D96ADC-17AD-495C-B7AA-5D549E31952B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9" authorId="0" shapeId="0" xr:uid="{BF9023E1-89A8-42C0-A72A-F9F37ED59390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9" authorId="0" shapeId="0" xr:uid="{43851A0A-D441-425D-87A9-7A009E74CE7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9" authorId="0" shapeId="0" xr:uid="{48805BD8-5539-47A7-AD35-5615C2DC053A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9" authorId="0" shapeId="0" xr:uid="{D43773AB-E68A-4655-9E8F-2DE0F5A218C2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9" authorId="0" shapeId="0" xr:uid="{68B7436F-4CC8-4B1D-AAEC-76BE136906F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9" authorId="0" shapeId="0" xr:uid="{F7DD04BE-BFD3-4AEA-AB15-390568E6F912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3" authorId="0" shapeId="0" xr:uid="{831CE690-2591-48E4-B93A-60AB30BA8FE5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3" authorId="0" shapeId="0" xr:uid="{D7D3DC89-170E-4AE6-A2AB-25AA76EE8002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3" authorId="0" shapeId="0" xr:uid="{BF7DEC6E-425A-49E9-9C59-390BAECD0D89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3" authorId="0" shapeId="0" xr:uid="{0015F93E-C66B-421F-A217-8286F65449A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3" authorId="0" shapeId="0" xr:uid="{1EC7185F-090C-4EDA-B8E6-62010BDC1CB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3" authorId="0" shapeId="0" xr:uid="{5F0E3CC2-BBFC-4048-B55D-1C599BEB973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3" authorId="0" shapeId="0" xr:uid="{AA7FFBA7-ADFC-4308-9EFE-6E55AF25EB72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3" authorId="0" shapeId="0" xr:uid="{088D0702-3967-4D6F-84E6-110771381E22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8" authorId="0" shapeId="0" xr:uid="{17C56D01-F3A8-4154-ADBE-5C9A4E853080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8" authorId="0" shapeId="0" xr:uid="{F00ED5D4-F27D-4D20-A829-6A9897D2BF55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8" authorId="0" shapeId="0" xr:uid="{EAEE1BC6-9E2A-4EC0-8E4C-BEF6D3CD567C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8" authorId="0" shapeId="0" xr:uid="{192743B2-09B3-4D2C-BD69-FC6DBDAA368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8" authorId="0" shapeId="0" xr:uid="{690F35A3-5D71-4682-9508-049C6F3EEE9C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8" authorId="0" shapeId="0" xr:uid="{D11716A3-35DC-448F-80B8-D038730DEFB5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8" authorId="0" shapeId="0" xr:uid="{5D776A50-623F-4009-94D8-917F4CFC965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8" authorId="0" shapeId="0" xr:uid="{C6E8CEF0-D1E1-4DE5-A835-B94AE938014E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23" authorId="0" shapeId="0" xr:uid="{D3E9C7BF-2237-4524-A122-A3623AC68EFC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23" authorId="0" shapeId="0" xr:uid="{15EC3725-EB42-4BB2-83F0-549AC2A7BF70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23" authorId="0" shapeId="0" xr:uid="{40C01F13-A3C9-4A5D-9ECA-1CB0BBDC18F0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23" authorId="0" shapeId="0" xr:uid="{B69C6DDA-B8D1-46DE-A786-CED28383C9F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23" authorId="0" shapeId="0" xr:uid="{F6080D00-65B8-490D-BB3B-A239A549192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23" authorId="0" shapeId="0" xr:uid="{7B9878D3-C234-485C-BFB0-24402306096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23" authorId="0" shapeId="0" xr:uid="{2E2BDA1E-5973-4249-85DC-F5289C48C87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23" authorId="0" shapeId="0" xr:uid="{2DEC5351-7462-4071-8BDD-7AC1DCDBF7E4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28" authorId="0" shapeId="0" xr:uid="{6707A073-180E-466A-A510-F88BD1FBA9D8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28" authorId="0" shapeId="0" xr:uid="{976210BA-52A9-4762-9B75-81C60D6CE202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28" authorId="0" shapeId="0" xr:uid="{EC616E83-A19B-4020-AEB9-04197537914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28" authorId="0" shapeId="0" xr:uid="{79B66259-500E-40E4-8B0D-57531439B32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28" authorId="0" shapeId="0" xr:uid="{89C92597-FAEB-40BA-9538-302149DBFB3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28" authorId="0" shapeId="0" xr:uid="{63B66B0E-003E-4C4C-9068-037AA4A87A15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28" authorId="0" shapeId="0" xr:uid="{0678F406-C078-414F-9FD4-4EE94EB7ADC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28" authorId="0" shapeId="0" xr:uid="{9ED2E236-3BE1-4D86-80CB-D0B2DACA1D94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33" authorId="0" shapeId="0" xr:uid="{51E28E07-1B4E-41EF-9612-57FC78FC528F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33" authorId="0" shapeId="0" xr:uid="{0E76BE60-0079-436F-8E8D-0FFA46618E91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33" authorId="0" shapeId="0" xr:uid="{2702C79A-ABE2-47C8-993F-2328598B6247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33" authorId="0" shapeId="0" xr:uid="{59006C51-E817-41FB-B42E-F389D4D5FCF8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33" authorId="0" shapeId="0" xr:uid="{6AEBAC3C-0BB6-4668-870A-5168CC8E76B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33" authorId="0" shapeId="0" xr:uid="{6F753610-92BD-4CEA-897C-F18043DA9C7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33" authorId="0" shapeId="0" xr:uid="{5EA25F03-09A1-4EF2-B49D-DBC478BA95B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33" authorId="0" shapeId="0" xr:uid="{E58DB860-B951-4A76-8CC3-B076184ADDE2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38" authorId="0" shapeId="0" xr:uid="{6FB34460-68E9-4B1F-BF37-2983878A2E2B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38" authorId="0" shapeId="0" xr:uid="{3A2A6505-1833-48F6-B284-4456C3457680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38" authorId="0" shapeId="0" xr:uid="{98E3D0E7-A324-4A88-9B2C-C3D089D7BD7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38" authorId="0" shapeId="0" xr:uid="{A3F7B798-93A0-4E3C-AC93-8486822CD2D8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38" authorId="0" shapeId="0" xr:uid="{A4058A4F-D4B1-4938-B884-AB575B05F825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38" authorId="0" shapeId="0" xr:uid="{F54B02FC-BAD0-422F-97EB-82101647310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38" authorId="0" shapeId="0" xr:uid="{125E58F5-F9FF-42AB-B25D-B0E45A6A16E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38" authorId="0" shapeId="0" xr:uid="{45ACED03-61C9-46EB-8260-FE873C51F3D2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43" authorId="0" shapeId="0" xr:uid="{B61D4BE5-5FB7-40EE-94A7-2F16500DB471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43" authorId="0" shapeId="0" xr:uid="{78D01941-4D24-4A1F-B330-288C44FFADE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43" authorId="0" shapeId="0" xr:uid="{9D1DE266-7896-40C6-AE53-4E421F7355DF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43" authorId="0" shapeId="0" xr:uid="{B14D3BFB-57F2-4584-8394-37550193ED9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43" authorId="0" shapeId="0" xr:uid="{E331806A-80D9-438F-B282-BA98A7DDE84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43" authorId="0" shapeId="0" xr:uid="{46CB4E68-30E9-4EFC-87C4-8AF144E322A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43" authorId="0" shapeId="0" xr:uid="{589BC851-E6DD-4B54-A285-DECDA4156DA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43" authorId="0" shapeId="0" xr:uid="{4D2662DD-2440-4161-B07E-CA2C124201F4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48" authorId="0" shapeId="0" xr:uid="{FE191AB2-7A40-46F8-B853-3442D8691890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48" authorId="0" shapeId="0" xr:uid="{ED166341-4FB4-4880-96F2-CF0BC640A7C3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48" authorId="0" shapeId="0" xr:uid="{5AF39879-A1AB-42AD-BDF3-6FF4B64D6BD3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48" authorId="0" shapeId="0" xr:uid="{0777B9FA-BC0F-4229-8C15-64C73D1D2C5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48" authorId="0" shapeId="0" xr:uid="{BF89AB61-F087-4174-AA1E-F435E038ED34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48" authorId="0" shapeId="0" xr:uid="{79B93FE2-EA2C-4C82-AE72-9E103AAD366A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48" authorId="0" shapeId="0" xr:uid="{D7070488-6959-43CD-983A-8C04EC2290A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48" authorId="0" shapeId="0" xr:uid="{CE5BBE13-A629-4A5B-826B-B8BB7630D394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53" authorId="0" shapeId="0" xr:uid="{2A2B3ECB-8FD6-4CEA-BD80-D0F91A63EE50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53" authorId="0" shapeId="0" xr:uid="{BD61198D-4447-471B-9EA8-7C385B002F98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53" authorId="0" shapeId="0" xr:uid="{548709AB-356F-4EE6-9A41-610020841A2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53" authorId="0" shapeId="0" xr:uid="{07B5C31D-1FDC-4141-A68E-52DA3559B64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53" authorId="0" shapeId="0" xr:uid="{F65D8F69-9FA1-480F-B4FB-F1BB88FCC36A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53" authorId="0" shapeId="0" xr:uid="{DA5F60A1-A518-4A37-BE5B-7FCCF20FD888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53" authorId="0" shapeId="0" xr:uid="{7A198976-EB21-4E04-AB03-F3E0276D649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53" authorId="0" shapeId="0" xr:uid="{D69F7DFF-E129-4CAC-B7A4-C7DB75A64863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58" authorId="0" shapeId="0" xr:uid="{E1FB3AFF-0C45-4D4D-B55D-92BCD447E396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58" authorId="0" shapeId="0" xr:uid="{93426178-4CEC-454C-9BCB-C97970EEBF48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58" authorId="0" shapeId="0" xr:uid="{A9237298-4CC9-4803-95F9-D9DF1F5806DF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58" authorId="0" shapeId="0" xr:uid="{A884E20D-BC04-4306-8E76-6CD94A35962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58" authorId="0" shapeId="0" xr:uid="{7B273A04-6A34-4E52-AB66-153A6B61BEE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58" authorId="0" shapeId="0" xr:uid="{576E8BB1-4D3B-4CE3-9BDE-B181FFE7F49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58" authorId="0" shapeId="0" xr:uid="{B8501756-5208-45D0-A5E4-CC89393A471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58" authorId="0" shapeId="0" xr:uid="{1F62A78B-318E-4B9B-BAE0-7A49A474902B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63" authorId="0" shapeId="0" xr:uid="{508B0960-B4B2-49FE-9C18-0EA807E7F7E3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63" authorId="0" shapeId="0" xr:uid="{834165B9-07A1-4140-83B1-7A7106388D28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63" authorId="0" shapeId="0" xr:uid="{BFB20EFE-F40D-45D6-80D3-5005E075F9A4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63" authorId="0" shapeId="0" xr:uid="{DDCE5B95-881C-4E9D-9F36-372C6F7C65F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63" authorId="0" shapeId="0" xr:uid="{86909A27-6801-4CF5-9C2C-656B51963B88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63" authorId="0" shapeId="0" xr:uid="{8322556C-D2CE-47DE-956C-4E7CF6E5768B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63" authorId="0" shapeId="0" xr:uid="{2E89EC8A-1664-4788-BE5D-098D067A38E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63" authorId="0" shapeId="0" xr:uid="{7F73B5D6-01F5-48DA-87AC-0982255E05A8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68" authorId="0" shapeId="0" xr:uid="{5EFB58C6-1720-4CD3-9454-588B31AACDDF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68" authorId="0" shapeId="0" xr:uid="{DFBC5A9D-CD75-47E0-8B05-1D3A4CDE7AB8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68" authorId="0" shapeId="0" xr:uid="{69BBB027-A0EB-4105-B980-B1AEFE7F3A0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68" authorId="0" shapeId="0" xr:uid="{AC7044C4-D191-4C9D-97C5-4B6C6754C81A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68" authorId="0" shapeId="0" xr:uid="{0812255C-2ACC-4F94-B081-6B31AC931F3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68" authorId="0" shapeId="0" xr:uid="{E9D3A74D-6657-4FFF-938E-D762F4A09E84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68" authorId="0" shapeId="0" xr:uid="{4CF75C96-C5C4-409D-959E-94D901A4B97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68" authorId="0" shapeId="0" xr:uid="{24846DAA-B653-4E5C-9C08-ED4B53B9DFF0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73" authorId="0" shapeId="0" xr:uid="{A543F58D-95DF-48F6-9723-AE7545BC2143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73" authorId="0" shapeId="0" xr:uid="{FDBB687D-C196-493B-84DE-223A259D9885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73" authorId="0" shapeId="0" xr:uid="{45E34776-4577-44F5-AC4C-8D66C40DD159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73" authorId="0" shapeId="0" xr:uid="{E0D70453-9E45-4B41-B261-7E42C424050C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73" authorId="0" shapeId="0" xr:uid="{685E1EAF-C2FC-4CE2-8C75-61060FEA7D7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73" authorId="0" shapeId="0" xr:uid="{474BD86D-FD97-4B3F-9579-19C36A5DCF4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73" authorId="0" shapeId="0" xr:uid="{F785FC7B-3E97-4224-82E6-BF3235D4773C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73" authorId="0" shapeId="0" xr:uid="{47E7364A-F3BE-4515-910C-2A4E8E15B595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79" authorId="0" shapeId="0" xr:uid="{E36BA805-EE4B-4260-B866-BFA9372071C3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79" authorId="0" shapeId="0" xr:uid="{451FF724-BEF6-46DE-B7FD-5A09668532CF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79" authorId="0" shapeId="0" xr:uid="{A19B5ED9-4FDE-4746-93DA-9721A5FF481B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79" authorId="0" shapeId="0" xr:uid="{827976A3-D25A-4DA9-A0DB-3F3C9F62C3C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79" authorId="0" shapeId="0" xr:uid="{8F5F52A5-391A-4E7F-8D9C-C9AA9E85766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79" authorId="0" shapeId="0" xr:uid="{B41F5F23-0B8E-427A-A1F8-5FC6AEFADE9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79" authorId="0" shapeId="0" xr:uid="{A69B12D7-8AAC-463B-957C-D0A0AB2CAD1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79" authorId="0" shapeId="0" xr:uid="{5B2B8F36-5237-4FDA-8ADD-E43A2748068F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85" authorId="0" shapeId="0" xr:uid="{DF49F3B6-E37B-43B6-B35F-769C3558FF4A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85" authorId="0" shapeId="0" xr:uid="{65E3E2C2-FE03-4D56-9AE8-17E4B6A9EAD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85" authorId="0" shapeId="0" xr:uid="{CDB48F9B-AE5A-47D5-8066-A68DEAD4AA49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85" authorId="0" shapeId="0" xr:uid="{EC309BFE-3925-4060-B6D6-9472D616C31C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85" authorId="0" shapeId="0" xr:uid="{91548DA2-4DDA-46BC-A919-F940DEBE8F2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85" authorId="0" shapeId="0" xr:uid="{1F5C1D98-D944-47FC-9ECE-26ECEDBC227A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85" authorId="0" shapeId="0" xr:uid="{6C1A7351-7820-4286-A12F-DB47CA1159C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85" authorId="0" shapeId="0" xr:uid="{2520FD72-4FA5-4D99-8140-7747D3D29C02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91" authorId="0" shapeId="0" xr:uid="{9E9FA923-99E6-4A7E-B993-3A97E32E5DE4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91" authorId="0" shapeId="0" xr:uid="{AE2E6886-0FAF-44F3-A7E4-00A1F98DFDEF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91" authorId="0" shapeId="0" xr:uid="{BC47B31C-D7B9-480A-82A2-EF2E6CB520B0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91" authorId="0" shapeId="0" xr:uid="{10728C9E-DBA0-418F-BA33-D21790DC784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91" authorId="0" shapeId="0" xr:uid="{1D22AA3A-151E-469F-8E12-CABE063037D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91" authorId="0" shapeId="0" xr:uid="{31C52B12-3A20-48F4-BD36-B65039FF0EC9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91" authorId="0" shapeId="0" xr:uid="{86314ED2-0BFE-465F-A955-BA8011423B3D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91" authorId="0" shapeId="0" xr:uid="{B2A37D7F-AB31-4ADD-8168-5A5BCCDF9F54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97" authorId="0" shapeId="0" xr:uid="{FFCA3EF0-00BA-43A3-9188-51ABE09996A0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97" authorId="0" shapeId="0" xr:uid="{BD363DDB-3C90-47A4-BC7C-F3B9DA22669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97" authorId="0" shapeId="0" xr:uid="{26059598-E935-4B81-827B-62D41ECB0CA4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97" authorId="0" shapeId="0" xr:uid="{88EBB193-DA81-4095-86E1-7502482559C0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97" authorId="0" shapeId="0" xr:uid="{D5F47F66-900E-4105-A4C5-4B395FE37F8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97" authorId="0" shapeId="0" xr:uid="{660AA0B4-A0D7-443A-AF34-A3281B277B8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97" authorId="0" shapeId="0" xr:uid="{BDA5F352-856D-4684-9BD7-099D7CF6200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97" authorId="0" shapeId="0" xr:uid="{E6CA5468-AC4C-42BD-BB20-B8EE441CC3C8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03" authorId="0" shapeId="0" xr:uid="{A86488D1-B934-4421-BDC7-C548461C16E1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03" authorId="0" shapeId="0" xr:uid="{C8B0FA60-355C-4574-8597-CDC2B3CDA332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03" authorId="0" shapeId="0" xr:uid="{93CD6B4E-6365-4237-9AC6-5D6CDBB4A6B5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03" authorId="0" shapeId="0" xr:uid="{900E7D02-DDC4-40DF-AE29-67332E8DB8F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03" authorId="0" shapeId="0" xr:uid="{CF618DE6-BB87-407E-87B5-381C4722F463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03" authorId="0" shapeId="0" xr:uid="{5CCFBD65-C630-4FA4-B424-C92E193D89E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03" authorId="0" shapeId="0" xr:uid="{088223D2-C712-4E4B-A636-8DBCC69F33E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03" authorId="0" shapeId="0" xr:uid="{1AE495A4-2E89-478C-B1CF-B91F28524B9C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09" authorId="0" shapeId="0" xr:uid="{D21BEF93-1572-4FA5-8FAB-A4DA4FBAF270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09" authorId="0" shapeId="0" xr:uid="{C9C3BD4E-0FBC-4828-B439-A2C19908816A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09" authorId="0" shapeId="0" xr:uid="{C2EE1AB3-A57B-43A7-980E-7B07311A7113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09" authorId="0" shapeId="0" xr:uid="{F1D60C33-E76B-46F3-8D26-8289124D1FE2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09" authorId="0" shapeId="0" xr:uid="{0045E1B4-4DFD-49A6-9CDC-55A5080ABB7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09" authorId="0" shapeId="0" xr:uid="{E185B8B8-34EA-4260-B2DD-98B452D172FF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09" authorId="0" shapeId="0" xr:uid="{27E0427F-0535-4FE1-914F-17386F468ED7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09" authorId="0" shapeId="0" xr:uid="{7F82248E-E0CF-4429-AAF9-19450E57B0B3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15" authorId="0" shapeId="0" xr:uid="{4D57C481-B11B-4982-8780-5147D84B5B57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15" authorId="0" shapeId="0" xr:uid="{FFC03B91-AFF3-444A-AD9F-655B4DD709D3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15" authorId="0" shapeId="0" xr:uid="{CF646EB8-0DF3-4875-915B-C1B1591C3D6C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15" authorId="0" shapeId="0" xr:uid="{37F1095D-8C5D-4BF6-94B7-64CA1195A481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15" authorId="0" shapeId="0" xr:uid="{F08E77D2-797C-4732-A46B-B088875A0814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15" authorId="0" shapeId="0" xr:uid="{69F15448-A90D-4A89-955E-C1B0C39D7C02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15" authorId="0" shapeId="0" xr:uid="{C83EFB89-FC81-4442-976C-79607EBC5CD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15" authorId="0" shapeId="0" xr:uid="{28D2019F-6061-40B9-B225-A3CA0090EB2D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Q121" authorId="0" shapeId="0" xr:uid="{58CAF2E6-AC22-478B-BF33-53974E2FF394}">
      <text>
        <r>
          <rPr>
            <b/>
            <sz val="14"/>
            <color indexed="81"/>
            <rFont val="新細明體"/>
            <family val="1"/>
            <charset val="136"/>
          </rPr>
          <t>hock:</t>
        </r>
        <r>
          <rPr>
            <sz val="14"/>
            <color indexed="81"/>
            <rFont val="新細明體"/>
            <family val="1"/>
            <charset val="136"/>
          </rPr>
          <t xml:space="preserve">
大物資料調整(OLD:1504)</t>
        </r>
      </text>
    </comment>
    <comment ref="S121" authorId="0" shapeId="0" xr:uid="{FB583370-145D-4231-9739-22A918D19ED3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大物資料調整(OLD:3955)</t>
        </r>
      </text>
    </comment>
    <comment ref="T121" authorId="0" shapeId="0" xr:uid="{8999F952-DF13-464D-BF0D-BEB3A3B02CCB}">
      <text>
        <r>
          <rPr>
            <b/>
            <sz val="20"/>
            <color indexed="81"/>
            <rFont val="新細明體"/>
            <family val="1"/>
            <charset val="136"/>
          </rPr>
          <t>hock:</t>
        </r>
        <r>
          <rPr>
            <sz val="20"/>
            <color indexed="81"/>
            <rFont val="新細明體"/>
            <family val="1"/>
            <charset val="136"/>
          </rPr>
          <t xml:space="preserve">
大物資料調整(OLD:4150)</t>
        </r>
      </text>
    </comment>
    <comment ref="U121" authorId="0" shapeId="0" xr:uid="{1F8A72B4-1338-43C4-B6A9-C4EE91947675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大物資料調整(OLD:2768)</t>
        </r>
      </text>
    </comment>
    <comment ref="W121" authorId="0" shapeId="0" xr:uid="{E5013E81-C798-409F-A8DC-7B71F654931E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大物資料調整(OLD:78)</t>
        </r>
      </text>
    </comment>
    <comment ref="X121" authorId="0" shapeId="0" xr:uid="{2AC3895C-AAB4-4D1D-9ECF-BD650A2CCE8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大物資料調整(OLD:480)</t>
        </r>
      </text>
    </comment>
    <comment ref="Y121" authorId="0" shapeId="0" xr:uid="{37E086E6-3798-49A9-BBA2-05B86A3202E6}">
      <text>
        <r>
          <rPr>
            <b/>
            <sz val="9"/>
            <color indexed="81"/>
            <rFont val="新細明體"/>
            <family val="1"/>
            <charset val="136"/>
          </rPr>
          <t>hock:</t>
        </r>
        <r>
          <rPr>
            <sz val="9"/>
            <color indexed="81"/>
            <rFont val="新細明體"/>
            <family val="1"/>
            <charset val="136"/>
          </rPr>
          <t xml:space="preserve">
大物資料調整(OLD:142)</t>
        </r>
      </text>
    </comment>
    <comment ref="Z121" authorId="0" shapeId="0" xr:uid="{CE8A6644-9B06-4C73-8797-F065CA17E096}">
      <text>
        <r>
          <rPr>
            <b/>
            <sz val="16"/>
            <color indexed="81"/>
            <rFont val="新細明體"/>
            <family val="1"/>
            <charset val="136"/>
          </rPr>
          <t>hock:</t>
        </r>
        <r>
          <rPr>
            <sz val="16"/>
            <color indexed="81"/>
            <rFont val="新細明體"/>
            <family val="1"/>
            <charset val="136"/>
          </rPr>
          <t xml:space="preserve">
1. 大物資料調整(OLD:110)
2. 原庫位數145個+70個=215個
   註 : 油品分裝佔70個</t>
        </r>
      </text>
    </comment>
    <comment ref="L461" authorId="1" shapeId="0" xr:uid="{F947FAD6-6A5D-4823-B5AF-A04D6893E16F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61" authorId="1" shapeId="0" xr:uid="{2407E115-B520-4129-BF57-33078E2F32E7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467" authorId="1" shapeId="0" xr:uid="{A0B381C8-727C-4FD4-9A1A-611CBC195280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67" authorId="1" shapeId="0" xr:uid="{DA6B4F8D-CCCA-477A-9B16-6C989EA755AD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473" authorId="1" shapeId="0" xr:uid="{56B2AF4E-C1DA-4FC1-8578-86905AFE2E56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73" authorId="1" shapeId="0" xr:uid="{E7E8560E-3B5A-40AA-9ABC-9739765A51FC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479" authorId="1" shapeId="0" xr:uid="{DD1563D5-FE00-4BDE-91F4-30298FA603A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79" authorId="1" shapeId="0" xr:uid="{9FBEB4D0-0823-48B3-B6D6-C0EDBB858065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485" authorId="1" shapeId="0" xr:uid="{E97E50C1-25EF-4F17-9D47-C5EB46A0A046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85" authorId="1" shapeId="0" xr:uid="{168A872E-C2BB-4719-AA2E-7BCED1CB925E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491" authorId="1" shapeId="0" xr:uid="{10945189-3C4E-47E8-8376-B00292166EB0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91" authorId="1" shapeId="0" xr:uid="{0E2B9C64-C061-4E48-9A71-350973ED2C67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497" authorId="1" shapeId="0" xr:uid="{CDEDC976-F440-49D9-991E-BBE8F7091274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497" authorId="1" shapeId="0" xr:uid="{3EF5632A-A84E-4EE7-9203-FD9B0492F46C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03" authorId="1" shapeId="0" xr:uid="{A2D0887F-71AE-446C-A525-EC31A263E65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03" authorId="1" shapeId="0" xr:uid="{44D77791-E3BD-422E-8679-504871BFF5AE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09" authorId="1" shapeId="0" xr:uid="{102BA9CF-AAAA-4E63-93CD-056713E06BBC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09" authorId="1" shapeId="0" xr:uid="{6E2950C9-6F9A-44B5-839E-E2A3234C8A55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15" authorId="1" shapeId="0" xr:uid="{A3E3274E-E928-4F5F-9DE0-A2617ECC6C41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15" authorId="1" shapeId="0" xr:uid="{265AE085-6707-4AC9-A748-352E58BFEFE6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21" authorId="1" shapeId="0" xr:uid="{552000BD-0A91-4D12-8983-6BEBA70B67C9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21" authorId="1" shapeId="0" xr:uid="{6C52851C-C120-4B49-ABDA-8B448AA0980F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27" authorId="1" shapeId="0" xr:uid="{B6951B34-6C03-480F-9C65-A42035F6DC12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27" authorId="1" shapeId="0" xr:uid="{43BEE9C0-C92C-4CC8-8D80-B786E0E16E2E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L533" authorId="1" shapeId="0" xr:uid="{BD0071E6-4EA8-466C-AE48-B2867BA4CA70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533" authorId="1" shapeId="0" xr:uid="{559A882F-A75D-412C-BF0E-49FF123E54D4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</author>
  </authors>
  <commentList>
    <comment ref="J8" authorId="0" shapeId="0" xr:uid="{DDD93376-F0A7-40A1-9EBB-8BC28F2875AA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L8" authorId="0" shapeId="0" xr:uid="{4320BBEA-A5AA-478E-A5C9-41E1401AFB61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Z8" authorId="0" shapeId="0" xr:uid="{F5ECE4BB-7403-4CE7-90A8-FAB08E44115E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AB8" authorId="0" shapeId="0" xr:uid="{A0D295F4-B362-46EF-8D5C-E1747FB51D0F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J14" authorId="0" shapeId="0" xr:uid="{254AC0F7-1F14-496C-B067-29FDF870BE8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L14" authorId="0" shapeId="0" xr:uid="{FAC3E68A-5505-4C1E-9EFF-70780CDED216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  <comment ref="Z14" authorId="0" shapeId="0" xr:uid="{2EB8A117-0960-4221-9DDA-369B8E4A081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AB14" authorId="0" shapeId="0" xr:uid="{5D981936-C2F3-4EB0-8BEE-5E9C4F8E6F59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</commentList>
</comments>
</file>

<file path=xl/sharedStrings.xml><?xml version="1.0" encoding="utf-8"?>
<sst xmlns="http://schemas.openxmlformats.org/spreadsheetml/2006/main" count="1682" uniqueCount="429">
  <si>
    <t>2026年零件部楊梅配銷室月報</t>
    <phoneticPr fontId="1" type="noConversion"/>
  </si>
  <si>
    <t>項目</t>
    <phoneticPr fontId="1" type="noConversion"/>
  </si>
  <si>
    <t>當月目標</t>
    <phoneticPr fontId="1" type="noConversion"/>
  </si>
  <si>
    <t>當月達成率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</si>
  <si>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</si>
  <si>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</si>
  <si>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</si>
  <si>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</si>
  <si>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</si>
  <si>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</si>
  <si>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</si>
  <si>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</si>
  <si>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</si>
  <si>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</si>
  <si>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</si>
  <si>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</si>
  <si>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平均累計</t>
    <phoneticPr fontId="1" type="noConversion"/>
  </si>
  <si>
    <t>累計達成率</t>
    <phoneticPr fontId="1" type="noConversion"/>
  </si>
  <si>
    <t>材敏現場人員數</t>
    <phoneticPr fontId="1" type="noConversion"/>
  </si>
  <si>
    <t>---</t>
    <phoneticPr fontId="1" type="noConversion"/>
  </si>
  <si>
    <r>
      <t>材敏大物25--鈞傑/鈞凱+(進貨17+出貨29)--小鳳+P9(</t>
    </r>
    <r>
      <rPr>
        <sz val="12"/>
        <color rgb="FFFF0000"/>
        <rFont val="微軟正黑體"/>
        <family val="2"/>
        <charset val="136"/>
      </rPr>
      <t>27</t>
    </r>
    <r>
      <rPr>
        <sz val="12"/>
        <rFont val="微軟正黑體"/>
        <family val="2"/>
        <charset val="136"/>
      </rPr>
      <t>)</t>
    </r>
    <phoneticPr fontId="1" type="noConversion"/>
  </si>
  <si>
    <t>作業量</t>
    <phoneticPr fontId="1" type="noConversion"/>
  </si>
  <si>
    <t>進貨</t>
    <phoneticPr fontId="1" type="noConversion"/>
  </si>
  <si>
    <t>點數</t>
    <phoneticPr fontId="1" type="noConversion"/>
  </si>
  <si>
    <t>參考p7</t>
    <phoneticPr fontId="1" type="noConversion"/>
  </si>
  <si>
    <t>同期比</t>
    <phoneticPr fontId="1" type="noConversion"/>
  </si>
  <si>
    <t>參考進貨點數(同期比)</t>
    <phoneticPr fontId="1" type="noConversion"/>
  </si>
  <si>
    <t>PCS數</t>
    <phoneticPr fontId="1" type="noConversion"/>
  </si>
  <si>
    <t>加班時數</t>
    <phoneticPr fontId="1" type="noConversion"/>
  </si>
  <si>
    <t>I:\3楊梅配銷室\06.共同事務\A.月報\106年\月報新版共二頁-2017年材敏加班統計，加班合計</t>
    <phoneticPr fontId="1" type="noConversion"/>
  </si>
  <si>
    <t xml:space="preserve">
出貨
</t>
    <phoneticPr fontId="1" type="noConversion"/>
  </si>
  <si>
    <t>參考p1</t>
    <phoneticPr fontId="1" type="noConversion"/>
  </si>
  <si>
    <t>HF點數</t>
    <phoneticPr fontId="1" type="noConversion"/>
  </si>
  <si>
    <t>參考p8</t>
    <phoneticPr fontId="1" type="noConversion"/>
  </si>
  <si>
    <t>(台中倉全日出貨量DLR/HF+湖內副倉全日出貨量DLR/HF)-I數</t>
    <phoneticPr fontId="1" type="noConversion"/>
  </si>
  <si>
    <t>HF PCS數</t>
    <phoneticPr fontId="1" type="noConversion"/>
  </si>
  <si>
    <t>(台中倉全日出貨量DLR/HF+湖內副倉全日出貨量DLR/HF)-PCS數</t>
    <phoneticPr fontId="1" type="noConversion"/>
  </si>
  <si>
    <t>優先開箱點數</t>
    <phoneticPr fontId="1" type="noConversion"/>
  </si>
  <si>
    <t>中小物</t>
    <phoneticPr fontId="1" type="noConversion"/>
  </si>
  <si>
    <t xml:space="preserve">抓QB
</t>
    <phoneticPr fontId="1" type="noConversion"/>
  </si>
  <si>
    <t>大物</t>
    <phoneticPr fontId="1" type="noConversion"/>
  </si>
  <si>
    <t>慶林兄提供</t>
    <phoneticPr fontId="1" type="noConversion"/>
  </si>
  <si>
    <t>包裝</t>
    <phoneticPr fontId="1" type="noConversion"/>
  </si>
  <si>
    <t>P9到貨</t>
    <phoneticPr fontId="1" type="noConversion"/>
  </si>
  <si>
    <t>I:\3楊梅配銷室\06.共同事務\A.月報\106年\月報新版共二頁-2017年材敏加班統計, 加班合計</t>
    <phoneticPr fontId="1" type="noConversion"/>
  </si>
  <si>
    <t>生產力</t>
    <phoneticPr fontId="1" type="noConversion"/>
  </si>
  <si>
    <t>進貨(i/hr)</t>
    <phoneticPr fontId="1" type="noConversion"/>
  </si>
  <si>
    <t>中小物(i/hr)</t>
    <phoneticPr fontId="1" type="noConversion"/>
  </si>
  <si>
    <t>大物(i/hr)</t>
    <phoneticPr fontId="1" type="noConversion"/>
  </si>
  <si>
    <t>出貨(i/hr)</t>
    <phoneticPr fontId="1" type="noConversion"/>
  </si>
  <si>
    <t>包裝(i/hr)</t>
    <phoneticPr fontId="1" type="noConversion"/>
  </si>
  <si>
    <t>P9</t>
    <phoneticPr fontId="1" type="noConversion"/>
  </si>
  <si>
    <t>品質</t>
    <phoneticPr fontId="1" type="noConversion"/>
  </si>
  <si>
    <t>出貨品質</t>
    <phoneticPr fontId="1" type="noConversion"/>
  </si>
  <si>
    <t>誤品(ppm)</t>
    <phoneticPr fontId="1" type="noConversion"/>
  </si>
  <si>
    <t>欠品(ppm)</t>
    <phoneticPr fontId="1" type="noConversion"/>
  </si>
  <si>
    <t>P3</t>
    <phoneticPr fontId="1" type="noConversion"/>
  </si>
  <si>
    <t>損品(ppm)</t>
    <phoneticPr fontId="1" type="noConversion"/>
  </si>
  <si>
    <t>包裝(ppm)</t>
    <phoneticPr fontId="1" type="noConversion"/>
  </si>
  <si>
    <t>配送品質-準時率</t>
    <phoneticPr fontId="1" type="noConversion"/>
  </si>
  <si>
    <t>P8</t>
    <phoneticPr fontId="1" type="noConversion"/>
  </si>
  <si>
    <t>包材回收</t>
    <phoneticPr fontId="1" type="noConversion"/>
  </si>
  <si>
    <t>重量
(公斤)</t>
    <phoneticPr fontId="1" type="noConversion"/>
  </si>
  <si>
    <t>國內</t>
    <phoneticPr fontId="1" type="noConversion"/>
  </si>
  <si>
    <t>---</t>
  </si>
  <si>
    <t>I:\3楊梅配銷室\06.共同事務-楊配室KPI匯整</t>
    <phoneticPr fontId="1" type="noConversion"/>
  </si>
  <si>
    <t>國外</t>
    <phoneticPr fontId="1" type="noConversion"/>
  </si>
  <si>
    <t>合計</t>
    <phoneticPr fontId="1" type="noConversion"/>
  </si>
  <si>
    <t>同期比</t>
  </si>
  <si>
    <t>金額
(萬元)</t>
    <phoneticPr fontId="1" type="noConversion"/>
  </si>
  <si>
    <t>增援運費</t>
    <phoneticPr fontId="1" type="noConversion"/>
  </si>
  <si>
    <t>金額
(仟元)</t>
    <phoneticPr fontId="1" type="noConversion"/>
  </si>
  <si>
    <t>DLR(北區)</t>
    <phoneticPr fontId="1" type="noConversion"/>
  </si>
  <si>
    <t>台數:楊配室KPI匯總，DLR增援車P14-1(增下據點+增援車費)</t>
    <phoneticPr fontId="1" type="noConversion"/>
  </si>
  <si>
    <t>SDTC</t>
    <phoneticPr fontId="1" type="noConversion"/>
  </si>
  <si>
    <t>P14-2, 增援車金額:按上班天數-台中基本17噸/1台(7989元)，2台35噸(11406元/台)</t>
    <phoneticPr fontId="1" type="noConversion"/>
  </si>
  <si>
    <t>SDHN</t>
    <phoneticPr fontId="1" type="noConversion"/>
  </si>
  <si>
    <t>仁武倉基本2台35噸(17618元/台)，17噸均為增援車11770元/台</t>
    <phoneticPr fontId="1" type="noConversion"/>
  </si>
  <si>
    <t>庫位使用率</t>
    <phoneticPr fontId="1" type="noConversion"/>
  </si>
  <si>
    <t>中小物區</t>
    <phoneticPr fontId="1" type="noConversion"/>
  </si>
  <si>
    <t>積層區(A-D)</t>
    <phoneticPr fontId="1" type="noConversion"/>
  </si>
  <si>
    <t>積層區( E.P.T.U.4 )</t>
    <phoneticPr fontId="1" type="noConversion"/>
  </si>
  <si>
    <t>專區(R.S.J )</t>
    <phoneticPr fontId="1" type="noConversion"/>
  </si>
  <si>
    <t>大物區</t>
    <phoneticPr fontId="1" type="noConversion"/>
  </si>
  <si>
    <t>高中銷區(F.N.H)</t>
  </si>
  <si>
    <t>金屬區(H)</t>
    <phoneticPr fontId="1" type="noConversion"/>
  </si>
  <si>
    <t>低滯銷區(M.Q)</t>
    <phoneticPr fontId="1" type="noConversion"/>
  </si>
  <si>
    <t>電、化品區(K)</t>
    <phoneticPr fontId="1" type="noConversion"/>
  </si>
  <si>
    <t>保 桿區(V)</t>
    <phoneticPr fontId="1" type="noConversion"/>
  </si>
  <si>
    <t>輪胎區(Y)</t>
    <phoneticPr fontId="1" type="noConversion"/>
  </si>
  <si>
    <t>油品區(Z)</t>
    <phoneticPr fontId="1" type="noConversion"/>
  </si>
  <si>
    <t>全區</t>
    <phoneticPr fontId="1" type="noConversion"/>
  </si>
  <si>
    <t>2019年
/月份</t>
    <phoneticPr fontId="1" type="noConversion"/>
  </si>
  <si>
    <t>零件 i</t>
    <phoneticPr fontId="1" type="noConversion"/>
  </si>
  <si>
    <t>和勁 i</t>
    <phoneticPr fontId="1" type="noConversion"/>
  </si>
  <si>
    <t>產機 i</t>
    <phoneticPr fontId="1" type="noConversion"/>
  </si>
  <si>
    <t>車美仕 i</t>
    <phoneticPr fontId="1" type="noConversion"/>
  </si>
  <si>
    <t>和運 i</t>
    <phoneticPr fontId="1" type="noConversion"/>
  </si>
  <si>
    <t>和運經銷商i</t>
    <phoneticPr fontId="1" type="noConversion"/>
  </si>
  <si>
    <t>湯淺 i</t>
    <phoneticPr fontId="1" type="noConversion"/>
  </si>
  <si>
    <t>總合計i</t>
    <phoneticPr fontId="1" type="noConversion"/>
  </si>
  <si>
    <t>零件pcs</t>
    <phoneticPr fontId="1" type="noConversion"/>
  </si>
  <si>
    <t>和勁pcs</t>
    <phoneticPr fontId="1" type="noConversion"/>
  </si>
  <si>
    <t>產機pcs</t>
    <phoneticPr fontId="1" type="noConversion"/>
  </si>
  <si>
    <t>車美仕pcs</t>
    <phoneticPr fontId="1" type="noConversion"/>
  </si>
  <si>
    <t>和運pcs</t>
    <phoneticPr fontId="1" type="noConversion"/>
  </si>
  <si>
    <t>和運經銷商pcs</t>
    <phoneticPr fontId="1" type="noConversion"/>
  </si>
  <si>
    <t>湯淺pcs</t>
    <phoneticPr fontId="1" type="noConversion"/>
  </si>
  <si>
    <t>總合計pcs</t>
    <phoneticPr fontId="1" type="noConversion"/>
  </si>
  <si>
    <t>出貨點數</t>
    <phoneticPr fontId="1" type="noConversion"/>
  </si>
  <si>
    <t>2020年
/月份</t>
    <phoneticPr fontId="1" type="noConversion"/>
  </si>
  <si>
    <t>平均</t>
    <phoneticPr fontId="1" type="noConversion"/>
  </si>
  <si>
    <t xml:space="preserve">同期比 </t>
    <phoneticPr fontId="1" type="noConversion"/>
  </si>
  <si>
    <t>出貨PCS</t>
    <phoneticPr fontId="1" type="noConversion"/>
  </si>
  <si>
    <t>2021年
/月份</t>
    <phoneticPr fontId="1" type="noConversion"/>
  </si>
  <si>
    <t>2022年
/月份</t>
    <phoneticPr fontId="1" type="noConversion"/>
  </si>
  <si>
    <t>聯網 i</t>
    <phoneticPr fontId="1" type="noConversion"/>
  </si>
  <si>
    <t>Gsi</t>
    <phoneticPr fontId="1" type="noConversion"/>
  </si>
  <si>
    <t>聯網pcs</t>
    <phoneticPr fontId="1" type="noConversion"/>
  </si>
  <si>
    <t>GS pcs</t>
    <phoneticPr fontId="1" type="noConversion"/>
  </si>
  <si>
    <t>2023年</t>
    <phoneticPr fontId="1" type="noConversion"/>
  </si>
  <si>
    <t>Gs i</t>
    <phoneticPr fontId="1" type="noConversion"/>
  </si>
  <si>
    <t>2024年</t>
    <phoneticPr fontId="1" type="noConversion"/>
  </si>
  <si>
    <t>2024工作天數</t>
    <phoneticPr fontId="1" type="noConversion"/>
  </si>
  <si>
    <t>2025年</t>
    <phoneticPr fontId="1" type="noConversion"/>
  </si>
  <si>
    <t>聖志</t>
    <phoneticPr fontId="1" type="noConversion"/>
  </si>
  <si>
    <t>嘉銘</t>
    <phoneticPr fontId="1" type="noConversion"/>
  </si>
  <si>
    <t>其他為徐組</t>
  </si>
  <si>
    <t>工作天數</t>
    <phoneticPr fontId="1" type="noConversion"/>
  </si>
  <si>
    <t>20 VS 25</t>
    <phoneticPr fontId="1" type="noConversion"/>
  </si>
  <si>
    <t>22 VS 18</t>
    <phoneticPr fontId="1" type="noConversion"/>
  </si>
  <si>
    <t>26 VS 26</t>
    <phoneticPr fontId="1" type="noConversion"/>
  </si>
  <si>
    <t>24 VS 24</t>
    <phoneticPr fontId="1" type="noConversion"/>
  </si>
  <si>
    <t>24 VS 26</t>
    <phoneticPr fontId="1" type="noConversion"/>
  </si>
  <si>
    <t>24 VS 23</t>
    <phoneticPr fontId="1" type="noConversion"/>
  </si>
  <si>
    <t>26 VS 25</t>
    <phoneticPr fontId="1" type="noConversion"/>
  </si>
  <si>
    <t>25 VS 27</t>
    <phoneticPr fontId="1" type="noConversion"/>
  </si>
  <si>
    <t>25 VS 24</t>
    <phoneticPr fontId="1" type="noConversion"/>
  </si>
  <si>
    <t>23 VS 23</t>
    <phoneticPr fontId="1" type="noConversion"/>
  </si>
  <si>
    <t>23 VS 26</t>
    <phoneticPr fontId="1" type="noConversion"/>
  </si>
  <si>
    <t>25 VS 25</t>
    <phoneticPr fontId="1" type="noConversion"/>
  </si>
  <si>
    <t>2025 VS 2024</t>
    <phoneticPr fontId="1" type="noConversion"/>
  </si>
  <si>
    <t>2025工作天數</t>
    <phoneticPr fontId="1" type="noConversion"/>
  </si>
  <si>
    <t>2026年</t>
    <phoneticPr fontId="1" type="noConversion"/>
  </si>
  <si>
    <t>26 VS 20</t>
    <phoneticPr fontId="1" type="noConversion"/>
  </si>
  <si>
    <t>16 VS 22</t>
    <phoneticPr fontId="1" type="noConversion"/>
  </si>
  <si>
    <t>23 VS 24</t>
    <phoneticPr fontId="1" type="noConversion"/>
  </si>
  <si>
    <t>25 VS 26</t>
    <phoneticPr fontId="1" type="noConversion"/>
  </si>
  <si>
    <t>2026 VS 2025</t>
    <phoneticPr fontId="1" type="noConversion"/>
  </si>
  <si>
    <t>2014年/月份</t>
    <phoneticPr fontId="1" type="noConversion"/>
  </si>
  <si>
    <t xml:space="preserve">I </t>
    <phoneticPr fontId="1" type="noConversion"/>
  </si>
  <si>
    <t>PCS</t>
    <phoneticPr fontId="1" type="noConversion"/>
  </si>
  <si>
    <t>2015年/月份</t>
    <phoneticPr fontId="1" type="noConversion"/>
  </si>
  <si>
    <t>2016年/月份</t>
    <phoneticPr fontId="1" type="noConversion"/>
  </si>
  <si>
    <t>同期比I</t>
    <phoneticPr fontId="1" type="noConversion"/>
  </si>
  <si>
    <t>同期比PCS</t>
    <phoneticPr fontId="1" type="noConversion"/>
  </si>
  <si>
    <t>2017年/月份</t>
    <phoneticPr fontId="1" type="noConversion"/>
  </si>
  <si>
    <t>2018年/月份</t>
    <phoneticPr fontId="1" type="noConversion"/>
  </si>
  <si>
    <t>2019年/月份</t>
    <phoneticPr fontId="1" type="noConversion"/>
  </si>
  <si>
    <t>2020年/月份</t>
    <phoneticPr fontId="1" type="noConversion"/>
  </si>
  <si>
    <t>2021年/月份</t>
    <phoneticPr fontId="1" type="noConversion"/>
  </si>
  <si>
    <t>2022年/月份</t>
    <phoneticPr fontId="1" type="noConversion"/>
  </si>
  <si>
    <t>2023年/月份</t>
    <phoneticPr fontId="1" type="noConversion"/>
  </si>
  <si>
    <t>2024年/月份</t>
    <phoneticPr fontId="1" type="noConversion"/>
  </si>
  <si>
    <t>2025年/月份</t>
    <phoneticPr fontId="1" type="noConversion"/>
  </si>
  <si>
    <t>2026年/月份</t>
    <phoneticPr fontId="1" type="noConversion"/>
  </si>
  <si>
    <r>
      <t>2015</t>
    </r>
    <r>
      <rPr>
        <b/>
        <u/>
        <sz val="28"/>
        <rFont val="華康儷中黑"/>
        <family val="3"/>
        <charset val="136"/>
      </rPr>
      <t>年</t>
    </r>
    <r>
      <rPr>
        <b/>
        <u/>
        <sz val="28"/>
        <rFont val="Arial"/>
        <family val="2"/>
      </rPr>
      <t>10</t>
    </r>
    <r>
      <rPr>
        <b/>
        <u/>
        <sz val="28"/>
        <rFont val="華康儷中黑"/>
        <family val="3"/>
        <charset val="136"/>
      </rPr>
      <t>月</t>
    </r>
    <r>
      <rPr>
        <b/>
        <u/>
        <sz val="28"/>
        <rFont val="Arial"/>
        <family val="2"/>
      </rPr>
      <t xml:space="preserve"> ~ 2015</t>
    </r>
    <r>
      <rPr>
        <b/>
        <u/>
        <sz val="28"/>
        <rFont val="華康儷中黑"/>
        <family val="3"/>
        <charset val="136"/>
      </rPr>
      <t>年</t>
    </r>
    <r>
      <rPr>
        <b/>
        <u/>
        <sz val="28"/>
        <rFont val="Arial"/>
        <family val="2"/>
      </rPr>
      <t>12</t>
    </r>
    <r>
      <rPr>
        <b/>
        <u/>
        <sz val="28"/>
        <rFont val="華康儷中黑"/>
        <family val="3"/>
        <charset val="136"/>
      </rPr>
      <t>月</t>
    </r>
    <r>
      <rPr>
        <b/>
        <u/>
        <sz val="28"/>
        <rFont val="Arial"/>
        <family val="2"/>
      </rPr>
      <t xml:space="preserve">  </t>
    </r>
    <r>
      <rPr>
        <b/>
        <u/>
        <sz val="28"/>
        <rFont val="華康儷中黑"/>
        <family val="3"/>
        <charset val="136"/>
      </rPr>
      <t>楊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梅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倉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庫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各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零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件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保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管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庫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區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使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用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狀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況</t>
    </r>
    <phoneticPr fontId="4" type="noConversion"/>
  </si>
  <si>
    <t>2016/01/06</t>
    <phoneticPr fontId="4" type="noConversion"/>
  </si>
  <si>
    <r>
      <rPr>
        <b/>
        <sz val="12"/>
        <rFont val="華康儷中黑"/>
        <family val="3"/>
        <charset val="136"/>
      </rPr>
      <t>製表</t>
    </r>
    <r>
      <rPr>
        <b/>
        <sz val="12"/>
        <rFont val="Arial"/>
        <family val="2"/>
      </rPr>
      <t>.</t>
    </r>
    <phoneticPr fontId="4" type="noConversion"/>
  </si>
  <si>
    <r>
      <rPr>
        <sz val="14"/>
        <rFont val="華康儷中黑"/>
        <family val="3"/>
        <charset val="136"/>
      </rPr>
      <t>管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理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別</t>
    </r>
    <phoneticPr fontId="4" type="noConversion"/>
  </si>
  <si>
    <r>
      <rPr>
        <sz val="14"/>
        <rFont val="華康儷中黑"/>
        <family val="3"/>
        <charset val="136"/>
      </rPr>
      <t>中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小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物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( </t>
    </r>
    <r>
      <rPr>
        <sz val="14"/>
        <rFont val="華康儷中黑"/>
        <family val="3"/>
        <charset val="136"/>
      </rPr>
      <t>材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敏</t>
    </r>
    <r>
      <rPr>
        <sz val="14"/>
        <rFont val="Arial"/>
        <family val="2"/>
      </rPr>
      <t xml:space="preserve"> )</t>
    </r>
    <phoneticPr fontId="4" type="noConversion"/>
  </si>
  <si>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物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( </t>
    </r>
    <r>
      <rPr>
        <sz val="14"/>
        <rFont val="華康儷中黑"/>
        <family val="3"/>
        <charset val="136"/>
      </rPr>
      <t>和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泰</t>
    </r>
    <r>
      <rPr>
        <sz val="14"/>
        <rFont val="Arial"/>
        <family val="2"/>
      </rPr>
      <t xml:space="preserve"> )</t>
    </r>
    <phoneticPr fontId="4" type="noConversion"/>
  </si>
  <si>
    <r>
      <rPr>
        <sz val="14"/>
        <rFont val="華康儷中黑"/>
        <family val="3"/>
        <charset val="136"/>
      </rPr>
      <t>小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計</t>
    </r>
  </si>
  <si>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保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管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狀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況</t>
    </r>
  </si>
  <si>
    <t>合 計</t>
    <phoneticPr fontId="4" type="noConversion"/>
  </si>
  <si>
    <t xml:space="preserve">
新 卡</t>
    <phoneticPr fontId="4" type="noConversion"/>
  </si>
  <si>
    <t xml:space="preserve">
空庫位
取消</t>
    <phoneticPr fontId="4" type="noConversion"/>
  </si>
  <si>
    <t xml:space="preserve">
不適當
遷移</t>
    <phoneticPr fontId="4" type="noConversion"/>
  </si>
  <si>
    <r>
      <rPr>
        <sz val="18"/>
        <rFont val="華康儷中黑"/>
        <family val="3"/>
        <charset val="136"/>
      </rPr>
      <t>區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域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別</t>
    </r>
    <phoneticPr fontId="4" type="noConversion"/>
  </si>
  <si>
    <r>
      <rPr>
        <sz val="18"/>
        <rFont val="華康儷中黑"/>
        <family val="3"/>
        <charset val="136"/>
      </rPr>
      <t>積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層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庫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區</t>
    </r>
  </si>
  <si>
    <r>
      <rPr>
        <sz val="18"/>
        <rFont val="華康儷中黑"/>
        <family val="3"/>
        <charset val="136"/>
      </rPr>
      <t>專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區</t>
    </r>
  </si>
  <si>
    <r>
      <rPr>
        <sz val="18"/>
        <rFont val="華康儷中黑"/>
        <family val="3"/>
        <charset val="136"/>
      </rPr>
      <t>小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計</t>
    </r>
  </si>
  <si>
    <r>
      <rPr>
        <sz val="18"/>
        <rFont val="華康儷中黑"/>
        <family val="3"/>
        <charset val="136"/>
      </rPr>
      <t>高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層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架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庫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區</t>
    </r>
  </si>
  <si>
    <r>
      <rPr>
        <sz val="18"/>
        <rFont val="華康儷中黑"/>
        <family val="3"/>
        <charset val="136"/>
      </rPr>
      <t>合</t>
    </r>
    <r>
      <rPr>
        <sz val="18"/>
        <rFont val="Arial"/>
        <family val="2"/>
      </rPr>
      <t xml:space="preserve">  </t>
    </r>
    <r>
      <rPr>
        <sz val="18"/>
        <rFont val="華康儷中黑"/>
        <family val="3"/>
        <charset val="136"/>
      </rPr>
      <t>計</t>
    </r>
    <phoneticPr fontId="4" type="noConversion"/>
  </si>
  <si>
    <r>
      <rPr>
        <sz val="18"/>
        <rFont val="華康儷中黑"/>
        <family val="3"/>
        <charset val="136"/>
      </rPr>
      <t>▲</t>
    </r>
    <phoneticPr fontId="4" type="noConversion"/>
  </si>
  <si>
    <r>
      <rPr>
        <sz val="18"/>
        <rFont val="華康儷中黑"/>
        <family val="3"/>
        <charset val="136"/>
      </rPr>
      <t>◎</t>
    </r>
    <phoneticPr fontId="4" type="noConversion"/>
  </si>
  <si>
    <r>
      <rPr>
        <sz val="18"/>
        <rFont val="華康儷中黑"/>
        <family val="3"/>
        <charset val="136"/>
      </rPr>
      <t>▽</t>
    </r>
    <phoneticPr fontId="4" type="noConversion"/>
  </si>
  <si>
    <t>小 計</t>
    <phoneticPr fontId="4" type="noConversion"/>
  </si>
  <si>
    <r>
      <rPr>
        <sz val="18"/>
        <rFont val="華康儷中黑"/>
        <family val="3"/>
        <charset val="136"/>
      </rPr>
      <t>庫</t>
    </r>
    <r>
      <rPr>
        <sz val="18"/>
        <rFont val="Arial"/>
        <family val="2"/>
      </rPr>
      <t xml:space="preserve">    </t>
    </r>
    <r>
      <rPr>
        <sz val="18"/>
        <rFont val="華康儷中黑"/>
        <family val="3"/>
        <charset val="136"/>
      </rPr>
      <t>區</t>
    </r>
    <phoneticPr fontId="4" type="noConversion"/>
  </si>
  <si>
    <t>A</t>
  </si>
  <si>
    <t>B</t>
  </si>
  <si>
    <t>C</t>
  </si>
  <si>
    <t>D</t>
  </si>
  <si>
    <t>E</t>
  </si>
  <si>
    <t>P</t>
    <phoneticPr fontId="4" type="noConversion"/>
  </si>
  <si>
    <t>T</t>
    <phoneticPr fontId="4" type="noConversion"/>
  </si>
  <si>
    <t>U</t>
    <phoneticPr fontId="4" type="noConversion"/>
  </si>
  <si>
    <t>R</t>
    <phoneticPr fontId="4" type="noConversion"/>
  </si>
  <si>
    <t>S</t>
  </si>
  <si>
    <t>J</t>
    <phoneticPr fontId="4" type="noConversion"/>
  </si>
  <si>
    <t>W</t>
    <phoneticPr fontId="4" type="noConversion"/>
  </si>
  <si>
    <t>F</t>
  </si>
  <si>
    <t>N</t>
    <phoneticPr fontId="4" type="noConversion"/>
  </si>
  <si>
    <t>G</t>
  </si>
  <si>
    <t>H</t>
  </si>
  <si>
    <r>
      <t>M</t>
    </r>
    <r>
      <rPr>
        <sz val="18"/>
        <rFont val="華康儷中黑"/>
        <family val="3"/>
        <charset val="136"/>
      </rPr>
      <t>、</t>
    </r>
    <r>
      <rPr>
        <sz val="18"/>
        <rFont val="Arial"/>
        <family val="2"/>
      </rPr>
      <t>Q</t>
    </r>
    <phoneticPr fontId="4" type="noConversion"/>
  </si>
  <si>
    <t>L</t>
  </si>
  <si>
    <t>K</t>
  </si>
  <si>
    <t>V</t>
  </si>
  <si>
    <t>Y</t>
  </si>
  <si>
    <t>Z</t>
  </si>
  <si>
    <r>
      <rPr>
        <sz val="14"/>
        <rFont val="華康儷中黑"/>
        <family val="3"/>
        <charset val="136"/>
      </rPr>
      <t>過高</t>
    </r>
    <r>
      <rPr>
        <sz val="14"/>
        <rFont val="Arial"/>
        <family val="2"/>
      </rPr>
      <t xml:space="preserve">    &gt;85%</t>
    </r>
    <phoneticPr fontId="4" type="noConversion"/>
  </si>
  <si>
    <r>
      <rPr>
        <sz val="14"/>
        <rFont val="華康儷中黑"/>
        <family val="3"/>
        <charset val="136"/>
      </rPr>
      <t>正常</t>
    </r>
    <r>
      <rPr>
        <sz val="14"/>
        <rFont val="Arial"/>
        <family val="2"/>
      </rPr>
      <t xml:space="preserve">    75~85%</t>
    </r>
    <phoneticPr fontId="4" type="noConversion"/>
  </si>
  <si>
    <r>
      <rPr>
        <sz val="14"/>
        <rFont val="華康儷中黑"/>
        <family val="3"/>
        <charset val="136"/>
      </rPr>
      <t>過低</t>
    </r>
    <r>
      <rPr>
        <sz val="14"/>
        <rFont val="Arial"/>
        <family val="2"/>
      </rPr>
      <t xml:space="preserve">    &lt;75%</t>
    </r>
    <phoneticPr fontId="4" type="noConversion"/>
  </si>
  <si>
    <t>保管類別</t>
    <phoneticPr fontId="4" type="noConversion"/>
  </si>
  <si>
    <r>
      <rPr>
        <sz val="14"/>
        <rFont val="華康儷中黑"/>
        <family val="3"/>
        <charset val="136"/>
      </rPr>
      <t>高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 </t>
    </r>
    <r>
      <rPr>
        <sz val="14"/>
        <rFont val="華康儷中黑"/>
        <family val="3"/>
        <charset val="136"/>
      </rPr>
      <t>中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</si>
  <si>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高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     </t>
    </r>
    <r>
      <rPr>
        <sz val="14"/>
        <rFont val="華康儷中黑"/>
        <family val="3"/>
        <charset val="136"/>
      </rPr>
      <t>中小物</t>
    </r>
    <phoneticPr fontId="4" type="noConversion"/>
  </si>
  <si>
    <r>
      <rPr>
        <sz val="14"/>
        <rFont val="華康儷中黑"/>
        <family val="3"/>
        <charset val="136"/>
      </rPr>
      <t>低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中量物</t>
    </r>
    <phoneticPr fontId="4" type="noConversion"/>
  </si>
  <si>
    <r>
      <rPr>
        <sz val="14"/>
        <rFont val="華康儷中黑"/>
        <family val="3"/>
        <charset val="136"/>
      </rPr>
      <t>低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中小物</t>
    </r>
    <phoneticPr fontId="4" type="noConversion"/>
  </si>
  <si>
    <r>
      <rPr>
        <sz val="14"/>
        <rFont val="華康儷中黑"/>
        <family val="3"/>
        <charset val="136"/>
      </rPr>
      <t>暢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</t>
    </r>
    <r>
      <rPr>
        <sz val="14"/>
        <rFont val="華康儷中黑"/>
        <family val="3"/>
        <charset val="136"/>
      </rPr>
      <t>量物區</t>
    </r>
    <phoneticPr fontId="4" type="noConversion"/>
  </si>
  <si>
    <r>
      <rPr>
        <sz val="14"/>
        <rFont val="華康儷中黑"/>
        <family val="3"/>
        <charset val="136"/>
      </rPr>
      <t>低、滯</t>
    </r>
    <r>
      <rPr>
        <sz val="14"/>
        <rFont val="Arial"/>
        <family val="2"/>
      </rPr>
      <t xml:space="preserve">       </t>
    </r>
    <r>
      <rPr>
        <sz val="14"/>
        <rFont val="華康儷中黑"/>
        <family val="3"/>
        <charset val="136"/>
      </rPr>
      <t>銷區</t>
    </r>
  </si>
  <si>
    <r>
      <rPr>
        <sz val="14"/>
        <rFont val="華康儷中黑"/>
        <family val="3"/>
        <charset val="136"/>
      </rPr>
      <t>中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</t>
    </r>
    <r>
      <rPr>
        <sz val="14"/>
        <rFont val="華康儷中黑"/>
        <family val="3"/>
        <charset val="136"/>
      </rPr>
      <t>量物區</t>
    </r>
    <phoneticPr fontId="4" type="noConversion"/>
  </si>
  <si>
    <t>低銷區</t>
  </si>
  <si>
    <t>精品區</t>
    <phoneticPr fontId="4" type="noConversion"/>
  </si>
  <si>
    <r>
      <rPr>
        <sz val="14"/>
        <rFont val="華康儷中黑"/>
        <family val="3"/>
        <charset val="136"/>
      </rPr>
      <t>高價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品區</t>
    </r>
    <phoneticPr fontId="4" type="noConversion"/>
  </si>
  <si>
    <r>
      <rPr>
        <sz val="14"/>
        <rFont val="華康儷中黑"/>
        <family val="3"/>
        <charset val="136"/>
      </rPr>
      <t>精品區</t>
    </r>
  </si>
  <si>
    <r>
      <t xml:space="preserve">CAPS
</t>
    </r>
    <r>
      <rPr>
        <sz val="14"/>
        <rFont val="華康儷中黑"/>
        <family val="3"/>
        <charset val="136"/>
      </rPr>
      <t>庫區</t>
    </r>
    <phoneticPr fontId="4" type="noConversion"/>
  </si>
  <si>
    <r>
      <rPr>
        <sz val="14"/>
        <rFont val="華康儷中黑"/>
        <family val="3"/>
        <charset val="136"/>
      </rPr>
      <t>高中銷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</si>
  <si>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中低銷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</si>
  <si>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高中銷</t>
    </r>
    <r>
      <rPr>
        <sz val="14"/>
        <rFont val="Arial"/>
        <family val="2"/>
      </rPr>
      <t xml:space="preserve">         </t>
    </r>
    <r>
      <rPr>
        <sz val="14"/>
        <rFont val="華康儷中黑"/>
        <family val="3"/>
        <charset val="136"/>
      </rPr>
      <t>大中物</t>
    </r>
    <phoneticPr fontId="4" type="noConversion"/>
  </si>
  <si>
    <r>
      <rPr>
        <sz val="14"/>
        <rFont val="華康儷中黑"/>
        <family val="3"/>
        <charset val="136"/>
      </rPr>
      <t>金屬區</t>
    </r>
  </si>
  <si>
    <r>
      <rPr>
        <sz val="14"/>
        <rFont val="華康儷中黑"/>
        <family val="3"/>
        <charset val="136"/>
      </rPr>
      <t>低、滯</t>
    </r>
    <r>
      <rPr>
        <sz val="14"/>
        <rFont val="Arial"/>
        <family val="2"/>
      </rPr>
      <t xml:space="preserve">       </t>
    </r>
    <r>
      <rPr>
        <sz val="14"/>
        <rFont val="華康儷中黑"/>
        <family val="3"/>
        <charset val="136"/>
      </rPr>
      <t>銷區</t>
    </r>
    <phoneticPr fontId="4" type="noConversion"/>
  </si>
  <si>
    <t>玻璃         庫區</t>
  </si>
  <si>
    <r>
      <rPr>
        <sz val="14"/>
        <rFont val="華康儷中黑"/>
        <family val="3"/>
        <charset val="136"/>
      </rPr>
      <t>電、化
品區</t>
    </r>
    <phoneticPr fontId="4" type="noConversion"/>
  </si>
  <si>
    <r>
      <rPr>
        <sz val="14"/>
        <rFont val="華康儷中黑"/>
        <family val="3"/>
        <charset val="136"/>
      </rPr>
      <t>保桿區</t>
    </r>
  </si>
  <si>
    <r>
      <rPr>
        <sz val="14"/>
        <rFont val="華康儷中黑"/>
        <family val="3"/>
        <charset val="136"/>
      </rPr>
      <t>輪胎區</t>
    </r>
  </si>
  <si>
    <r>
      <rPr>
        <sz val="14"/>
        <rFont val="華康儷中黑"/>
        <family val="3"/>
        <charset val="136"/>
      </rPr>
      <t>油品區</t>
    </r>
  </si>
  <si>
    <r>
      <t>2019</t>
    </r>
    <r>
      <rPr>
        <sz val="14"/>
        <rFont val="華康儷中黑"/>
        <family val="3"/>
        <charset val="136"/>
      </rPr>
      <t xml:space="preserve">年
</t>
    </r>
    <r>
      <rPr>
        <sz val="14"/>
        <rFont val="Arial"/>
        <family val="2"/>
      </rPr>
      <t>1</t>
    </r>
    <r>
      <rPr>
        <sz val="14"/>
        <rFont val="華康儷中黑"/>
        <family val="3"/>
        <charset val="136"/>
      </rPr>
      <t>月</t>
    </r>
    <phoneticPr fontId="4" type="noConversion"/>
  </si>
  <si>
    <r>
      <rPr>
        <sz val="14"/>
        <rFont val="華康儷中黑"/>
        <family val="3"/>
        <charset val="136"/>
      </rPr>
      <t>點數</t>
    </r>
    <r>
      <rPr>
        <sz val="14"/>
        <rFont val="Arial"/>
        <family val="2"/>
      </rPr>
      <t>(i)</t>
    </r>
  </si>
  <si>
    <r>
      <rPr>
        <sz val="14"/>
        <rFont val="華康儷中黑"/>
        <family val="3"/>
        <charset val="136"/>
      </rPr>
      <t>配置數</t>
    </r>
    <phoneticPr fontId="4" type="noConversion"/>
  </si>
  <si>
    <r>
      <rPr>
        <sz val="14"/>
        <rFont val="華康儷中黑"/>
        <family val="3"/>
        <charset val="136"/>
      </rPr>
      <t>使用率</t>
    </r>
  </si>
  <si>
    <r>
      <rPr>
        <sz val="14"/>
        <rFont val="華康儷中黑"/>
        <family val="3"/>
        <charset val="136"/>
      </rPr>
      <t>狀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況</t>
    </r>
  </si>
  <si>
    <r>
      <rPr>
        <sz val="14"/>
        <rFont val="華康儷中黑"/>
        <family val="3"/>
        <charset val="136"/>
      </rPr>
      <t>▲</t>
    </r>
  </si>
  <si>
    <r>
      <rPr>
        <sz val="14"/>
        <rFont val="華康儷中黑"/>
        <family val="3"/>
        <charset val="136"/>
      </rPr>
      <t>▽</t>
    </r>
  </si>
  <si>
    <r>
      <rPr>
        <sz val="14"/>
        <rFont val="華康儷中黑"/>
        <family val="3"/>
        <charset val="136"/>
      </rPr>
      <t>◎</t>
    </r>
    <phoneticPr fontId="4" type="noConversion"/>
  </si>
  <si>
    <r>
      <t>2019</t>
    </r>
    <r>
      <rPr>
        <sz val="14"/>
        <rFont val="華康儷中黑"/>
        <family val="3"/>
        <charset val="136"/>
      </rPr>
      <t xml:space="preserve">年
</t>
    </r>
    <r>
      <rPr>
        <sz val="14"/>
        <rFont val="Arial"/>
        <family val="2"/>
      </rPr>
      <t>2</t>
    </r>
    <r>
      <rPr>
        <sz val="14"/>
        <rFont val="華康儷中黑"/>
        <family val="3"/>
        <charset val="136"/>
      </rPr>
      <t>月</t>
    </r>
    <phoneticPr fontId="4" type="noConversion"/>
  </si>
  <si>
    <t>合計點數</t>
    <phoneticPr fontId="4" type="noConversion"/>
  </si>
  <si>
    <t>合計配置數</t>
    <phoneticPr fontId="4" type="noConversion"/>
  </si>
  <si>
    <r>
      <t>2019</t>
    </r>
    <r>
      <rPr>
        <sz val="14"/>
        <rFont val="華康儷中黑"/>
        <family val="3"/>
        <charset val="136"/>
      </rPr>
      <t xml:space="preserve">年
</t>
    </r>
    <r>
      <rPr>
        <sz val="14"/>
        <rFont val="Arial"/>
        <family val="2"/>
      </rPr>
      <t>3</t>
    </r>
    <r>
      <rPr>
        <sz val="14"/>
        <rFont val="華康儷中黑"/>
        <family val="3"/>
        <charset val="136"/>
      </rPr>
      <t>月</t>
    </r>
    <phoneticPr fontId="4" type="noConversion"/>
  </si>
  <si>
    <r>
      <t>2019</t>
    </r>
    <r>
      <rPr>
        <sz val="14"/>
        <rFont val="華康儷中黑"/>
        <family val="3"/>
        <charset val="136"/>
      </rPr>
      <t xml:space="preserve">年
</t>
    </r>
    <r>
      <rPr>
        <sz val="14"/>
        <rFont val="Arial"/>
        <family val="2"/>
      </rPr>
      <t>4</t>
    </r>
    <r>
      <rPr>
        <sz val="14"/>
        <rFont val="華康儷中黑"/>
        <family val="3"/>
        <charset val="136"/>
      </rPr>
      <t>月</t>
    </r>
    <phoneticPr fontId="4" type="noConversion"/>
  </si>
  <si>
    <r>
      <t>2019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</si>
  <si>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2019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</si>
  <si>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rPr>
        <sz val="18"/>
        <rFont val="華康儷中黑"/>
        <family val="3"/>
        <charset val="136"/>
      </rPr>
      <t>點數</t>
    </r>
    <r>
      <rPr>
        <sz val="18"/>
        <rFont val="Arial"/>
        <family val="2"/>
      </rPr>
      <t>(i)</t>
    </r>
  </si>
  <si>
    <r>
      <rPr>
        <sz val="18"/>
        <rFont val="華康儷中黑"/>
        <family val="3"/>
        <charset val="136"/>
      </rPr>
      <t>配置數</t>
    </r>
    <phoneticPr fontId="4" type="noConversion"/>
  </si>
  <si>
    <r>
      <rPr>
        <sz val="18"/>
        <rFont val="華康儷中黑"/>
        <family val="3"/>
        <charset val="136"/>
      </rPr>
      <t>使用率</t>
    </r>
  </si>
  <si>
    <r>
      <t>2019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</si>
  <si>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2019</t>
    </r>
    <r>
      <rPr>
        <sz val="16"/>
        <rFont val="華康儷中黑"/>
        <family val="3"/>
        <charset val="136"/>
      </rPr>
      <t>年
8</t>
    </r>
    <r>
      <rPr>
        <sz val="16"/>
        <rFont val="華康儷中黑"/>
        <family val="3"/>
        <charset val="136"/>
      </rPr>
      <t>月</t>
    </r>
    <phoneticPr fontId="4" type="noConversion"/>
  </si>
  <si>
    <r>
      <t>2019</t>
    </r>
    <r>
      <rPr>
        <sz val="16"/>
        <rFont val="華康儷中黑"/>
        <family val="3"/>
        <charset val="136"/>
      </rPr>
      <t>年
9月</t>
    </r>
    <phoneticPr fontId="4" type="noConversion"/>
  </si>
  <si>
    <r>
      <t>2019</t>
    </r>
    <r>
      <rPr>
        <sz val="16"/>
        <rFont val="華康儷中黑"/>
        <family val="3"/>
        <charset val="136"/>
      </rPr>
      <t>年
10月</t>
    </r>
    <phoneticPr fontId="4" type="noConversion"/>
  </si>
  <si>
    <r>
      <t>2019</t>
    </r>
    <r>
      <rPr>
        <sz val="16"/>
        <rFont val="華康儷中黑"/>
        <family val="3"/>
        <charset val="136"/>
      </rPr>
      <t>年
11月</t>
    </r>
    <phoneticPr fontId="4" type="noConversion"/>
  </si>
  <si>
    <r>
      <t>2019</t>
    </r>
    <r>
      <rPr>
        <sz val="16"/>
        <rFont val="華康儷中黑"/>
        <family val="3"/>
        <charset val="136"/>
      </rPr>
      <t>年
12月</t>
    </r>
    <phoneticPr fontId="4" type="noConversion"/>
  </si>
  <si>
    <r>
      <t>2020</t>
    </r>
    <r>
      <rPr>
        <sz val="16"/>
        <rFont val="華康儷中黑"/>
        <family val="3"/>
        <charset val="136"/>
      </rPr>
      <t>年
1月</t>
    </r>
    <phoneticPr fontId="4" type="noConversion"/>
  </si>
  <si>
    <t>使用率</t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</si>
  <si>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</si>
  <si>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</si>
  <si>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t>延伸庫位</t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</si>
  <si>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</si>
  <si>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</si>
  <si>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</si>
  <si>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rPr>
        <sz val="18"/>
        <rFont val="華康儷中黑"/>
        <family val="3"/>
        <charset val="136"/>
      </rPr>
      <t>點數</t>
    </r>
    <r>
      <rPr>
        <sz val="18"/>
        <rFont val="Arial"/>
        <family val="2"/>
      </rPr>
      <t xml:space="preserve"> (i)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</si>
  <si>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</si>
  <si>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</si>
  <si>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</si>
  <si>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</si>
  <si>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</si>
  <si>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 xml:space="preserve"> </t>
    </r>
    <r>
      <rPr>
        <sz val="18"/>
        <rFont val="細明體"/>
        <family val="3"/>
        <charset val="136"/>
      </rPr>
      <t>合計點數</t>
    </r>
    <phoneticPr fontId="4" type="noConversion"/>
  </si>
  <si>
    <r>
      <t>2020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</si>
  <si>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</si>
  <si>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</si>
  <si>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</si>
  <si>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</si>
  <si>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</si>
  <si>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</si>
  <si>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</si>
  <si>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t>配置數</t>
    <phoneticPr fontId="4" type="noConversion"/>
  </si>
  <si>
    <t xml:space="preserve"> 合計點數</t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</si>
  <si>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</si>
  <si>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</si>
  <si>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</si>
  <si>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</si>
  <si>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2021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</si>
  <si>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</si>
  <si>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</si>
  <si>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</si>
  <si>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</si>
  <si>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</si>
  <si>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</si>
  <si>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</si>
  <si>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</si>
  <si>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</si>
  <si>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</si>
  <si>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</si>
  <si>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</si>
  <si>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</si>
  <si>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</si>
  <si>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</si>
  <si>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>年
4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</si>
  <si>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>年
5月</t>
    </r>
    <phoneticPr fontId="4" type="noConversion"/>
  </si>
  <si>
    <r>
      <t>2023</t>
    </r>
    <r>
      <rPr>
        <sz val="16"/>
        <rFont val="華康儷中黑"/>
        <family val="3"/>
        <charset val="136"/>
      </rPr>
      <t>年
6月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</si>
  <si>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</si>
  <si>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</si>
  <si>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</si>
  <si>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</si>
  <si>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</si>
  <si>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</si>
  <si>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</si>
  <si>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</si>
  <si>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</si>
  <si>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</si>
  <si>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</si>
  <si>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</si>
  <si>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</si>
  <si>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</si>
  <si>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</si>
  <si>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</si>
  <si>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</si>
  <si>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</si>
  <si>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</si>
  <si>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</si>
  <si>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</si>
  <si>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</si>
  <si>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</si>
  <si>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</si>
  <si>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</si>
  <si>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</si>
  <si>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</si>
  <si>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</si>
  <si>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</si>
  <si>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</si>
  <si>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2026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</si>
  <si>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2026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</si>
  <si>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2026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</si>
  <si>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2026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</si>
  <si>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2026</t>
    </r>
    <r>
      <rPr>
        <sz val="16"/>
        <rFont val="華康儷中黑"/>
        <family val="3"/>
        <charset val="136"/>
      </rPr>
      <t>年
5月</t>
    </r>
    <phoneticPr fontId="4" type="noConversion"/>
  </si>
  <si>
    <r>
      <t>2026</t>
    </r>
    <r>
      <rPr>
        <sz val="16"/>
        <rFont val="華康儷中黑"/>
        <family val="3"/>
        <charset val="136"/>
      </rPr>
      <t>年
6月</t>
    </r>
    <phoneticPr fontId="4" type="noConversion"/>
  </si>
  <si>
    <r>
      <t>2026</t>
    </r>
    <r>
      <rPr>
        <sz val="16"/>
        <rFont val="華康儷中黑"/>
        <family val="3"/>
        <charset val="136"/>
      </rPr>
      <t>年
7月</t>
    </r>
    <phoneticPr fontId="4" type="noConversion"/>
  </si>
  <si>
    <t>三倉</t>
    <phoneticPr fontId="42" type="noConversion"/>
  </si>
  <si>
    <t>新卡</t>
    <phoneticPr fontId="4" type="noConversion"/>
  </si>
  <si>
    <t>空庫位取消</t>
    <phoneticPr fontId="4" type="noConversion"/>
  </si>
  <si>
    <t>不適當遷移</t>
    <phoneticPr fontId="4" type="noConversion"/>
  </si>
  <si>
    <t>I</t>
    <phoneticPr fontId="42" type="noConversion"/>
  </si>
  <si>
    <t>大鈑金件</t>
  </si>
  <si>
    <t>2F</t>
    <phoneticPr fontId="4" type="noConversion"/>
  </si>
  <si>
    <r>
      <rPr>
        <sz val="14"/>
        <rFont val="華康儷中黑"/>
        <family val="3"/>
        <charset val="136"/>
      </rPr>
      <t>3</t>
    </r>
    <r>
      <rPr>
        <sz val="14"/>
        <rFont val="Arial"/>
        <family val="3"/>
      </rPr>
      <t>F</t>
    </r>
    <phoneticPr fontId="4" type="noConversion"/>
  </si>
  <si>
    <r>
      <rPr>
        <sz val="14"/>
        <rFont val="華康儷中黑"/>
        <family val="3"/>
        <charset val="136"/>
      </rPr>
      <t>4</t>
    </r>
    <r>
      <rPr>
        <sz val="14"/>
        <rFont val="Arial"/>
        <family val="3"/>
      </rPr>
      <t>F</t>
    </r>
    <phoneticPr fontId="42" type="noConversion"/>
  </si>
  <si>
    <r>
      <t>2026</t>
    </r>
    <r>
      <rPr>
        <sz val="16"/>
        <rFont val="華康儷中黑"/>
        <family val="3"/>
        <charset val="136"/>
      </rPr>
      <t>年
8月</t>
    </r>
    <phoneticPr fontId="4" type="noConversion"/>
  </si>
  <si>
    <t>項目</t>
    <phoneticPr fontId="4" type="noConversion"/>
  </si>
  <si>
    <t>一月</t>
    <phoneticPr fontId="4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</si>
  <si>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</si>
  <si>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</si>
  <si>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</si>
  <si>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</si>
  <si>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</si>
  <si>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</si>
  <si>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</si>
  <si>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</si>
  <si>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</si>
  <si>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</si>
  <si>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</si>
  <si>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合計</t>
    <phoneticPr fontId="4" type="noConversion"/>
  </si>
  <si>
    <t>2014包材回收</t>
    <phoneticPr fontId="1" type="noConversion"/>
  </si>
  <si>
    <t>重量</t>
    <phoneticPr fontId="1" type="noConversion"/>
  </si>
  <si>
    <t>2015包材回收</t>
    <phoneticPr fontId="1" type="noConversion"/>
  </si>
  <si>
    <t>2016包材回收</t>
    <phoneticPr fontId="1" type="noConversion"/>
  </si>
  <si>
    <t>2017包材回收</t>
    <phoneticPr fontId="1" type="noConversion"/>
  </si>
  <si>
    <t>2018包材回收</t>
    <phoneticPr fontId="1" type="noConversion"/>
  </si>
  <si>
    <t>2019包材回收</t>
    <phoneticPr fontId="1" type="noConversion"/>
  </si>
  <si>
    <t>2020包材回收</t>
    <phoneticPr fontId="1" type="noConversion"/>
  </si>
  <si>
    <t>2021包材回收</t>
    <phoneticPr fontId="1" type="noConversion"/>
  </si>
  <si>
    <t>2022包材回收</t>
    <phoneticPr fontId="1" type="noConversion"/>
  </si>
  <si>
    <t>2023包材回收</t>
    <phoneticPr fontId="1" type="noConversion"/>
  </si>
  <si>
    <t>2024包材回收</t>
    <phoneticPr fontId="1" type="noConversion"/>
  </si>
  <si>
    <t>2025包材回收</t>
    <phoneticPr fontId="1" type="noConversion"/>
  </si>
  <si>
    <t>2026包材回收</t>
    <phoneticPr fontId="1" type="noConversion"/>
  </si>
  <si>
    <t>月份/類別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</si>
  <si>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</si>
  <si>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</si>
  <si>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</si>
  <si>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</si>
  <si>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</si>
  <si>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</si>
  <si>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</si>
  <si>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</si>
  <si>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</si>
  <si>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十</t>
    <phoneticPr fontId="1" type="noConversion"/>
  </si>
  <si>
    <t>十一</t>
  </si>
  <si>
    <t>十二</t>
  </si>
  <si>
    <t>大物進貨</t>
    <phoneticPr fontId="1" type="noConversion"/>
  </si>
  <si>
    <t>中小物進貨</t>
    <phoneticPr fontId="1" type="noConversion"/>
  </si>
  <si>
    <t>改善支援上架</t>
    <phoneticPr fontId="1" type="noConversion"/>
  </si>
  <si>
    <t>支援補充上架作業(中小物)</t>
    <phoneticPr fontId="1" type="noConversion"/>
  </si>
  <si>
    <t>中小物進貨空運檢查支援＆加班</t>
    <phoneticPr fontId="1" type="noConversion"/>
  </si>
  <si>
    <t>進貨合計</t>
    <phoneticPr fontId="1" type="noConversion"/>
  </si>
  <si>
    <t>大物出貨</t>
    <phoneticPr fontId="1" type="noConversion"/>
  </si>
  <si>
    <t>中小物出貨</t>
    <phoneticPr fontId="1" type="noConversion"/>
  </si>
  <si>
    <t>月台理貨</t>
    <phoneticPr fontId="1" type="noConversion"/>
  </si>
  <si>
    <t>精品出貨</t>
    <phoneticPr fontId="1" type="noConversion"/>
  </si>
  <si>
    <t>AGV理貨段取(支援)</t>
    <phoneticPr fontId="1" type="noConversion"/>
  </si>
  <si>
    <t>改善人員/週六出勤封箱補充支援周六出貨(補充)</t>
    <phoneticPr fontId="1" type="noConversion"/>
  </si>
  <si>
    <t>支援段取到月台</t>
  </si>
  <si>
    <t>中小物出貨W庫支援&amp;加班</t>
    <phoneticPr fontId="1" type="noConversion"/>
  </si>
  <si>
    <t>幹線疊貨作業</t>
    <phoneticPr fontId="1" type="noConversion"/>
  </si>
  <si>
    <t>出貨合計</t>
    <phoneticPr fontId="1" type="noConversion"/>
  </si>
  <si>
    <t>包裝大物進貨</t>
    <phoneticPr fontId="1" type="noConversion"/>
  </si>
  <si>
    <t>包裝中小物進貨</t>
    <phoneticPr fontId="1" type="noConversion"/>
  </si>
  <si>
    <t>保桿</t>
    <phoneticPr fontId="1" type="noConversion"/>
  </si>
  <si>
    <t>輸出</t>
    <phoneticPr fontId="1" type="noConversion"/>
  </si>
  <si>
    <t>其他:對應KZ盤點.打切零件.事務.手冊</t>
  </si>
  <si>
    <t>包裝合計</t>
    <phoneticPr fontId="1" type="noConversion"/>
  </si>
  <si>
    <t>總計</t>
    <phoneticPr fontId="1" type="noConversion"/>
  </si>
  <si>
    <t>--優開--</t>
    <phoneticPr fontId="1" type="noConversion"/>
  </si>
  <si>
    <t>SELECT CAST(CRTDT AS DATE) AS CRTDT,COUNT(*) AS CNT</t>
  </si>
  <si>
    <t>FROM VPMTSNO</t>
  </si>
  <si>
    <t>WHERE REJECTCD=' ' AND SNOTYPE='C'</t>
  </si>
  <si>
    <t>AND CONVERT(VARCHAR,CRTDT,112) BETWEEN '20260701' AND '20260731'</t>
    <phoneticPr fontId="1" type="noConversion"/>
  </si>
  <si>
    <t>GROUP BY CAST(CRTDT AS DATE)</t>
  </si>
  <si>
    <t>ORDER BY CAST(CRTDT AS DATE)</t>
  </si>
  <si>
    <t>25 VS 20</t>
    <phoneticPr fontId="1" type="noConversion"/>
  </si>
  <si>
    <r>
      <t>2026</t>
    </r>
    <r>
      <rPr>
        <sz val="16"/>
        <rFont val="華康儷中黑"/>
        <family val="3"/>
        <charset val="136"/>
      </rPr>
      <t>年
9月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</si>
</sst>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4" formatCode="_-&quot;$&quot;* #,##0.00_-;\-&quot;$&quot;* #,##0.00_-;_-&quot;$&quot;* &quot;-&quot;??_-;_-@_-"/>
    <numFmt numFmtId="176" formatCode="#,##0_ "/>
    <numFmt numFmtId="177" formatCode="0.0%"/>
    <numFmt numFmtId="178" formatCode="#,##0.0_ "/>
    <numFmt numFmtId="179" formatCode="0.0_);[Red]\(0.0\)"/>
    <numFmt numFmtId="180" formatCode="#,##0_);[Red]\(#,##0\)"/>
    <numFmt numFmtId="181" formatCode="0.0_ "/>
    <numFmt numFmtId="182" formatCode="0_ "/>
    <numFmt numFmtId="183" formatCode="0.00000000000000%"/>
    <numFmt numFmtId="184" formatCode="0_);[Red]\(0\)"/>
    <numFmt numFmtId="185" formatCode="0.00_ "/>
    <numFmt numFmtId="186" formatCode="#,##0.0_);[Red]\(#,##0.0\)"/>
    <numFmt numFmtId="187" formatCode="#,##0.0_ ;[Red]\-#,##0.0\ "/>
    <numFmt numFmtId="190" formatCode="_-* #,##0_-;\-* #,##0_-;_-* &quot;-&quot;??_-;_-@_-"/>
  </numFmts>
  <fonts count="5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22"/>
      <color theme="1"/>
      <name val="微軟正黑體"/>
      <family val="2"/>
      <charset val="136"/>
    </font>
    <font>
      <b/>
      <sz val="36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14"/>
      <name val="華康儷中黑"/>
      <family val="3"/>
      <charset val="136"/>
    </font>
    <font>
      <sz val="12"/>
      <name val="Arial"/>
      <family val="2"/>
    </font>
    <font>
      <sz val="16"/>
      <name val="Arial"/>
      <family val="2"/>
    </font>
    <font>
      <sz val="16"/>
      <color rgb="FF0000CC"/>
      <name val="Arial"/>
      <family val="2"/>
    </font>
    <font>
      <sz val="14"/>
      <color rgb="FF0000CC"/>
      <name val="Arial"/>
      <family val="2"/>
    </font>
    <font>
      <b/>
      <u/>
      <sz val="28"/>
      <name val="Arial"/>
      <family val="2"/>
    </font>
    <font>
      <b/>
      <u/>
      <sz val="28"/>
      <name val="華康儷中黑"/>
      <family val="3"/>
      <charset val="136"/>
    </font>
    <font>
      <b/>
      <u/>
      <sz val="26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2"/>
      <name val="華康儷中黑"/>
      <family val="3"/>
      <charset val="136"/>
    </font>
    <font>
      <sz val="15"/>
      <name val="Arial"/>
      <family val="2"/>
    </font>
    <font>
      <sz val="16"/>
      <name val="華康儷中黑"/>
      <family val="3"/>
      <charset val="136"/>
    </font>
    <font>
      <sz val="18"/>
      <name val="Arial"/>
      <family val="2"/>
    </font>
    <font>
      <sz val="18"/>
      <name val="華康儷中黑"/>
      <family val="3"/>
      <charset val="136"/>
    </font>
    <font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vertAlign val="superscript"/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5"/>
      <color rgb="FF0000CC"/>
      <name val="Arial"/>
      <family val="2"/>
    </font>
    <font>
      <sz val="12"/>
      <color theme="1"/>
      <name val="新細明體"/>
      <family val="1"/>
      <charset val="136"/>
      <scheme val="minor"/>
    </font>
    <font>
      <sz val="16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rgb="FFFF0000"/>
      <name val="微軟正黑體"/>
      <family val="2"/>
      <charset val="136"/>
    </font>
    <font>
      <sz val="12"/>
      <color rgb="FF00206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color indexed="81"/>
      <name val="細明體"/>
      <family val="3"/>
      <charset val="136"/>
    </font>
    <font>
      <sz val="12"/>
      <name val="華康儷中黑"/>
      <family val="3"/>
      <charset val="136"/>
    </font>
    <font>
      <sz val="14"/>
      <color indexed="81"/>
      <name val="Microsoft JhengHei Light"/>
      <family val="2"/>
      <charset val="136"/>
    </font>
    <font>
      <sz val="14"/>
      <color indexed="81"/>
      <name val="微軟正黑體"/>
      <family val="2"/>
      <charset val="136"/>
    </font>
    <font>
      <sz val="14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新細明體"/>
      <family val="1"/>
      <charset val="136"/>
      <scheme val="minor"/>
    </font>
    <font>
      <sz val="14"/>
      <name val="Arial"/>
      <family val="3"/>
      <charset val="136"/>
    </font>
    <font>
      <sz val="14"/>
      <name val="Arial"/>
      <family val="3"/>
    </font>
    <font>
      <sz val="14"/>
      <name val="細明體"/>
      <family val="3"/>
      <charset val="136"/>
    </font>
    <font>
      <sz val="16"/>
      <color theme="1"/>
      <name val="Arial"/>
      <family val="2"/>
    </font>
    <font>
      <sz val="22"/>
      <name val="Arial"/>
      <family val="2"/>
    </font>
    <font>
      <sz val="18"/>
      <name val="細明體"/>
      <family val="3"/>
      <charset val="136"/>
    </font>
    <font>
      <b/>
      <sz val="14"/>
      <color indexed="81"/>
      <name val="新細明體"/>
      <family val="1"/>
      <charset val="136"/>
    </font>
    <font>
      <sz val="14"/>
      <color indexed="81"/>
      <name val="新細明體"/>
      <family val="1"/>
      <charset val="136"/>
    </font>
    <font>
      <b/>
      <sz val="20"/>
      <color indexed="81"/>
      <name val="新細明體"/>
      <family val="1"/>
      <charset val="136"/>
    </font>
    <font>
      <sz val="20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16"/>
      <color indexed="81"/>
      <name val="新細明體"/>
      <family val="1"/>
      <charset val="136"/>
    </font>
    <font>
      <sz val="16"/>
      <color indexed="81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</cellStyleXfs>
  <cellXfs count="5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1" xfId="0" applyNumberFormat="1" applyFont="1" applyBorder="1">
      <alignment vertical="center"/>
    </xf>
    <xf numFmtId="17" fontId="3" fillId="0" borderId="1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>
      <alignment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quotePrefix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right" vertical="center"/>
    </xf>
    <xf numFmtId="178" fontId="2" fillId="0" borderId="1" xfId="0" applyNumberFormat="1" applyFont="1" applyBorder="1" applyAlignment="1">
      <alignment horizontal="right" vertical="center"/>
    </xf>
    <xf numFmtId="9" fontId="2" fillId="0" borderId="1" xfId="0" quotePrefix="1" applyNumberFormat="1" applyFont="1" applyBorder="1" applyAlignment="1">
      <alignment horizontal="right" vertical="center"/>
    </xf>
    <xf numFmtId="176" fontId="2" fillId="5" borderId="1" xfId="0" applyNumberFormat="1" applyFont="1" applyFill="1" applyBorder="1" applyAlignment="1">
      <alignment horizontal="right" vertical="center"/>
    </xf>
    <xf numFmtId="177" fontId="2" fillId="5" borderId="1" xfId="0" applyNumberFormat="1" applyFont="1" applyFill="1" applyBorder="1" applyAlignment="1">
      <alignment horizontal="right" vertical="center"/>
    </xf>
    <xf numFmtId="178" fontId="2" fillId="5" borderId="1" xfId="0" applyNumberFormat="1" applyFont="1" applyFill="1" applyBorder="1" applyAlignment="1">
      <alignment horizontal="right" vertical="center"/>
    </xf>
    <xf numFmtId="9" fontId="2" fillId="5" borderId="1" xfId="0" quotePrefix="1" applyNumberFormat="1" applyFont="1" applyFill="1" applyBorder="1" applyAlignment="1">
      <alignment horizontal="right" vertical="center"/>
    </xf>
    <xf numFmtId="9" fontId="2" fillId="5" borderId="1" xfId="0" applyNumberFormat="1" applyFont="1" applyFill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right" vertical="center"/>
    </xf>
    <xf numFmtId="0" fontId="2" fillId="5" borderId="2" xfId="0" quotePrefix="1" applyFont="1" applyFill="1" applyBorder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9" fontId="2" fillId="5" borderId="1" xfId="0" quotePrefix="1" applyNumberFormat="1" applyFont="1" applyFill="1" applyBorder="1">
      <alignment vertical="center"/>
    </xf>
    <xf numFmtId="9" fontId="2" fillId="5" borderId="6" xfId="0" quotePrefix="1" applyNumberFormat="1" applyFont="1" applyFill="1" applyBorder="1" applyAlignment="1">
      <alignment horizontal="right" vertical="center"/>
    </xf>
    <xf numFmtId="0" fontId="2" fillId="6" borderId="16" xfId="0" quotePrefix="1" applyFont="1" applyFill="1" applyBorder="1" applyAlignment="1">
      <alignment horizontal="center" vertical="center"/>
    </xf>
    <xf numFmtId="181" fontId="2" fillId="6" borderId="16" xfId="0" applyNumberFormat="1" applyFont="1" applyFill="1" applyBorder="1" applyAlignment="1">
      <alignment horizontal="right" vertical="center"/>
    </xf>
    <xf numFmtId="178" fontId="2" fillId="6" borderId="16" xfId="0" applyNumberFormat="1" applyFont="1" applyFill="1" applyBorder="1" applyAlignment="1">
      <alignment horizontal="right" vertical="center"/>
    </xf>
    <xf numFmtId="176" fontId="2" fillId="6" borderId="16" xfId="0" applyNumberFormat="1" applyFont="1" applyFill="1" applyBorder="1" applyAlignment="1">
      <alignment horizontal="right" vertical="center"/>
    </xf>
    <xf numFmtId="179" fontId="2" fillId="6" borderId="16" xfId="0" applyNumberFormat="1" applyFont="1" applyFill="1" applyBorder="1" applyAlignment="1">
      <alignment horizontal="right" vertical="center"/>
    </xf>
    <xf numFmtId="9" fontId="2" fillId="6" borderId="16" xfId="0" applyNumberFormat="1" applyFont="1" applyFill="1" applyBorder="1" applyAlignment="1">
      <alignment horizontal="right" vertical="center"/>
    </xf>
    <xf numFmtId="177" fontId="2" fillId="6" borderId="16" xfId="0" applyNumberFormat="1" applyFont="1" applyFill="1" applyBorder="1" applyAlignment="1">
      <alignment horizontal="right" vertical="center"/>
    </xf>
    <xf numFmtId="9" fontId="2" fillId="6" borderId="16" xfId="0" quotePrefix="1" applyNumberFormat="1" applyFont="1" applyFill="1" applyBorder="1" applyAlignment="1">
      <alignment horizontal="right" vertical="center"/>
    </xf>
    <xf numFmtId="177" fontId="2" fillId="6" borderId="16" xfId="0" quotePrefix="1" applyNumberFormat="1" applyFont="1" applyFill="1" applyBorder="1" applyAlignment="1">
      <alignment horizontal="right" vertical="center"/>
    </xf>
    <xf numFmtId="176" fontId="2" fillId="5" borderId="25" xfId="0" quotePrefix="1" applyNumberFormat="1" applyFont="1" applyFill="1" applyBorder="1" applyAlignment="1">
      <alignment horizontal="center" vertical="center"/>
    </xf>
    <xf numFmtId="176" fontId="2" fillId="5" borderId="25" xfId="0" quotePrefix="1" applyNumberFormat="1" applyFont="1" applyFill="1" applyBorder="1" applyAlignment="1">
      <alignment horizontal="right" vertical="center"/>
    </xf>
    <xf numFmtId="176" fontId="2" fillId="5" borderId="25" xfId="0" applyNumberFormat="1" applyFont="1" applyFill="1" applyBorder="1" applyAlignment="1">
      <alignment horizontal="right" vertical="center"/>
    </xf>
    <xf numFmtId="176" fontId="2" fillId="0" borderId="25" xfId="0" applyNumberFormat="1" applyFont="1" applyBorder="1" applyAlignment="1">
      <alignment horizontal="right" vertical="center"/>
    </xf>
    <xf numFmtId="176" fontId="2" fillId="0" borderId="16" xfId="0" quotePrefix="1" applyNumberFormat="1" applyFont="1" applyBorder="1" applyAlignment="1">
      <alignment horizontal="center" vertical="center"/>
    </xf>
    <xf numFmtId="176" fontId="2" fillId="0" borderId="16" xfId="0" quotePrefix="1" applyNumberFormat="1" applyFont="1" applyBorder="1" applyAlignment="1">
      <alignment horizontal="right" vertical="center"/>
    </xf>
    <xf numFmtId="176" fontId="2" fillId="5" borderId="16" xfId="0" quotePrefix="1" applyNumberFormat="1" applyFont="1" applyFill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2" fillId="4" borderId="1" xfId="0" applyFont="1" applyFill="1" applyBorder="1">
      <alignment vertical="center"/>
    </xf>
    <xf numFmtId="181" fontId="2" fillId="4" borderId="1" xfId="0" applyNumberFormat="1" applyFont="1" applyFill="1" applyBorder="1">
      <alignment vertical="center"/>
    </xf>
    <xf numFmtId="177" fontId="0" fillId="0" borderId="0" xfId="0" applyNumberFormat="1">
      <alignment vertical="center"/>
    </xf>
    <xf numFmtId="177" fontId="2" fillId="0" borderId="11" xfId="0" applyNumberFormat="1" applyFont="1" applyBorder="1">
      <alignment vertical="center"/>
    </xf>
    <xf numFmtId="176" fontId="3" fillId="5" borderId="6" xfId="0" applyNumberFormat="1" applyFont="1" applyFill="1" applyBorder="1" applyAlignment="1">
      <alignment horizontal="right" vertical="center"/>
    </xf>
    <xf numFmtId="10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1" xfId="0" applyNumberFormat="1" applyFont="1" applyFill="1" applyBorder="1">
      <alignment vertical="center"/>
    </xf>
    <xf numFmtId="176" fontId="2" fillId="5" borderId="6" xfId="0" applyNumberFormat="1" applyFont="1" applyFill="1" applyBorder="1" applyAlignment="1">
      <alignment horizontal="right" vertical="center"/>
    </xf>
    <xf numFmtId="177" fontId="2" fillId="5" borderId="6" xfId="0" applyNumberFormat="1" applyFont="1" applyFill="1" applyBorder="1" applyAlignment="1">
      <alignment horizontal="right" vertical="center"/>
    </xf>
    <xf numFmtId="41" fontId="12" fillId="0" borderId="1" xfId="2" applyFont="1" applyFill="1" applyBorder="1" applyAlignment="1">
      <alignment vertical="center"/>
    </xf>
    <xf numFmtId="179" fontId="2" fillId="0" borderId="6" xfId="0" applyNumberFormat="1" applyFont="1" applyBorder="1" applyAlignment="1">
      <alignment horizontal="right" vertical="center"/>
    </xf>
    <xf numFmtId="0" fontId="14" fillId="0" borderId="0" xfId="1" applyFont="1">
      <alignment vertical="center"/>
    </xf>
    <xf numFmtId="0" fontId="10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49" fontId="17" fillId="0" borderId="14" xfId="1" applyNumberFormat="1" applyFont="1" applyBorder="1">
      <alignment vertical="center"/>
    </xf>
    <xf numFmtId="49" fontId="18" fillId="0" borderId="14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77" fontId="2" fillId="5" borderId="2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41" fontId="11" fillId="9" borderId="1" xfId="2" applyFont="1" applyFill="1" applyBorder="1" applyAlignment="1">
      <alignment vertical="center"/>
    </xf>
    <xf numFmtId="9" fontId="2" fillId="5" borderId="2" xfId="0" quotePrefix="1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3" fontId="24" fillId="0" borderId="1" xfId="0" applyNumberFormat="1" applyFont="1" applyBorder="1" applyAlignment="1">
      <alignment horizontal="center" vertical="center"/>
    </xf>
    <xf numFmtId="176" fontId="24" fillId="5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>
      <alignment vertical="center"/>
    </xf>
    <xf numFmtId="177" fontId="24" fillId="10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9" fontId="24" fillId="10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>
      <alignment vertical="center"/>
    </xf>
    <xf numFmtId="3" fontId="25" fillId="4" borderId="1" xfId="0" applyNumberFormat="1" applyFont="1" applyFill="1" applyBorder="1" applyAlignment="1">
      <alignment horizontal="center" vertical="center"/>
    </xf>
    <xf numFmtId="176" fontId="25" fillId="4" borderId="1" xfId="0" applyNumberFormat="1" applyFont="1" applyFill="1" applyBorder="1" applyAlignment="1">
      <alignment horizontal="center" vertical="center"/>
    </xf>
    <xf numFmtId="0" fontId="24" fillId="4" borderId="1" xfId="0" applyFont="1" applyFill="1" applyBorder="1">
      <alignment vertical="center"/>
    </xf>
    <xf numFmtId="9" fontId="24" fillId="4" borderId="1" xfId="0" applyNumberFormat="1" applyFont="1" applyFill="1" applyBorder="1" applyAlignment="1">
      <alignment horizontal="center" vertical="center"/>
    </xf>
    <xf numFmtId="0" fontId="24" fillId="0" borderId="0" xfId="0" applyFont="1" applyAlignment="1"/>
    <xf numFmtId="9" fontId="24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6" fontId="25" fillId="0" borderId="15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10" borderId="28" xfId="0" applyFont="1" applyFill="1" applyBorder="1" applyAlignment="1">
      <alignment horizontal="center" vertical="center"/>
    </xf>
    <xf numFmtId="177" fontId="24" fillId="4" borderId="1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 applyAlignment="1">
      <alignment horizontal="right" vertical="center"/>
    </xf>
    <xf numFmtId="179" fontId="3" fillId="5" borderId="6" xfId="0" applyNumberFormat="1" applyFont="1" applyFill="1" applyBorder="1" applyAlignment="1">
      <alignment horizontal="right" vertical="center"/>
    </xf>
    <xf numFmtId="179" fontId="3" fillId="5" borderId="1" xfId="0" applyNumberFormat="1" applyFont="1" applyFill="1" applyBorder="1" applyAlignment="1">
      <alignment horizontal="right" vertical="center"/>
    </xf>
    <xf numFmtId="178" fontId="3" fillId="5" borderId="1" xfId="0" applyNumberFormat="1" applyFont="1" applyFill="1" applyBorder="1" applyAlignment="1">
      <alignment horizontal="right" vertical="center"/>
    </xf>
    <xf numFmtId="176" fontId="3" fillId="6" borderId="16" xfId="0" applyNumberFormat="1" applyFont="1" applyFill="1" applyBorder="1" applyAlignment="1">
      <alignment horizontal="right" vertical="center"/>
    </xf>
    <xf numFmtId="178" fontId="3" fillId="6" borderId="16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177" fontId="27" fillId="4" borderId="1" xfId="0" applyNumberFormat="1" applyFont="1" applyFill="1" applyBorder="1" applyAlignment="1">
      <alignment horizontal="center" vertical="center"/>
    </xf>
    <xf numFmtId="0" fontId="24" fillId="0" borderId="8" xfId="0" applyFont="1" applyBorder="1">
      <alignment vertical="center"/>
    </xf>
    <xf numFmtId="176" fontId="24" fillId="0" borderId="3" xfId="0" applyNumberFormat="1" applyFont="1" applyBorder="1" applyAlignment="1">
      <alignment horizontal="center" vertical="center"/>
    </xf>
    <xf numFmtId="9" fontId="24" fillId="10" borderId="2" xfId="0" applyNumberFormat="1" applyFont="1" applyFill="1" applyBorder="1" applyAlignment="1">
      <alignment horizontal="center" vertical="center"/>
    </xf>
    <xf numFmtId="0" fontId="24" fillId="10" borderId="8" xfId="0" applyFont="1" applyFill="1" applyBorder="1">
      <alignment vertical="center"/>
    </xf>
    <xf numFmtId="176" fontId="24" fillId="0" borderId="6" xfId="0" applyNumberFormat="1" applyFont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5" xfId="0" quotePrefix="1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41" fontId="11" fillId="0" borderId="1" xfId="2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79" fontId="2" fillId="0" borderId="1" xfId="0" applyNumberFormat="1" applyFont="1" applyBorder="1">
      <alignment vertical="center"/>
    </xf>
    <xf numFmtId="177" fontId="2" fillId="6" borderId="16" xfId="0" quotePrefix="1" applyNumberFormat="1" applyFont="1" applyFill="1" applyBorder="1" applyAlignment="1">
      <alignment horizontal="center" vertical="center"/>
    </xf>
    <xf numFmtId="9" fontId="24" fillId="10" borderId="29" xfId="0" applyNumberFormat="1" applyFont="1" applyFill="1" applyBorder="1" applyAlignment="1">
      <alignment horizontal="center" vertical="center"/>
    </xf>
    <xf numFmtId="176" fontId="24" fillId="0" borderId="29" xfId="0" applyNumberFormat="1" applyFont="1" applyBorder="1" applyAlignment="1">
      <alignment horizontal="center" vertical="center"/>
    </xf>
    <xf numFmtId="176" fontId="24" fillId="0" borderId="28" xfId="0" applyNumberFormat="1" applyFont="1" applyBorder="1" applyAlignment="1">
      <alignment horizontal="center" vertical="center"/>
    </xf>
    <xf numFmtId="9" fontId="24" fillId="10" borderId="28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7" fontId="24" fillId="10" borderId="2" xfId="0" applyNumberFormat="1" applyFont="1" applyFill="1" applyBorder="1" applyAlignment="1">
      <alignment horizontal="center" vertical="center"/>
    </xf>
    <xf numFmtId="41" fontId="30" fillId="0" borderId="1" xfId="2" applyFont="1" applyFill="1" applyBorder="1" applyAlignment="1">
      <alignment vertical="center"/>
    </xf>
    <xf numFmtId="183" fontId="2" fillId="0" borderId="0" xfId="0" applyNumberFormat="1" applyFont="1">
      <alignment vertical="center"/>
    </xf>
    <xf numFmtId="0" fontId="2" fillId="12" borderId="1" xfId="0" applyFont="1" applyFill="1" applyBorder="1">
      <alignment vertical="center"/>
    </xf>
    <xf numFmtId="178" fontId="2" fillId="12" borderId="1" xfId="0" applyNumberFormat="1" applyFont="1" applyFill="1" applyBorder="1">
      <alignment vertical="center"/>
    </xf>
    <xf numFmtId="176" fontId="2" fillId="12" borderId="1" xfId="0" applyNumberFormat="1" applyFont="1" applyFill="1" applyBorder="1">
      <alignment vertical="center"/>
    </xf>
    <xf numFmtId="3" fontId="2" fillId="12" borderId="1" xfId="0" applyNumberFormat="1" applyFont="1" applyFill="1" applyBorder="1" applyAlignment="1">
      <alignment horizontal="center"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3" fontId="2" fillId="12" borderId="34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vertical="center" wrapText="1"/>
    </xf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>
      <alignment vertical="center"/>
    </xf>
    <xf numFmtId="0" fontId="24" fillId="10" borderId="33" xfId="0" applyFont="1" applyFill="1" applyBorder="1">
      <alignment vertical="center"/>
    </xf>
    <xf numFmtId="9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4" fillId="0" borderId="30" xfId="0" applyFont="1" applyBorder="1">
      <alignment vertical="center"/>
    </xf>
    <xf numFmtId="176" fontId="24" fillId="0" borderId="31" xfId="0" applyNumberFormat="1" applyFont="1" applyBorder="1" applyAlignment="1">
      <alignment horizontal="center" vertical="center"/>
    </xf>
    <xf numFmtId="3" fontId="24" fillId="0" borderId="31" xfId="0" applyNumberFormat="1" applyFont="1" applyBorder="1" applyAlignment="1">
      <alignment horizontal="center" vertical="center"/>
    </xf>
    <xf numFmtId="0" fontId="24" fillId="0" borderId="43" xfId="0" applyFont="1" applyBorder="1">
      <alignment vertical="center"/>
    </xf>
    <xf numFmtId="0" fontId="24" fillId="10" borderId="43" xfId="0" applyFont="1" applyFill="1" applyBorder="1">
      <alignment vertical="center"/>
    </xf>
    <xf numFmtId="0" fontId="24" fillId="10" borderId="45" xfId="0" applyFont="1" applyFill="1" applyBorder="1">
      <alignment vertical="center"/>
    </xf>
    <xf numFmtId="9" fontId="24" fillId="10" borderId="16" xfId="0" applyNumberFormat="1" applyFont="1" applyFill="1" applyBorder="1" applyAlignment="1">
      <alignment horizontal="center" vertical="center"/>
    </xf>
    <xf numFmtId="177" fontId="24" fillId="10" borderId="16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176" fontId="2" fillId="0" borderId="3" xfId="0" applyNumberFormat="1" applyFont="1" applyBorder="1">
      <alignment vertical="center"/>
    </xf>
    <xf numFmtId="0" fontId="2" fillId="0" borderId="2" xfId="0" applyFont="1" applyBorder="1">
      <alignment vertical="center"/>
    </xf>
    <xf numFmtId="177" fontId="2" fillId="0" borderId="2" xfId="0" applyNumberFormat="1" applyFont="1" applyBorder="1">
      <alignment vertical="center"/>
    </xf>
    <xf numFmtId="0" fontId="2" fillId="12" borderId="30" xfId="0" applyFont="1" applyFill="1" applyBorder="1">
      <alignment vertical="center"/>
    </xf>
    <xf numFmtId="176" fontId="2" fillId="12" borderId="31" xfId="0" applyNumberFormat="1" applyFont="1" applyFill="1" applyBorder="1">
      <alignment vertical="center"/>
    </xf>
    <xf numFmtId="0" fontId="2" fillId="12" borderId="31" xfId="0" applyFont="1" applyFill="1" applyBorder="1">
      <alignment vertical="center"/>
    </xf>
    <xf numFmtId="0" fontId="2" fillId="12" borderId="32" xfId="0" applyFont="1" applyFill="1" applyBorder="1">
      <alignment vertical="center"/>
    </xf>
    <xf numFmtId="0" fontId="2" fillId="12" borderId="33" xfId="0" applyFont="1" applyFill="1" applyBorder="1">
      <alignment vertical="center"/>
    </xf>
    <xf numFmtId="0" fontId="2" fillId="12" borderId="34" xfId="0" applyFont="1" applyFill="1" applyBorder="1">
      <alignment vertical="center"/>
    </xf>
    <xf numFmtId="0" fontId="2" fillId="0" borderId="33" xfId="0" applyFont="1" applyBorder="1">
      <alignment vertical="center"/>
    </xf>
    <xf numFmtId="176" fontId="2" fillId="0" borderId="34" xfId="0" applyNumberFormat="1" applyFont="1" applyBorder="1">
      <alignment vertical="center"/>
    </xf>
    <xf numFmtId="0" fontId="2" fillId="0" borderId="35" xfId="0" applyFont="1" applyBorder="1">
      <alignment vertical="center"/>
    </xf>
    <xf numFmtId="177" fontId="2" fillId="0" borderId="36" xfId="0" applyNumberFormat="1" applyFont="1" applyBorder="1">
      <alignment vertical="center"/>
    </xf>
    <xf numFmtId="177" fontId="2" fillId="0" borderId="37" xfId="0" applyNumberFormat="1" applyFont="1" applyBorder="1">
      <alignment vertical="center"/>
    </xf>
    <xf numFmtId="177" fontId="2" fillId="0" borderId="3" xfId="0" applyNumberFormat="1" applyFont="1" applyBorder="1">
      <alignment vertical="center"/>
    </xf>
    <xf numFmtId="178" fontId="2" fillId="12" borderId="31" xfId="0" applyNumberFormat="1" applyFont="1" applyFill="1" applyBorder="1">
      <alignment vertical="center"/>
    </xf>
    <xf numFmtId="178" fontId="2" fillId="0" borderId="34" xfId="0" applyNumberFormat="1" applyFont="1" applyBorder="1">
      <alignment vertical="center"/>
    </xf>
    <xf numFmtId="0" fontId="25" fillId="12" borderId="44" xfId="0" applyFont="1" applyFill="1" applyBorder="1">
      <alignment vertical="center"/>
    </xf>
    <xf numFmtId="3" fontId="25" fillId="12" borderId="6" xfId="0" applyNumberFormat="1" applyFont="1" applyFill="1" applyBorder="1" applyAlignment="1">
      <alignment horizontal="center" vertical="center"/>
    </xf>
    <xf numFmtId="0" fontId="24" fillId="12" borderId="35" xfId="0" applyFont="1" applyFill="1" applyBorder="1">
      <alignment vertical="center"/>
    </xf>
    <xf numFmtId="9" fontId="24" fillId="12" borderId="36" xfId="0" applyNumberFormat="1" applyFont="1" applyFill="1" applyBorder="1" applyAlignment="1">
      <alignment horizontal="center" vertical="center"/>
    </xf>
    <xf numFmtId="176" fontId="25" fillId="12" borderId="6" xfId="0" applyNumberFormat="1" applyFont="1" applyFill="1" applyBorder="1" applyAlignment="1">
      <alignment horizontal="center" vertical="center"/>
    </xf>
    <xf numFmtId="177" fontId="27" fillId="12" borderId="3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>
      <alignment vertical="center"/>
    </xf>
    <xf numFmtId="0" fontId="2" fillId="13" borderId="0" xfId="0" applyFont="1" applyFill="1">
      <alignment vertical="center"/>
    </xf>
    <xf numFmtId="184" fontId="3" fillId="0" borderId="1" xfId="0" applyNumberFormat="1" applyFont="1" applyBorder="1" applyAlignment="1"/>
    <xf numFmtId="9" fontId="0" fillId="0" borderId="0" xfId="7" applyFont="1">
      <alignment vertical="center"/>
    </xf>
    <xf numFmtId="181" fontId="2" fillId="0" borderId="0" xfId="0" applyNumberFormat="1" applyFont="1">
      <alignment vertical="center"/>
    </xf>
    <xf numFmtId="177" fontId="24" fillId="12" borderId="36" xfId="0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0" fontId="2" fillId="0" borderId="47" xfId="0" applyFont="1" applyBorder="1">
      <alignment vertical="center"/>
    </xf>
    <xf numFmtId="177" fontId="2" fillId="0" borderId="40" xfId="0" applyNumberFormat="1" applyFont="1" applyBorder="1">
      <alignment vertical="center"/>
    </xf>
    <xf numFmtId="0" fontId="2" fillId="12" borderId="50" xfId="0" applyFont="1" applyFill="1" applyBorder="1">
      <alignment vertical="center"/>
    </xf>
    <xf numFmtId="177" fontId="2" fillId="0" borderId="55" xfId="0" applyNumberFormat="1" applyFont="1" applyBorder="1">
      <alignment vertical="center"/>
    </xf>
    <xf numFmtId="0" fontId="2" fillId="12" borderId="56" xfId="0" applyFont="1" applyFill="1" applyBorder="1">
      <alignment vertical="center"/>
    </xf>
    <xf numFmtId="178" fontId="2" fillId="0" borderId="54" xfId="0" applyNumberFormat="1" applyFont="1" applyBorder="1">
      <alignment vertical="center"/>
    </xf>
    <xf numFmtId="0" fontId="2" fillId="0" borderId="59" xfId="0" applyFont="1" applyBorder="1">
      <alignment vertical="center"/>
    </xf>
    <xf numFmtId="177" fontId="2" fillId="0" borderId="60" xfId="0" applyNumberFormat="1" applyFont="1" applyBorder="1">
      <alignment vertical="center"/>
    </xf>
    <xf numFmtId="177" fontId="2" fillId="0" borderId="61" xfId="0" applyNumberFormat="1" applyFont="1" applyBorder="1">
      <alignment vertical="center"/>
    </xf>
    <xf numFmtId="177" fontId="2" fillId="5" borderId="6" xfId="0" quotePrefix="1" applyNumberFormat="1" applyFont="1" applyFill="1" applyBorder="1" applyAlignment="1">
      <alignment horizontal="right" vertical="center"/>
    </xf>
    <xf numFmtId="178" fontId="2" fillId="5" borderId="1" xfId="0" applyNumberFormat="1" applyFont="1" applyFill="1" applyBorder="1">
      <alignment vertical="center"/>
    </xf>
    <xf numFmtId="177" fontId="3" fillId="6" borderId="16" xfId="0" applyNumberFormat="1" applyFont="1" applyFill="1" applyBorder="1" applyAlignment="1">
      <alignment horizontal="right" vertical="center"/>
    </xf>
    <xf numFmtId="177" fontId="27" fillId="12" borderId="62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34" fillId="5" borderId="1" xfId="0" applyFont="1" applyFill="1" applyBorder="1">
      <alignment vertical="center"/>
    </xf>
    <xf numFmtId="177" fontId="2" fillId="6" borderId="6" xfId="0" applyNumberFormat="1" applyFont="1" applyFill="1" applyBorder="1" applyAlignment="1">
      <alignment horizontal="center" vertical="center"/>
    </xf>
    <xf numFmtId="176" fontId="2" fillId="6" borderId="20" xfId="0" applyNumberFormat="1" applyFont="1" applyFill="1" applyBorder="1" applyAlignment="1">
      <alignment horizontal="center" vertical="center"/>
    </xf>
    <xf numFmtId="9" fontId="2" fillId="6" borderId="20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vertical="center" wrapText="1"/>
    </xf>
    <xf numFmtId="0" fontId="3" fillId="13" borderId="1" xfId="0" applyFont="1" applyFill="1" applyBorder="1">
      <alignment vertical="center"/>
    </xf>
    <xf numFmtId="180" fontId="2" fillId="12" borderId="51" xfId="0" applyNumberFormat="1" applyFont="1" applyFill="1" applyBorder="1">
      <alignment vertical="center"/>
    </xf>
    <xf numFmtId="180" fontId="2" fillId="12" borderId="52" xfId="0" applyNumberFormat="1" applyFont="1" applyFill="1" applyBorder="1">
      <alignment vertical="center"/>
    </xf>
    <xf numFmtId="180" fontId="2" fillId="12" borderId="1" xfId="0" applyNumberFormat="1" applyFont="1" applyFill="1" applyBorder="1">
      <alignment vertical="center"/>
    </xf>
    <xf numFmtId="180" fontId="2" fillId="12" borderId="54" xfId="0" applyNumberFormat="1" applyFont="1" applyFill="1" applyBorder="1">
      <alignment vertical="center"/>
    </xf>
    <xf numFmtId="180" fontId="2" fillId="0" borderId="1" xfId="0" applyNumberFormat="1" applyFont="1" applyBorder="1">
      <alignment vertical="center"/>
    </xf>
    <xf numFmtId="180" fontId="2" fillId="0" borderId="54" xfId="0" applyNumberFormat="1" applyFont="1" applyBorder="1">
      <alignment vertical="center"/>
    </xf>
    <xf numFmtId="0" fontId="2" fillId="12" borderId="65" xfId="0" applyFont="1" applyFill="1" applyBorder="1">
      <alignment vertical="center"/>
    </xf>
    <xf numFmtId="180" fontId="2" fillId="12" borderId="66" xfId="0" applyNumberFormat="1" applyFont="1" applyFill="1" applyBorder="1">
      <alignment vertical="center"/>
    </xf>
    <xf numFmtId="180" fontId="2" fillId="12" borderId="67" xfId="0" applyNumberFormat="1" applyFont="1" applyFill="1" applyBorder="1">
      <alignment vertical="center"/>
    </xf>
    <xf numFmtId="180" fontId="2" fillId="12" borderId="69" xfId="0" applyNumberFormat="1" applyFont="1" applyFill="1" applyBorder="1">
      <alignment vertical="center"/>
    </xf>
    <xf numFmtId="180" fontId="2" fillId="0" borderId="69" xfId="0" applyNumberFormat="1" applyFont="1" applyBorder="1">
      <alignment vertical="center"/>
    </xf>
    <xf numFmtId="177" fontId="2" fillId="0" borderId="70" xfId="0" applyNumberFormat="1" applyFont="1" applyBorder="1">
      <alignment vertical="center"/>
    </xf>
    <xf numFmtId="0" fontId="2" fillId="12" borderId="71" xfId="0" applyFont="1" applyFill="1" applyBorder="1">
      <alignment vertical="center"/>
    </xf>
    <xf numFmtId="0" fontId="2" fillId="12" borderId="69" xfId="0" applyFont="1" applyFill="1" applyBorder="1">
      <alignment vertical="center"/>
    </xf>
    <xf numFmtId="178" fontId="2" fillId="0" borderId="69" xfId="0" applyNumberFormat="1" applyFont="1" applyBorder="1">
      <alignment vertical="center"/>
    </xf>
    <xf numFmtId="177" fontId="2" fillId="0" borderId="73" xfId="0" applyNumberFormat="1" applyFont="1" applyBorder="1">
      <alignment vertical="center"/>
    </xf>
    <xf numFmtId="0" fontId="2" fillId="12" borderId="54" xfId="0" applyFont="1" applyFill="1" applyBorder="1">
      <alignment vertical="center"/>
    </xf>
    <xf numFmtId="177" fontId="2" fillId="6" borderId="20" xfId="0" applyNumberFormat="1" applyFont="1" applyFill="1" applyBorder="1">
      <alignment vertical="center"/>
    </xf>
    <xf numFmtId="0" fontId="0" fillId="6" borderId="20" xfId="0" applyFill="1" applyBorder="1">
      <alignment vertical="center"/>
    </xf>
    <xf numFmtId="176" fontId="2" fillId="0" borderId="1" xfId="0" quotePrefix="1" applyNumberFormat="1" applyFont="1" applyBorder="1" applyAlignment="1">
      <alignment horizontal="right" vertical="center"/>
    </xf>
    <xf numFmtId="178" fontId="2" fillId="0" borderId="1" xfId="0" quotePrefix="1" applyNumberFormat="1" applyFont="1" applyBorder="1" applyAlignment="1">
      <alignment horizontal="right" vertical="center"/>
    </xf>
    <xf numFmtId="178" fontId="2" fillId="5" borderId="1" xfId="0" quotePrefix="1" applyNumberFormat="1" applyFont="1" applyFill="1" applyBorder="1" applyAlignment="1">
      <alignment horizontal="right" vertical="center"/>
    </xf>
    <xf numFmtId="0" fontId="24" fillId="12" borderId="36" xfId="0" applyFont="1" applyFill="1" applyBorder="1" applyAlignment="1">
      <alignment horizontal="center" vertical="center"/>
    </xf>
    <xf numFmtId="0" fontId="27" fillId="12" borderId="36" xfId="0" applyFont="1" applyFill="1" applyBorder="1" applyAlignment="1">
      <alignment horizontal="center" vertical="center"/>
    </xf>
    <xf numFmtId="178" fontId="2" fillId="4" borderId="1" xfId="0" applyNumberFormat="1" applyFont="1" applyFill="1" applyBorder="1">
      <alignment vertical="center"/>
    </xf>
    <xf numFmtId="178" fontId="0" fillId="0" borderId="0" xfId="0" applyNumberFormat="1">
      <alignment vertical="center"/>
    </xf>
    <xf numFmtId="0" fontId="9" fillId="11" borderId="2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9" fillId="2" borderId="2" xfId="1" applyFont="1" applyFill="1" applyBorder="1">
      <alignment vertical="center"/>
    </xf>
    <xf numFmtId="0" fontId="38" fillId="11" borderId="0" xfId="1" applyFont="1" applyFill="1" applyAlignment="1">
      <alignment horizontal="center" vertical="center"/>
    </xf>
    <xf numFmtId="0" fontId="22" fillId="2" borderId="1" xfId="3" applyFont="1" applyFill="1" applyBorder="1" applyAlignment="1">
      <alignment horizontal="center" vertical="center"/>
    </xf>
    <xf numFmtId="0" fontId="22" fillId="2" borderId="15" xfId="3" applyFont="1" applyFill="1" applyBorder="1" applyAlignment="1">
      <alignment horizontal="center" vertical="center"/>
    </xf>
    <xf numFmtId="0" fontId="43" fillId="8" borderId="10" xfId="3" applyFont="1" applyFill="1" applyBorder="1" applyAlignment="1">
      <alignment horizontal="center" vertical="center"/>
    </xf>
    <xf numFmtId="0" fontId="8" fillId="2" borderId="1" xfId="3" applyFont="1" applyFill="1" applyBorder="1">
      <alignment vertical="center"/>
    </xf>
    <xf numFmtId="0" fontId="22" fillId="14" borderId="1" xfId="3" applyFont="1" applyFill="1" applyBorder="1" applyAlignment="1">
      <alignment horizontal="center" vertical="center"/>
    </xf>
    <xf numFmtId="0" fontId="8" fillId="0" borderId="0" xfId="3" applyFont="1">
      <alignment vertical="center"/>
    </xf>
    <xf numFmtId="0" fontId="1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176" fontId="8" fillId="0" borderId="1" xfId="3" applyNumberFormat="1" applyFont="1" applyBorder="1" applyAlignment="1">
      <alignment horizontal="center" vertical="center"/>
    </xf>
    <xf numFmtId="38" fontId="11" fillId="9" borderId="1" xfId="3" applyNumberFormat="1" applyFont="1" applyFill="1" applyBorder="1">
      <alignment vertical="center"/>
    </xf>
    <xf numFmtId="176" fontId="8" fillId="3" borderId="1" xfId="3" applyNumberFormat="1" applyFont="1" applyFill="1" applyBorder="1" applyAlignment="1">
      <alignment horizontal="center" vertical="center"/>
    </xf>
    <xf numFmtId="41" fontId="8" fillId="9" borderId="1" xfId="2" applyFont="1" applyFill="1" applyBorder="1" applyAlignment="1">
      <alignment vertical="center"/>
    </xf>
    <xf numFmtId="176" fontId="8" fillId="0" borderId="1" xfId="3" applyNumberFormat="1" applyFont="1" applyBorder="1">
      <alignment vertical="center"/>
    </xf>
    <xf numFmtId="176" fontId="8" fillId="7" borderId="1" xfId="3" applyNumberFormat="1" applyFont="1" applyFill="1" applyBorder="1" applyAlignment="1">
      <alignment horizontal="right" vertical="center"/>
    </xf>
    <xf numFmtId="182" fontId="8" fillId="0" borderId="1" xfId="3" applyNumberFormat="1" applyFont="1" applyBorder="1" applyAlignment="1">
      <alignment horizontal="center" vertical="center"/>
    </xf>
    <xf numFmtId="182" fontId="13" fillId="0" borderId="1" xfId="3" applyNumberFormat="1" applyFont="1" applyBorder="1" applyAlignment="1">
      <alignment horizontal="center" vertical="center"/>
    </xf>
    <xf numFmtId="177" fontId="8" fillId="0" borderId="1" xfId="3" applyNumberFormat="1" applyFont="1" applyBorder="1" applyAlignment="1">
      <alignment horizontal="center" vertical="center"/>
    </xf>
    <xf numFmtId="177" fontId="8" fillId="3" borderId="1" xfId="3" applyNumberFormat="1" applyFont="1" applyFill="1" applyBorder="1" applyAlignment="1">
      <alignment horizontal="center" vertical="center"/>
    </xf>
    <xf numFmtId="177" fontId="8" fillId="7" borderId="1" xfId="3" applyNumberFormat="1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right" vertical="center"/>
    </xf>
    <xf numFmtId="9" fontId="8" fillId="0" borderId="1" xfId="3" applyNumberFormat="1" applyFont="1" applyBorder="1" applyAlignment="1">
      <alignment horizontal="center" vertical="center"/>
    </xf>
    <xf numFmtId="176" fontId="46" fillId="0" borderId="1" xfId="3" applyNumberFormat="1" applyFont="1" applyBorder="1" applyAlignment="1">
      <alignment horizontal="center" vertical="center"/>
    </xf>
    <xf numFmtId="0" fontId="29" fillId="0" borderId="15" xfId="3" applyBorder="1">
      <alignment vertical="center"/>
    </xf>
    <xf numFmtId="0" fontId="29" fillId="0" borderId="3" xfId="3" applyBorder="1">
      <alignment vertical="center"/>
    </xf>
    <xf numFmtId="0" fontId="47" fillId="0" borderId="15" xfId="3" applyFont="1" applyBorder="1">
      <alignment vertical="center"/>
    </xf>
    <xf numFmtId="0" fontId="29" fillId="0" borderId="15" xfId="3" applyBorder="1" applyAlignment="1">
      <alignment horizontal="center" vertical="center"/>
    </xf>
    <xf numFmtId="0" fontId="29" fillId="0" borderId="3" xfId="3" applyBorder="1" applyAlignment="1">
      <alignment horizontal="center" vertical="center"/>
    </xf>
    <xf numFmtId="182" fontId="11" fillId="0" borderId="1" xfId="3" applyNumberFormat="1" applyFont="1" applyBorder="1" applyAlignment="1">
      <alignment horizontal="center" vertical="center"/>
    </xf>
    <xf numFmtId="182" fontId="12" fillId="0" borderId="1" xfId="3" applyNumberFormat="1" applyFont="1" applyBorder="1" applyAlignment="1">
      <alignment horizontal="center" vertical="center"/>
    </xf>
    <xf numFmtId="177" fontId="11" fillId="0" borderId="1" xfId="3" applyNumberFormat="1" applyFont="1" applyBorder="1" applyAlignment="1">
      <alignment horizontal="center" vertical="center"/>
    </xf>
    <xf numFmtId="177" fontId="20" fillId="0" borderId="1" xfId="3" applyNumberFormat="1" applyFont="1" applyBorder="1" applyAlignment="1">
      <alignment horizontal="center" vertical="center"/>
    </xf>
    <xf numFmtId="38" fontId="8" fillId="9" borderId="1" xfId="3" applyNumberFormat="1" applyFont="1" applyFill="1" applyBorder="1">
      <alignment vertical="center"/>
    </xf>
    <xf numFmtId="41" fontId="8" fillId="15" borderId="1" xfId="2" applyFont="1" applyFill="1" applyBorder="1" applyAlignment="1">
      <alignment vertical="center"/>
    </xf>
    <xf numFmtId="41" fontId="13" fillId="0" borderId="1" xfId="2" applyFont="1" applyFill="1" applyBorder="1" applyAlignment="1">
      <alignment vertical="center"/>
    </xf>
    <xf numFmtId="41" fontId="8" fillId="0" borderId="1" xfId="2" applyFont="1" applyFill="1" applyBorder="1" applyAlignment="1">
      <alignment vertical="center"/>
    </xf>
    <xf numFmtId="176" fontId="11" fillId="3" borderId="1" xfId="3" applyNumberFormat="1" applyFont="1" applyFill="1" applyBorder="1" applyAlignment="1">
      <alignment horizontal="center" vertical="center"/>
    </xf>
    <xf numFmtId="176" fontId="11" fillId="7" borderId="1" xfId="3" applyNumberFormat="1" applyFont="1" applyFill="1" applyBorder="1" applyAlignment="1">
      <alignment horizontal="right" vertical="center"/>
    </xf>
    <xf numFmtId="41" fontId="11" fillId="15" borderId="1" xfId="2" applyFont="1" applyFill="1" applyBorder="1" applyAlignment="1">
      <alignment vertical="center"/>
    </xf>
    <xf numFmtId="41" fontId="11" fillId="16" borderId="1" xfId="2" applyFont="1" applyFill="1" applyBorder="1" applyAlignment="1">
      <alignment vertical="center"/>
    </xf>
    <xf numFmtId="177" fontId="11" fillId="3" borderId="1" xfId="3" applyNumberFormat="1" applyFont="1" applyFill="1" applyBorder="1" applyAlignment="1">
      <alignment horizontal="center" vertical="center"/>
    </xf>
    <xf numFmtId="177" fontId="11" fillId="7" borderId="1" xfId="3" applyNumberFormat="1" applyFont="1" applyFill="1" applyBorder="1" applyAlignment="1">
      <alignment horizontal="center" vertical="center"/>
    </xf>
    <xf numFmtId="176" fontId="22" fillId="0" borderId="1" xfId="3" applyNumberFormat="1" applyFont="1" applyBorder="1" applyAlignment="1">
      <alignment horizontal="center" vertical="center"/>
    </xf>
    <xf numFmtId="177" fontId="22" fillId="0" borderId="1" xfId="3" applyNumberFormat="1" applyFont="1" applyBorder="1" applyAlignment="1">
      <alignment horizontal="center" vertical="center"/>
    </xf>
    <xf numFmtId="41" fontId="12" fillId="15" borderId="1" xfId="2" applyFont="1" applyFill="1" applyBorder="1" applyAlignment="1">
      <alignment vertical="center"/>
    </xf>
    <xf numFmtId="0" fontId="48" fillId="3" borderId="1" xfId="3" applyFont="1" applyFill="1" applyBorder="1" applyAlignment="1">
      <alignment horizontal="center" vertical="center"/>
    </xf>
    <xf numFmtId="0" fontId="48" fillId="0" borderId="1" xfId="3" applyFont="1" applyBorder="1" applyAlignment="1">
      <alignment horizontal="center" vertical="center"/>
    </xf>
    <xf numFmtId="177" fontId="23" fillId="0" borderId="1" xfId="3" applyNumberFormat="1" applyFont="1" applyBorder="1" applyAlignment="1">
      <alignment horizontal="center" vertical="center"/>
    </xf>
    <xf numFmtId="177" fontId="11" fillId="0" borderId="15" xfId="3" applyNumberFormat="1" applyFont="1" applyBorder="1" applyAlignment="1">
      <alignment horizontal="center" vertical="center"/>
    </xf>
    <xf numFmtId="41" fontId="11" fillId="15" borderId="15" xfId="2" applyFont="1" applyFill="1" applyBorder="1" applyAlignment="1">
      <alignment vertical="center"/>
    </xf>
    <xf numFmtId="0" fontId="29" fillId="0" borderId="1" xfId="3" applyBorder="1">
      <alignment vertical="center"/>
    </xf>
    <xf numFmtId="9" fontId="29" fillId="0" borderId="1" xfId="3" applyNumberFormat="1" applyBorder="1" applyAlignment="1">
      <alignment horizontal="center" vertical="center"/>
    </xf>
    <xf numFmtId="176" fontId="49" fillId="0" borderId="1" xfId="3" applyNumberFormat="1" applyFont="1" applyBorder="1" applyAlignment="1">
      <alignment horizontal="center" vertical="center"/>
    </xf>
    <xf numFmtId="38" fontId="11" fillId="18" borderId="1" xfId="3" applyNumberFormat="1" applyFont="1" applyFill="1" applyBorder="1">
      <alignment vertical="center"/>
    </xf>
    <xf numFmtId="176" fontId="23" fillId="0" borderId="1" xfId="3" applyNumberFormat="1" applyFont="1" applyBorder="1" applyAlignment="1">
      <alignment horizontal="center" vertical="center"/>
    </xf>
    <xf numFmtId="177" fontId="28" fillId="0" borderId="1" xfId="3" applyNumberFormat="1" applyFont="1" applyBorder="1" applyAlignment="1">
      <alignment horizontal="center" vertical="center"/>
    </xf>
    <xf numFmtId="180" fontId="8" fillId="9" borderId="1" xfId="3" applyNumberFormat="1" applyFont="1" applyFill="1" applyBorder="1">
      <alignment vertical="center"/>
    </xf>
    <xf numFmtId="180" fontId="8" fillId="14" borderId="1" xfId="3" applyNumberFormat="1" applyFont="1" applyFill="1" applyBorder="1">
      <alignment vertical="center"/>
    </xf>
    <xf numFmtId="180" fontId="8" fillId="3" borderId="1" xfId="8" applyNumberFormat="1" applyFont="1" applyFill="1" applyBorder="1" applyAlignment="1">
      <alignment vertical="center"/>
    </xf>
    <xf numFmtId="41" fontId="8" fillId="9" borderId="1" xfId="8" applyFont="1" applyFill="1" applyBorder="1" applyAlignment="1">
      <alignment vertical="center"/>
    </xf>
    <xf numFmtId="180" fontId="41" fillId="9" borderId="1" xfId="3" applyNumberFormat="1" applyFont="1" applyFill="1" applyBorder="1">
      <alignment vertical="center"/>
    </xf>
    <xf numFmtId="180" fontId="8" fillId="3" borderId="1" xfId="8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 vertical="center" wrapText="1"/>
    </xf>
    <xf numFmtId="38" fontId="2" fillId="0" borderId="6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85" fontId="2" fillId="6" borderId="16" xfId="0" applyNumberFormat="1" applyFont="1" applyFill="1" applyBorder="1" applyAlignment="1">
      <alignment horizontal="right" vertical="center"/>
    </xf>
    <xf numFmtId="180" fontId="24" fillId="5" borderId="1" xfId="0" applyNumberFormat="1" applyFont="1" applyFill="1" applyBorder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180" fontId="8" fillId="9" borderId="1" xfId="0" applyNumberFormat="1" applyFont="1" applyFill="1" applyBorder="1">
      <alignment vertical="center"/>
    </xf>
    <xf numFmtId="180" fontId="41" fillId="9" borderId="1" xfId="0" applyNumberFormat="1" applyFont="1" applyFill="1" applyBorder="1">
      <alignment vertical="center"/>
    </xf>
    <xf numFmtId="180" fontId="8" fillId="14" borderId="1" xfId="0" applyNumberFormat="1" applyFont="1" applyFill="1" applyBorder="1">
      <alignment vertical="center"/>
    </xf>
    <xf numFmtId="176" fontId="11" fillId="3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right" vertical="center"/>
    </xf>
    <xf numFmtId="182" fontId="11" fillId="0" borderId="1" xfId="0" applyNumberFormat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38" fontId="11" fillId="9" borderId="1" xfId="0" applyNumberFormat="1" applyFont="1" applyFill="1" applyBorder="1">
      <alignment vertical="center"/>
    </xf>
    <xf numFmtId="182" fontId="8" fillId="0" borderId="1" xfId="0" applyNumberFormat="1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177" fontId="11" fillId="3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177" fontId="20" fillId="0" borderId="1" xfId="0" applyNumberFormat="1" applyFont="1" applyBorder="1" applyAlignment="1">
      <alignment horizontal="center" vertical="center"/>
    </xf>
    <xf numFmtId="177" fontId="28" fillId="0" borderId="1" xfId="0" applyNumberFormat="1" applyFont="1" applyBorder="1" applyAlignment="1">
      <alignment horizontal="center" vertical="center"/>
    </xf>
    <xf numFmtId="38" fontId="2" fillId="12" borderId="51" xfId="0" applyNumberFormat="1" applyFont="1" applyFill="1" applyBorder="1">
      <alignment vertical="center"/>
    </xf>
    <xf numFmtId="38" fontId="2" fillId="12" borderId="1" xfId="0" applyNumberFormat="1" applyFont="1" applyFill="1" applyBorder="1">
      <alignment vertical="center"/>
    </xf>
    <xf numFmtId="186" fontId="2" fillId="12" borderId="31" xfId="0" applyNumberFormat="1" applyFont="1" applyFill="1" applyBorder="1">
      <alignment vertical="center"/>
    </xf>
    <xf numFmtId="186" fontId="2" fillId="12" borderId="1" xfId="0" applyNumberFormat="1" applyFont="1" applyFill="1" applyBorder="1">
      <alignment vertical="center"/>
    </xf>
    <xf numFmtId="187" fontId="2" fillId="0" borderId="6" xfId="0" applyNumberFormat="1" applyFont="1" applyBorder="1" applyAlignment="1">
      <alignment horizontal="right" vertical="center"/>
    </xf>
    <xf numFmtId="187" fontId="2" fillId="0" borderId="1" xfId="0" applyNumberFormat="1" applyFont="1" applyBorder="1" applyAlignment="1">
      <alignment horizontal="right" vertical="center"/>
    </xf>
    <xf numFmtId="182" fontId="2" fillId="0" borderId="1" xfId="0" applyNumberFormat="1" applyFont="1" applyBorder="1" applyAlignment="1">
      <alignment horizontal="right" vertical="center"/>
    </xf>
    <xf numFmtId="38" fontId="2" fillId="5" borderId="6" xfId="0" applyNumberFormat="1" applyFont="1" applyFill="1" applyBorder="1" applyAlignment="1">
      <alignment horizontal="right" vertical="center"/>
    </xf>
    <xf numFmtId="38" fontId="2" fillId="0" borderId="1" xfId="0" applyNumberFormat="1" applyFont="1" applyBorder="1" applyAlignment="1">
      <alignment horizontal="right" vertical="center"/>
    </xf>
    <xf numFmtId="38" fontId="2" fillId="5" borderId="1" xfId="0" applyNumberFormat="1" applyFont="1" applyFill="1" applyBorder="1" applyAlignment="1">
      <alignment horizontal="right" vertical="center"/>
    </xf>
    <xf numFmtId="186" fontId="2" fillId="0" borderId="1" xfId="0" applyNumberFormat="1" applyFont="1" applyBorder="1">
      <alignment vertical="center"/>
    </xf>
    <xf numFmtId="186" fontId="2" fillId="5" borderId="1" xfId="0" applyNumberFormat="1" applyFont="1" applyFill="1" applyBorder="1">
      <alignment vertical="center"/>
    </xf>
    <xf numFmtId="0" fontId="2" fillId="5" borderId="1" xfId="0" applyFont="1" applyFill="1" applyBorder="1" applyAlignment="1">
      <alignment horizontal="right" vertical="center"/>
    </xf>
    <xf numFmtId="177" fontId="2" fillId="6" borderId="2" xfId="0" quotePrefix="1" applyNumberFormat="1" applyFont="1" applyFill="1" applyBorder="1" applyAlignment="1">
      <alignment horizontal="right" vertical="center"/>
    </xf>
    <xf numFmtId="177" fontId="2" fillId="6" borderId="20" xfId="0" applyNumberFormat="1" applyFont="1" applyFill="1" applyBorder="1" applyAlignment="1">
      <alignment horizontal="right" vertical="center"/>
    </xf>
    <xf numFmtId="0" fontId="2" fillId="6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textRotation="255"/>
    </xf>
    <xf numFmtId="0" fontId="2" fillId="5" borderId="20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177" fontId="2" fillId="5" borderId="22" xfId="0" applyNumberFormat="1" applyFont="1" applyFill="1" applyBorder="1" applyAlignment="1">
      <alignment horizontal="right" vertical="center"/>
    </xf>
    <xf numFmtId="177" fontId="2" fillId="5" borderId="6" xfId="0" applyNumberFormat="1" applyFont="1" applyFill="1" applyBorder="1" applyAlignment="1">
      <alignment horizontal="right" vertical="center"/>
    </xf>
    <xf numFmtId="0" fontId="2" fillId="6" borderId="16" xfId="0" applyFont="1" applyFill="1" applyBorder="1" applyAlignment="1">
      <alignment horizontal="left" vertical="center"/>
    </xf>
    <xf numFmtId="9" fontId="2" fillId="8" borderId="2" xfId="0" quotePrefix="1" applyNumberFormat="1" applyFont="1" applyFill="1" applyBorder="1" applyAlignment="1">
      <alignment horizontal="right" vertical="center"/>
    </xf>
    <xf numFmtId="9" fontId="2" fillId="8" borderId="20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79" fontId="2" fillId="5" borderId="22" xfId="0" applyNumberFormat="1" applyFont="1" applyFill="1" applyBorder="1" applyAlignment="1">
      <alignment horizontal="right" vertical="center"/>
    </xf>
    <xf numFmtId="179" fontId="0" fillId="0" borderId="6" xfId="0" applyNumberFormat="1" applyBorder="1" applyAlignment="1">
      <alignment horizontal="right" vertical="center"/>
    </xf>
    <xf numFmtId="178" fontId="2" fillId="5" borderId="22" xfId="0" applyNumberFormat="1" applyFont="1" applyFill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84" fontId="2" fillId="5" borderId="22" xfId="6" applyNumberFormat="1" applyFont="1" applyFill="1" applyBorder="1" applyAlignment="1">
      <alignment horizontal="right" vertical="center"/>
    </xf>
    <xf numFmtId="184" fontId="2" fillId="5" borderId="6" xfId="6" applyNumberFormat="1" applyFont="1" applyFill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6" xfId="0" applyNumberFormat="1" applyFont="1" applyBorder="1" applyAlignment="1">
      <alignment horizontal="right" vertical="center"/>
    </xf>
    <xf numFmtId="178" fontId="3" fillId="5" borderId="2" xfId="0" applyNumberFormat="1" applyFont="1" applyFill="1" applyBorder="1" applyAlignment="1">
      <alignment horizontal="right" vertical="center"/>
    </xf>
    <xf numFmtId="178" fontId="3" fillId="5" borderId="5" xfId="0" applyNumberFormat="1" applyFont="1" applyFill="1" applyBorder="1" applyAlignment="1">
      <alignment horizontal="right" vertical="center"/>
    </xf>
    <xf numFmtId="178" fontId="3" fillId="5" borderId="6" xfId="0" applyNumberFormat="1" applyFont="1" applyFill="1" applyBorder="1" applyAlignment="1">
      <alignment horizontal="right" vertical="center"/>
    </xf>
    <xf numFmtId="177" fontId="3" fillId="5" borderId="2" xfId="0" applyNumberFormat="1" applyFont="1" applyFill="1" applyBorder="1" applyAlignment="1">
      <alignment horizontal="right" vertical="center"/>
    </xf>
    <xf numFmtId="177" fontId="3" fillId="5" borderId="5" xfId="0" applyNumberFormat="1" applyFont="1" applyFill="1" applyBorder="1" applyAlignment="1">
      <alignment horizontal="right" vertical="center"/>
    </xf>
    <xf numFmtId="177" fontId="3" fillId="5" borderId="6" xfId="0" applyNumberFormat="1" applyFont="1" applyFill="1" applyBorder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5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79" fontId="2" fillId="0" borderId="22" xfId="0" applyNumberFormat="1" applyFont="1" applyBorder="1" applyAlignment="1">
      <alignment horizontal="right" vertical="center"/>
    </xf>
    <xf numFmtId="179" fontId="2" fillId="0" borderId="6" xfId="0" applyNumberFormat="1" applyFont="1" applyBorder="1" applyAlignment="1">
      <alignment horizontal="right" vertical="center"/>
    </xf>
    <xf numFmtId="177" fontId="2" fillId="5" borderId="5" xfId="0" applyNumberFormat="1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 textRotation="255"/>
    </xf>
    <xf numFmtId="0" fontId="3" fillId="5" borderId="1" xfId="0" applyFont="1" applyFill="1" applyBorder="1" applyAlignment="1">
      <alignment horizontal="center" vertical="center" textRotation="255"/>
    </xf>
    <xf numFmtId="0" fontId="3" fillId="5" borderId="16" xfId="0" applyFont="1" applyFill="1" applyBorder="1" applyAlignment="1">
      <alignment horizontal="center" vertical="center" textRotation="255"/>
    </xf>
    <xf numFmtId="0" fontId="3" fillId="5" borderId="1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178" fontId="2" fillId="0" borderId="22" xfId="0" applyNumberFormat="1" applyFont="1" applyBorder="1" applyAlignment="1">
      <alignment horizontal="righ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6" borderId="19" xfId="0" applyFont="1" applyFill="1" applyBorder="1">
      <alignment vertical="center"/>
    </xf>
    <xf numFmtId="0" fontId="2" fillId="6" borderId="18" xfId="0" applyFont="1" applyFill="1" applyBorder="1">
      <alignment vertical="center"/>
    </xf>
    <xf numFmtId="176" fontId="2" fillId="5" borderId="22" xfId="0" quotePrefix="1" applyNumberFormat="1" applyFont="1" applyFill="1" applyBorder="1" applyAlignment="1">
      <alignment horizontal="right" vertical="center"/>
    </xf>
    <xf numFmtId="176" fontId="2" fillId="5" borderId="6" xfId="0" quotePrefix="1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quotePrefix="1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5" borderId="2" xfId="0" quotePrefix="1" applyNumberFormat="1" applyFont="1" applyFill="1" applyBorder="1" applyAlignment="1">
      <alignment horizontal="right" vertical="center"/>
    </xf>
    <xf numFmtId="176" fontId="2" fillId="0" borderId="5" xfId="0" quotePrefix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6" borderId="17" xfId="0" applyFont="1" applyFill="1" applyBorder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3" fontId="24" fillId="0" borderId="38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4" fillId="0" borderId="40" xfId="0" applyNumberFormat="1" applyFont="1" applyBorder="1" applyAlignment="1">
      <alignment horizontal="center" vertical="center"/>
    </xf>
    <xf numFmtId="176" fontId="24" fillId="0" borderId="40" xfId="0" applyNumberFormat="1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3" fontId="25" fillId="12" borderId="42" xfId="0" applyNumberFormat="1" applyFont="1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3" fontId="25" fillId="4" borderId="2" xfId="0" applyNumberFormat="1" applyFont="1" applyFill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3" fontId="24" fillId="0" borderId="2" xfId="0" applyNumberFormat="1" applyFont="1" applyBorder="1" applyAlignment="1">
      <alignment horizontal="center" vertical="center"/>
    </xf>
    <xf numFmtId="176" fontId="24" fillId="0" borderId="6" xfId="0" applyNumberFormat="1" applyFont="1" applyBorder="1" applyAlignment="1">
      <alignment horizontal="center" vertical="center"/>
    </xf>
    <xf numFmtId="3" fontId="24" fillId="0" borderId="6" xfId="0" applyNumberFormat="1" applyFont="1" applyBorder="1" applyAlignment="1">
      <alignment horizontal="center" vertical="center"/>
    </xf>
    <xf numFmtId="3" fontId="25" fillId="4" borderId="6" xfId="0" applyNumberFormat="1" applyFont="1" applyFill="1" applyBorder="1" applyAlignment="1">
      <alignment horizontal="center" vertical="center"/>
    </xf>
    <xf numFmtId="41" fontId="11" fillId="0" borderId="8" xfId="2" applyFont="1" applyFill="1" applyBorder="1" applyAlignment="1">
      <alignment horizontal="center" vertical="center"/>
    </xf>
    <xf numFmtId="41" fontId="11" fillId="0" borderId="15" xfId="2" applyFont="1" applyFill="1" applyBorder="1" applyAlignment="1">
      <alignment horizontal="center" vertical="center"/>
    </xf>
    <xf numFmtId="41" fontId="11" fillId="0" borderId="3" xfId="2" applyFont="1" applyFill="1" applyBorder="1" applyAlignment="1">
      <alignment horizontal="center" vertical="center"/>
    </xf>
    <xf numFmtId="41" fontId="11" fillId="0" borderId="8" xfId="2" applyFont="1" applyFill="1" applyBorder="1" applyAlignment="1">
      <alignment vertical="center"/>
    </xf>
    <xf numFmtId="0" fontId="29" fillId="0" borderId="15" xfId="3" applyBorder="1">
      <alignment vertical="center"/>
    </xf>
    <xf numFmtId="0" fontId="29" fillId="0" borderId="3" xfId="3" applyBorder="1">
      <alignment vertical="center"/>
    </xf>
    <xf numFmtId="177" fontId="11" fillId="0" borderId="8" xfId="3" applyNumberFormat="1" applyFont="1" applyBorder="1" applyAlignment="1">
      <alignment horizontal="center" vertical="center"/>
    </xf>
    <xf numFmtId="0" fontId="29" fillId="0" borderId="15" xfId="3" applyBorder="1" applyAlignment="1">
      <alignment horizontal="center" vertical="center"/>
    </xf>
    <xf numFmtId="0" fontId="29" fillId="0" borderId="3" xfId="3" applyBorder="1" applyAlignment="1">
      <alignment horizontal="center" vertical="center"/>
    </xf>
    <xf numFmtId="177" fontId="11" fillId="0" borderId="15" xfId="3" applyNumberFormat="1" applyFont="1" applyBorder="1" applyAlignment="1">
      <alignment horizontal="center" vertical="center"/>
    </xf>
    <xf numFmtId="177" fontId="11" fillId="0" borderId="3" xfId="3" applyNumberFormat="1" applyFont="1" applyBorder="1" applyAlignment="1">
      <alignment horizontal="center" vertical="center"/>
    </xf>
    <xf numFmtId="0" fontId="11" fillId="11" borderId="1" xfId="3" applyFont="1" applyFill="1" applyBorder="1" applyAlignment="1">
      <alignment horizontal="center" vertical="center" wrapText="1"/>
    </xf>
    <xf numFmtId="176" fontId="11" fillId="0" borderId="2" xfId="3" applyNumberFormat="1" applyFont="1" applyBorder="1" applyAlignment="1">
      <alignment horizontal="center" vertical="center"/>
    </xf>
    <xf numFmtId="176" fontId="11" fillId="0" borderId="5" xfId="3" applyNumberFormat="1" applyFont="1" applyBorder="1" applyAlignment="1">
      <alignment horizontal="center" vertical="center"/>
    </xf>
    <xf numFmtId="176" fontId="11" fillId="0" borderId="6" xfId="3" applyNumberFormat="1" applyFont="1" applyBorder="1" applyAlignment="1">
      <alignment horizontal="center" vertical="center"/>
    </xf>
    <xf numFmtId="0" fontId="11" fillId="17" borderId="1" xfId="3" applyFont="1" applyFill="1" applyBorder="1" applyAlignment="1">
      <alignment horizontal="center" vertical="center" wrapText="1"/>
    </xf>
    <xf numFmtId="41" fontId="11" fillId="0" borderId="15" xfId="2" applyFont="1" applyFill="1" applyBorder="1" applyAlignment="1">
      <alignment vertical="center"/>
    </xf>
    <xf numFmtId="41" fontId="11" fillId="0" borderId="3" xfId="2" applyFont="1" applyFill="1" applyBorder="1" applyAlignment="1">
      <alignment vertical="center"/>
    </xf>
    <xf numFmtId="41" fontId="11" fillId="15" borderId="8" xfId="2" applyFont="1" applyFill="1" applyBorder="1" applyAlignment="1">
      <alignment vertical="center"/>
    </xf>
    <xf numFmtId="41" fontId="11" fillId="15" borderId="15" xfId="2" applyFont="1" applyFill="1" applyBorder="1" applyAlignment="1">
      <alignment vertical="center"/>
    </xf>
    <xf numFmtId="41" fontId="11" fillId="15" borderId="3" xfId="2" applyFont="1" applyFill="1" applyBorder="1" applyAlignment="1">
      <alignment vertical="center"/>
    </xf>
    <xf numFmtId="41" fontId="12" fillId="15" borderId="8" xfId="2" applyFont="1" applyFill="1" applyBorder="1" applyAlignment="1">
      <alignment vertical="center"/>
    </xf>
    <xf numFmtId="41" fontId="12" fillId="15" borderId="15" xfId="2" applyFont="1" applyFill="1" applyBorder="1" applyAlignment="1">
      <alignment vertical="center"/>
    </xf>
    <xf numFmtId="41" fontId="12" fillId="15" borderId="3" xfId="2" applyFont="1" applyFill="1" applyBorder="1" applyAlignment="1">
      <alignment vertical="center"/>
    </xf>
    <xf numFmtId="41" fontId="11" fillId="0" borderId="1" xfId="2" applyFont="1" applyFill="1" applyBorder="1" applyAlignment="1">
      <alignment vertical="center"/>
    </xf>
    <xf numFmtId="0" fontId="29" fillId="0" borderId="1" xfId="3" applyBorder="1">
      <alignment vertical="center"/>
    </xf>
    <xf numFmtId="177" fontId="11" fillId="0" borderId="1" xfId="3" applyNumberFormat="1" applyFont="1" applyBorder="1" applyAlignment="1">
      <alignment horizontal="center" vertical="center"/>
    </xf>
    <xf numFmtId="0" fontId="29" fillId="0" borderId="1" xfId="3" applyBorder="1" applyAlignment="1">
      <alignment horizontal="center" vertical="center"/>
    </xf>
    <xf numFmtId="0" fontId="11" fillId="0" borderId="1" xfId="3" applyFont="1" applyBorder="1" applyAlignment="1">
      <alignment horizontal="center" vertical="center" wrapText="1"/>
    </xf>
    <xf numFmtId="41" fontId="12" fillId="0" borderId="8" xfId="2" applyFont="1" applyFill="1" applyBorder="1" applyAlignment="1">
      <alignment vertical="center"/>
    </xf>
    <xf numFmtId="177" fontId="8" fillId="0" borderId="8" xfId="3" applyNumberFormat="1" applyFont="1" applyBorder="1" applyAlignment="1">
      <alignment horizontal="center" vertical="center"/>
    </xf>
    <xf numFmtId="38" fontId="47" fillId="0" borderId="8" xfId="3" applyNumberFormat="1" applyFont="1" applyBorder="1">
      <alignment vertical="center"/>
    </xf>
    <xf numFmtId="0" fontId="47" fillId="0" borderId="15" xfId="3" applyFont="1" applyBorder="1">
      <alignment vertical="center"/>
    </xf>
    <xf numFmtId="0" fontId="47" fillId="0" borderId="3" xfId="3" applyFont="1" applyBorder="1">
      <alignment vertical="center"/>
    </xf>
    <xf numFmtId="0" fontId="8" fillId="0" borderId="1" xfId="3" applyFont="1" applyBorder="1" applyAlignment="1">
      <alignment horizontal="center" vertical="center" wrapText="1"/>
    </xf>
    <xf numFmtId="176" fontId="8" fillId="0" borderId="2" xfId="3" applyNumberFormat="1" applyFont="1" applyBorder="1" applyAlignment="1">
      <alignment horizontal="center" vertical="center"/>
    </xf>
    <xf numFmtId="176" fontId="8" fillId="0" borderId="5" xfId="3" applyNumberFormat="1" applyFont="1" applyBorder="1" applyAlignment="1">
      <alignment horizontal="center" vertical="center"/>
    </xf>
    <xf numFmtId="0" fontId="22" fillId="2" borderId="2" xfId="3" applyFont="1" applyFill="1" applyBorder="1" applyAlignment="1">
      <alignment horizontal="center" vertical="center"/>
    </xf>
    <xf numFmtId="0" fontId="22" fillId="2" borderId="5" xfId="3" applyFont="1" applyFill="1" applyBorder="1" applyAlignment="1">
      <alignment horizontal="center" vertical="center"/>
    </xf>
    <xf numFmtId="0" fontId="22" fillId="2" borderId="6" xfId="3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49" fontId="17" fillId="0" borderId="14" xfId="1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9" fillId="11" borderId="2" xfId="1" applyFont="1" applyFill="1" applyBorder="1" applyAlignment="1">
      <alignment horizontal="center" vertical="center" wrapText="1"/>
    </xf>
    <xf numFmtId="0" fontId="9" fillId="11" borderId="5" xfId="1" applyFont="1" applyFill="1" applyBorder="1" applyAlignment="1">
      <alignment horizontal="center" vertical="center" wrapText="1"/>
    </xf>
    <xf numFmtId="0" fontId="9" fillId="11" borderId="6" xfId="1" applyFont="1" applyFill="1" applyBorder="1" applyAlignment="1">
      <alignment horizontal="center" vertical="center" wrapText="1"/>
    </xf>
    <xf numFmtId="0" fontId="9" fillId="14" borderId="5" xfId="3" applyFont="1" applyFill="1" applyBorder="1" applyAlignment="1">
      <alignment horizontal="center" vertical="center" wrapText="1"/>
    </xf>
    <xf numFmtId="0" fontId="9" fillId="14" borderId="6" xfId="3" applyFont="1" applyFill="1" applyBorder="1" applyAlignment="1">
      <alignment horizontal="center" vertical="center" wrapText="1"/>
    </xf>
    <xf numFmtId="176" fontId="8" fillId="0" borderId="6" xfId="3" applyNumberFormat="1" applyFont="1" applyBorder="1" applyAlignment="1">
      <alignment horizontal="center" vertical="center"/>
    </xf>
    <xf numFmtId="0" fontId="9" fillId="11" borderId="5" xfId="3" applyFont="1" applyFill="1" applyBorder="1" applyAlignment="1">
      <alignment horizontal="center" vertical="center" wrapText="1"/>
    </xf>
    <xf numFmtId="0" fontId="9" fillId="11" borderId="6" xfId="3" applyFont="1" applyFill="1" applyBorder="1" applyAlignment="1">
      <alignment horizontal="center" vertical="center" wrapText="1"/>
    </xf>
    <xf numFmtId="0" fontId="22" fillId="2" borderId="8" xfId="3" applyFont="1" applyFill="1" applyBorder="1" applyAlignment="1">
      <alignment horizontal="center" vertical="center"/>
    </xf>
    <xf numFmtId="0" fontId="22" fillId="2" borderId="3" xfId="3" applyFont="1" applyFill="1" applyBorder="1" applyAlignment="1">
      <alignment horizontal="center" vertical="center"/>
    </xf>
    <xf numFmtId="0" fontId="8" fillId="14" borderId="2" xfId="3" applyFont="1" applyFill="1" applyBorder="1" applyAlignment="1">
      <alignment horizontal="center" vertical="center" wrapText="1"/>
    </xf>
    <xf numFmtId="0" fontId="8" fillId="14" borderId="6" xfId="3" applyFont="1" applyFill="1" applyBorder="1" applyAlignment="1">
      <alignment horizontal="center" vertical="center" wrapText="1"/>
    </xf>
    <xf numFmtId="0" fontId="23" fillId="2" borderId="8" xfId="3" applyFont="1" applyFill="1" applyBorder="1" applyAlignment="1">
      <alignment horizontal="center" vertical="center" wrapText="1"/>
    </xf>
    <xf numFmtId="0" fontId="22" fillId="2" borderId="3" xfId="3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0" fontId="22" fillId="2" borderId="15" xfId="3" applyFont="1" applyFill="1" applyBorder="1" applyAlignment="1">
      <alignment horizontal="center" vertical="center"/>
    </xf>
    <xf numFmtId="0" fontId="43" fillId="0" borderId="15" xfId="3" applyFont="1" applyBorder="1" applyAlignment="1">
      <alignment horizontal="center" vertical="center"/>
    </xf>
    <xf numFmtId="0" fontId="43" fillId="0" borderId="3" xfId="3" applyFont="1" applyBorder="1" applyAlignment="1">
      <alignment horizontal="center" vertical="center"/>
    </xf>
    <xf numFmtId="0" fontId="23" fillId="2" borderId="8" xfId="3" applyFont="1" applyFill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3" xfId="0" applyBorder="1">
      <alignment vertical="center"/>
    </xf>
    <xf numFmtId="177" fontId="11" fillId="0" borderId="8" xfId="0" applyNumberFormat="1" applyFont="1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textRotation="255"/>
    </xf>
    <xf numFmtId="0" fontId="2" fillId="0" borderId="53" xfId="0" applyFont="1" applyBorder="1" applyAlignment="1">
      <alignment horizontal="center" vertical="center" textRotation="255"/>
    </xf>
    <xf numFmtId="0" fontId="2" fillId="0" borderId="57" xfId="0" applyFont="1" applyBorder="1" applyAlignment="1">
      <alignment horizontal="center" vertical="center" textRotation="255"/>
    </xf>
    <xf numFmtId="0" fontId="34" fillId="0" borderId="49" xfId="0" applyFont="1" applyBorder="1" applyAlignment="1">
      <alignment horizontal="left" vertical="center"/>
    </xf>
    <xf numFmtId="0" fontId="34" fillId="0" borderId="8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/>
    </xf>
    <xf numFmtId="0" fontId="35" fillId="0" borderId="58" xfId="0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 textRotation="255"/>
    </xf>
    <xf numFmtId="0" fontId="2" fillId="0" borderId="68" xfId="0" applyFont="1" applyBorder="1" applyAlignment="1">
      <alignment horizontal="center" vertical="center" textRotation="255"/>
    </xf>
    <xf numFmtId="0" fontId="2" fillId="0" borderId="72" xfId="0" applyFont="1" applyBorder="1" applyAlignment="1">
      <alignment horizontal="center" vertical="center" textRotation="255"/>
    </xf>
    <xf numFmtId="0" fontId="34" fillId="0" borderId="64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90" fontId="2" fillId="13" borderId="1" xfId="0" applyNumberFormat="1" applyFont="1" applyFill="1" applyBorder="1">
      <alignment vertical="center"/>
    </xf>
    <xf numFmtId="190" fontId="2" fillId="0" borderId="1" xfId="0" applyNumberFormat="1" applyFont="1" applyBorder="1">
      <alignment vertical="center"/>
    </xf>
  </cellXfs>
  <cellStyles count="9">
    <cellStyle name="一般" xfId="0" builtinId="0"/>
    <cellStyle name="一般 2" xfId="1" xr:uid="{00000000-0005-0000-0000-000001000000}"/>
    <cellStyle name="一般 3" xfId="3" xr:uid="{00000000-0005-0000-0000-000002000000}"/>
    <cellStyle name="千分位[0] 2" xfId="2" xr:uid="{00000000-0005-0000-0000-000004000000}"/>
    <cellStyle name="千分位[0] 2 2" xfId="4" xr:uid="{00000000-0005-0000-0000-000005000000}"/>
    <cellStyle name="千分位[0] 2 3" xfId="5" xr:uid="{00000000-0005-0000-0000-000006000000}"/>
    <cellStyle name="千分位[0] 3" xfId="8" xr:uid="{AC83E668-5BC2-413D-A710-7ECF4A5F9A28}"/>
    <cellStyle name="百分比" xfId="7" builtinId="5"/>
    <cellStyle name="貨幣" xfId="6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571500</xdr:colOff>
      <xdr:row>21</xdr:row>
      <xdr:rowOff>190500</xdr:rowOff>
    </xdr:from>
    <xdr:to>
      <xdr:col>37</xdr:col>
      <xdr:colOff>110066</xdr:colOff>
      <xdr:row>27</xdr:row>
      <xdr:rowOff>46567</xdr:rowOff>
    </xdr:to>
    <xdr:sp macro="" textlink="">
      <xdr:nvSpPr>
        <xdr:cNvPr id="2" name="橢圓 1">
          <a:extLst>
            <a:ext uri="{FF2B5EF4-FFF2-40B4-BE49-F238E27FC236}">
              <a16:creationId xmlns:a16="http://schemas.microsoft.com/office/drawing/2014/main" id="{CEAA4F32-C03F-4120-809F-C1C42484C2FD}"/>
            </a:ext>
          </a:extLst>
        </xdr:cNvPr>
        <xdr:cNvSpPr/>
      </xdr:nvSpPr>
      <xdr:spPr>
        <a:xfrm>
          <a:off x="24568150" y="3498850"/>
          <a:ext cx="757766" cy="115146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Y61"/>
  <sheetViews>
    <sheetView zoomScale="82" zoomScaleNormal="82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O4" sqref="O4"/>
    </sheetView>
  </sheetViews>
  <sheetFormatPr defaultColWidth="8.90625" defaultRowHeight="15.5" x14ac:dyDescent="0.4"/>
  <cols>
    <col min="1" max="1" width="8.6328125" style="1" customWidth="1"/>
    <col min="2" max="2" width="9.90625" style="1" customWidth="1"/>
    <col min="3" max="3" width="6.453125" style="1" customWidth="1"/>
    <col min="4" max="4" width="9.90625" style="1" customWidth="1"/>
    <col min="5" max="5" width="13.453125" style="1" customWidth="1"/>
    <col min="6" max="6" width="11.90625" style="1" customWidth="1"/>
    <col min="7" max="11" width="15.6328125" style="6" customWidth="1"/>
    <col min="12" max="18" width="15.6328125" style="1" customWidth="1"/>
    <col min="19" max="19" width="15.6328125" style="6" customWidth="1"/>
    <col min="20" max="20" width="11.90625" style="25" bestFit="1" customWidth="1"/>
    <col min="21" max="16384" width="8.90625" style="1"/>
  </cols>
  <sheetData>
    <row r="1" spans="1:25" ht="54.65" customHeight="1" x14ac:dyDescent="0.4">
      <c r="A1" s="439" t="s">
        <v>0</v>
      </c>
      <c r="B1" s="440"/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</row>
    <row r="2" spans="1:25" ht="20.149999999999999" customHeight="1" x14ac:dyDescent="0.4">
      <c r="A2" s="441" t="s">
        <v>1</v>
      </c>
      <c r="B2" s="441"/>
      <c r="C2" s="441"/>
      <c r="D2" s="441"/>
      <c r="E2" s="109" t="s">
        <v>2</v>
      </c>
      <c r="F2" s="108" t="s">
        <v>3</v>
      </c>
      <c r="G2" s="108" t="s">
        <v>4</v>
      </c>
      <c r="H2" s="108" t="s">
        <v>5</v>
      </c>
      <c r="I2" s="108" t="s">
        <v>6</v>
      </c>
      <c r="J2" s="108" t="s">
        <v>7</v>
      </c>
      <c r="K2" s="108" t="s">
        <v>8</v>
      </c>
      <c r="L2" s="108" t="s">
        <v>9</v>
      </c>
      <c r="M2" s="108" t="s">
        <v>10</v>
      </c>
      <c r="N2" s="108" t="s">
        <v>11</v>
      </c>
      <c r="O2" s="108" t="s">
        <v>12</v>
      </c>
      <c r="P2" s="108" t="s">
        <v>13</v>
      </c>
      <c r="Q2" s="108" t="s">
        <v>14</v>
      </c>
      <c r="R2" s="108" t="s">
        <v>15</v>
      </c>
      <c r="S2" s="108" t="s">
        <v>16</v>
      </c>
      <c r="T2" s="112" t="s">
        <v>17</v>
      </c>
      <c r="Y2" s="1">
        <v>12</v>
      </c>
    </row>
    <row r="3" spans="1:25" ht="20.149999999999999" customHeight="1" x14ac:dyDescent="0.4">
      <c r="A3" s="432" t="s">
        <v>18</v>
      </c>
      <c r="B3" s="442"/>
      <c r="C3" s="442"/>
      <c r="D3" s="433"/>
      <c r="E3" s="10" t="s">
        <v>19</v>
      </c>
      <c r="F3" s="10" t="s">
        <v>19</v>
      </c>
      <c r="G3" s="11">
        <v>110</v>
      </c>
      <c r="H3" s="11">
        <v>109</v>
      </c>
      <c r="I3" s="11">
        <v>110</v>
      </c>
      <c r="J3" s="11">
        <v>109</v>
      </c>
      <c r="K3" s="11">
        <v>107</v>
      </c>
      <c r="L3" s="11">
        <v>103</v>
      </c>
      <c r="M3" s="11">
        <v>107</v>
      </c>
      <c r="N3" s="11">
        <v>105</v>
      </c>
      <c r="O3" s="11">
        <v>108</v>
      </c>
      <c r="P3" s="11"/>
      <c r="Q3" s="11"/>
      <c r="R3" s="11"/>
      <c r="S3" s="66">
        <f t="shared" ref="S3:S23" si="0">AVERAGE(G3:R3)</f>
        <v>107.55555555555556</v>
      </c>
      <c r="T3" s="24" t="s">
        <v>19</v>
      </c>
      <c r="U3" s="192" t="s">
        <v>20</v>
      </c>
    </row>
    <row r="4" spans="1:25" ht="20.149999999999999" customHeight="1" x14ac:dyDescent="0.4">
      <c r="A4" s="353" t="s">
        <v>21</v>
      </c>
      <c r="B4" s="370" t="s">
        <v>22</v>
      </c>
      <c r="C4" s="434" t="s">
        <v>23</v>
      </c>
      <c r="D4" s="383"/>
      <c r="E4" s="435" t="s">
        <v>19</v>
      </c>
      <c r="F4" s="435" t="s">
        <v>19</v>
      </c>
      <c r="G4" s="66">
        <f>'進貨點數(同期比)'!B58</f>
        <v>93998</v>
      </c>
      <c r="H4" s="66">
        <f>'進貨點數(同期比)'!C58</f>
        <v>66193</v>
      </c>
      <c r="I4" s="66">
        <f>'進貨點數(同期比)'!D58</f>
        <v>99100</v>
      </c>
      <c r="J4" s="66">
        <f>'進貨點數(同期比)'!E58</f>
        <v>93418</v>
      </c>
      <c r="K4" s="66">
        <f>'進貨點數(同期比)'!F58</f>
        <v>85602</v>
      </c>
      <c r="L4" s="66">
        <f>'進貨點數(同期比)'!G58</f>
        <v>98449</v>
      </c>
      <c r="M4" s="66">
        <f>'進貨點數(同期比)'!H58</f>
        <v>101191</v>
      </c>
      <c r="N4" s="66">
        <f>'進貨點數(同期比)'!I58</f>
        <v>97533</v>
      </c>
      <c r="O4" s="66">
        <f>'進貨點數(同期比)'!J58</f>
        <v>83632</v>
      </c>
      <c r="P4" s="66"/>
      <c r="Q4" s="66"/>
      <c r="R4" s="66"/>
      <c r="S4" s="66">
        <f t="shared" si="0"/>
        <v>91012.888888888891</v>
      </c>
      <c r="T4" s="437" t="s">
        <v>19</v>
      </c>
      <c r="U4" s="1" t="s">
        <v>24</v>
      </c>
    </row>
    <row r="5" spans="1:25" ht="20.149999999999999" customHeight="1" x14ac:dyDescent="0.4">
      <c r="A5" s="403"/>
      <c r="B5" s="405"/>
      <c r="C5" s="12"/>
      <c r="D5" s="2" t="s">
        <v>25</v>
      </c>
      <c r="E5" s="436"/>
      <c r="F5" s="436"/>
      <c r="G5" s="13">
        <f>'進貨點數(同期比)'!B60</f>
        <v>0.72394140570847643</v>
      </c>
      <c r="H5" s="13">
        <f>'進貨點數(同期比)'!C60</f>
        <v>0.64617622366699856</v>
      </c>
      <c r="I5" s="13">
        <f>'進貨點數(同期比)'!D60</f>
        <v>0.99536967286387235</v>
      </c>
      <c r="J5" s="13">
        <f>'進貨點數(同期比)'!E60</f>
        <v>0.90323516330516507</v>
      </c>
      <c r="K5" s="13">
        <f>'進貨點數(同期比)'!F60</f>
        <v>1.1322267045830303</v>
      </c>
      <c r="L5" s="13">
        <f>'進貨點數(同期比)'!G60</f>
        <v>0.96299593082400814</v>
      </c>
      <c r="M5" s="13">
        <f>'進貨點數(同期比)'!H60</f>
        <v>1.0257577293461733</v>
      </c>
      <c r="N5" s="13">
        <f>'進貨點數(同期比)'!I60</f>
        <v>1.0163498812054521</v>
      </c>
      <c r="O5" s="13">
        <f>'進貨點數(同期比)'!J60</f>
        <v>0.886082386845228</v>
      </c>
      <c r="P5" s="13"/>
      <c r="Q5" s="13"/>
      <c r="R5" s="13"/>
      <c r="S5" s="13">
        <f t="shared" si="0"/>
        <v>0.92134834426093393</v>
      </c>
      <c r="T5" s="431"/>
      <c r="U5" s="1" t="s">
        <v>26</v>
      </c>
    </row>
    <row r="6" spans="1:25" ht="20.149999999999999" customHeight="1" x14ac:dyDescent="0.4">
      <c r="A6" s="403"/>
      <c r="B6" s="405"/>
      <c r="C6" s="434" t="s">
        <v>27</v>
      </c>
      <c r="D6" s="383"/>
      <c r="E6" s="435" t="s">
        <v>19</v>
      </c>
      <c r="F6" s="435" t="s">
        <v>19</v>
      </c>
      <c r="G6" s="66">
        <f>'進貨點數(同期比)'!B59</f>
        <v>1730666</v>
      </c>
      <c r="H6" s="66">
        <f>'進貨點數(同期比)'!C59</f>
        <v>1193278</v>
      </c>
      <c r="I6" s="66">
        <f>'進貨點數(同期比)'!D59</f>
        <v>1784935</v>
      </c>
      <c r="J6" s="66">
        <f>'進貨點數(同期比)'!E59</f>
        <v>1763625</v>
      </c>
      <c r="K6" s="66">
        <f>'進貨點數(同期比)'!F59</f>
        <v>1513053</v>
      </c>
      <c r="L6" s="66">
        <f>'進貨點數(同期比)'!G59</f>
        <v>1877840</v>
      </c>
      <c r="M6" s="66">
        <f>'進貨點數(同期比)'!H59</f>
        <v>2005426</v>
      </c>
      <c r="N6" s="66">
        <f>'進貨點數(同期比)'!I59</f>
        <v>1622651</v>
      </c>
      <c r="O6" s="66">
        <f>'進貨點數(同期比)'!J59</f>
        <v>1389211</v>
      </c>
      <c r="P6" s="66"/>
      <c r="Q6" s="66"/>
      <c r="R6" s="66"/>
      <c r="S6" s="66">
        <f t="shared" si="0"/>
        <v>1653409.4444444445</v>
      </c>
      <c r="T6" s="437" t="s">
        <v>19</v>
      </c>
    </row>
    <row r="7" spans="1:25" ht="20.149999999999999" customHeight="1" x14ac:dyDescent="0.4">
      <c r="A7" s="403"/>
      <c r="B7" s="405"/>
      <c r="C7" s="12"/>
      <c r="D7" s="2" t="s">
        <v>25</v>
      </c>
      <c r="E7" s="436"/>
      <c r="F7" s="436"/>
      <c r="G7" s="13">
        <f>'進貨點數(同期比)'!B61</f>
        <v>1.159304899092205</v>
      </c>
      <c r="H7" s="13">
        <f>'進貨點數(同期比)'!C61</f>
        <v>0.77116875613543812</v>
      </c>
      <c r="I7" s="13">
        <f>'進貨點數(同期比)'!D61</f>
        <v>1.1262393027031359</v>
      </c>
      <c r="J7" s="13">
        <f>'進貨點數(同期比)'!E61</f>
        <v>1.1237947223942681</v>
      </c>
      <c r="K7" s="13">
        <f>'進貨點數(同期比)'!F61</f>
        <v>1.0517289317505356</v>
      </c>
      <c r="L7" s="13">
        <f>'進貨點數(同期比)'!G61</f>
        <v>1.1449734249634009</v>
      </c>
      <c r="M7" s="13">
        <f>'進貨點數(同期比)'!H61</f>
        <v>1.1545216258428952</v>
      </c>
      <c r="N7" s="13">
        <f>'進貨點數(同期比)'!I61</f>
        <v>0.97509927359610793</v>
      </c>
      <c r="O7" s="13">
        <f>'進貨點數(同期比)'!J61</f>
        <v>0.79507426433892381</v>
      </c>
      <c r="P7" s="13"/>
      <c r="Q7" s="13"/>
      <c r="R7" s="13"/>
      <c r="S7" s="13">
        <f t="shared" si="0"/>
        <v>1.0335450223129901</v>
      </c>
      <c r="T7" s="431"/>
    </row>
    <row r="8" spans="1:25" ht="20.149999999999999" customHeight="1" thickBot="1" x14ac:dyDescent="0.45">
      <c r="A8" s="403"/>
      <c r="B8" s="443"/>
      <c r="C8" s="444" t="s">
        <v>28</v>
      </c>
      <c r="D8" s="429"/>
      <c r="E8" s="28" t="s">
        <v>19</v>
      </c>
      <c r="F8" s="28" t="s">
        <v>19</v>
      </c>
      <c r="G8" s="29">
        <f>加班時數!B7</f>
        <v>317.3</v>
      </c>
      <c r="H8" s="29">
        <f>加班時數!C7</f>
        <v>273.7</v>
      </c>
      <c r="I8" s="29">
        <f>加班時數!D7</f>
        <v>310.5</v>
      </c>
      <c r="J8" s="29">
        <f>加班時數!E7</f>
        <v>414.8</v>
      </c>
      <c r="K8" s="29">
        <f>加班時數!F7</f>
        <v>327</v>
      </c>
      <c r="L8" s="29">
        <f>加班時數!G7</f>
        <v>984</v>
      </c>
      <c r="M8" s="29">
        <f>加班時數!H7</f>
        <v>887.2</v>
      </c>
      <c r="N8" s="29">
        <f>加班時數!I7</f>
        <v>1091</v>
      </c>
      <c r="O8" s="29">
        <f>加班時數!J7</f>
        <v>829</v>
      </c>
      <c r="P8" s="29"/>
      <c r="Q8" s="29"/>
      <c r="R8" s="29"/>
      <c r="S8" s="30">
        <f t="shared" si="0"/>
        <v>603.83333333333337</v>
      </c>
      <c r="T8" s="31"/>
      <c r="U8" s="1" t="s">
        <v>29</v>
      </c>
    </row>
    <row r="9" spans="1:25" ht="20.149999999999999" customHeight="1" thickTop="1" x14ac:dyDescent="0.4">
      <c r="A9" s="403"/>
      <c r="B9" s="445" t="s">
        <v>30</v>
      </c>
      <c r="C9" s="427" t="s">
        <v>23</v>
      </c>
      <c r="D9" s="407"/>
      <c r="E9" s="438" t="s">
        <v>19</v>
      </c>
      <c r="F9" s="438" t="s">
        <v>19</v>
      </c>
      <c r="G9" s="64">
        <f>'出貨點數(其他附件)'!B272</f>
        <v>463128</v>
      </c>
      <c r="H9" s="64">
        <f>'出貨點數(其他附件)'!C272</f>
        <v>282648</v>
      </c>
      <c r="I9" s="64">
        <f>'出貨點數(其他附件)'!D272</f>
        <v>448476</v>
      </c>
      <c r="J9" s="64">
        <f>'出貨點數(其他附件)'!E272</f>
        <v>377212</v>
      </c>
      <c r="K9" s="64">
        <f>'出貨點數(其他附件)'!F272</f>
        <v>387639</v>
      </c>
      <c r="L9" s="64">
        <f>'出貨點數(其他附件)'!G272</f>
        <v>404293</v>
      </c>
      <c r="M9" s="64">
        <f>'出貨點數(其他附件)'!H272</f>
        <v>430037</v>
      </c>
      <c r="N9" s="64">
        <f>'出貨點數(其他附件)'!I272</f>
        <v>397054</v>
      </c>
      <c r="O9" s="64">
        <f>'出貨點數(其他附件)'!J272</f>
        <v>383868</v>
      </c>
      <c r="P9" s="64"/>
      <c r="Q9" s="64"/>
      <c r="R9" s="64"/>
      <c r="S9" s="66">
        <f t="shared" si="0"/>
        <v>397150.55555555556</v>
      </c>
      <c r="T9" s="430" t="s">
        <v>19</v>
      </c>
      <c r="U9" s="1" t="s">
        <v>31</v>
      </c>
    </row>
    <row r="10" spans="1:25" ht="20.149999999999999" customHeight="1" x14ac:dyDescent="0.4">
      <c r="A10" s="403"/>
      <c r="B10" s="381"/>
      <c r="C10" s="12"/>
      <c r="D10" s="2" t="s">
        <v>25</v>
      </c>
      <c r="E10" s="436"/>
      <c r="F10" s="436"/>
      <c r="G10" s="13">
        <f>'出貨點數(其他附件)'!B273</f>
        <v>1.2185141918984623</v>
      </c>
      <c r="H10" s="13">
        <f>'出貨點數(其他附件)'!C273</f>
        <v>0.74654129579250417</v>
      </c>
      <c r="I10" s="13">
        <f>'出貨點數(其他附件)'!D273</f>
        <v>1.0773111181574471</v>
      </c>
      <c r="J10" s="13">
        <f>'出貨點數(其他附件)'!E273</f>
        <v>0.99364110993451449</v>
      </c>
      <c r="K10" s="13">
        <f>'出貨點數(其他附件)'!F273</f>
        <v>1.0092768097980609</v>
      </c>
      <c r="L10" s="13">
        <f>'出貨點數(其他附件)'!G273</f>
        <v>0.99063741993658638</v>
      </c>
      <c r="M10" s="13">
        <f>'出貨點數(其他附件)'!H273</f>
        <v>0.9802686616836831</v>
      </c>
      <c r="N10" s="13">
        <f>'出貨點數(其他附件)'!I273</f>
        <v>0.97268999171978576</v>
      </c>
      <c r="O10" s="13">
        <f>'出貨點數(其他附件)'!J273</f>
        <v>0.97446975947198067</v>
      </c>
      <c r="P10" s="13"/>
      <c r="Q10" s="13"/>
      <c r="R10" s="13"/>
      <c r="S10" s="13">
        <f t="shared" si="0"/>
        <v>0.99592781759922511</v>
      </c>
      <c r="T10" s="431"/>
    </row>
    <row r="11" spans="1:25" ht="20.149999999999999" customHeight="1" x14ac:dyDescent="0.4">
      <c r="A11" s="403"/>
      <c r="B11" s="381"/>
      <c r="C11" s="432" t="s">
        <v>32</v>
      </c>
      <c r="D11" s="433"/>
      <c r="E11" s="110" t="s">
        <v>19</v>
      </c>
      <c r="F11" s="110" t="s">
        <v>19</v>
      </c>
      <c r="G11" s="66">
        <v>107789</v>
      </c>
      <c r="H11" s="66">
        <v>62806</v>
      </c>
      <c r="I11" s="66">
        <v>99139</v>
      </c>
      <c r="J11" s="66">
        <v>81409</v>
      </c>
      <c r="K11" s="66">
        <v>78056</v>
      </c>
      <c r="L11" s="66">
        <v>85020</v>
      </c>
      <c r="M11" s="66">
        <v>92859</v>
      </c>
      <c r="N11" s="11">
        <v>80452</v>
      </c>
      <c r="O11" s="11">
        <v>79393</v>
      </c>
      <c r="P11" s="66"/>
      <c r="Q11" s="66"/>
      <c r="R11" s="66"/>
      <c r="S11" s="66">
        <f t="shared" si="0"/>
        <v>85213.666666666672</v>
      </c>
      <c r="T11" s="23"/>
      <c r="U11" s="1" t="s">
        <v>33</v>
      </c>
      <c r="V11" s="1" t="s">
        <v>34</v>
      </c>
    </row>
    <row r="12" spans="1:25" ht="20.149999999999999" customHeight="1" x14ac:dyDescent="0.4">
      <c r="A12" s="403"/>
      <c r="B12" s="381"/>
      <c r="C12" s="434" t="s">
        <v>27</v>
      </c>
      <c r="D12" s="383"/>
      <c r="E12" s="435" t="s">
        <v>19</v>
      </c>
      <c r="F12" s="435" t="s">
        <v>19</v>
      </c>
      <c r="G12" s="66">
        <f>'出貨點數(其他附件)'!B291</f>
        <v>3213190</v>
      </c>
      <c r="H12" s="66">
        <f>'出貨點數(其他附件)'!C291</f>
        <v>2272546</v>
      </c>
      <c r="I12" s="66">
        <f>'出貨點數(其他附件)'!D291</f>
        <v>3096359</v>
      </c>
      <c r="J12" s="66">
        <f>'出貨點數(其他附件)'!E291</f>
        <v>2822380</v>
      </c>
      <c r="K12" s="66">
        <f>'出貨點數(其他附件)'!F291</f>
        <v>2851680</v>
      </c>
      <c r="L12" s="66">
        <f>'出貨點數(其他附件)'!G291</f>
        <v>2973362</v>
      </c>
      <c r="M12" s="66">
        <f>'出貨點數(其他附件)'!H291</f>
        <v>3213687</v>
      </c>
      <c r="N12" s="66">
        <f>'出貨點數(其他附件)'!I291</f>
        <v>2832281</v>
      </c>
      <c r="O12" s="66">
        <f>'出貨點數(其他附件)'!J291</f>
        <v>2733219</v>
      </c>
      <c r="P12" s="66"/>
      <c r="Q12" s="66"/>
      <c r="R12" s="66"/>
      <c r="S12" s="66">
        <f t="shared" si="0"/>
        <v>2889856</v>
      </c>
      <c r="T12" s="437" t="s">
        <v>19</v>
      </c>
      <c r="U12" s="1" t="s">
        <v>31</v>
      </c>
    </row>
    <row r="13" spans="1:25" ht="20.149999999999999" customHeight="1" x14ac:dyDescent="0.4">
      <c r="A13" s="403"/>
      <c r="B13" s="381"/>
      <c r="C13" s="12"/>
      <c r="D13" s="2" t="s">
        <v>25</v>
      </c>
      <c r="E13" s="436"/>
      <c r="F13" s="436"/>
      <c r="G13" s="13">
        <f>'出貨點數(其他附件)'!B292</f>
        <v>1.0616405655536676</v>
      </c>
      <c r="H13" s="13">
        <f>'出貨點數(其他附件)'!C292</f>
        <v>0.90520242864181755</v>
      </c>
      <c r="I13" s="13">
        <f>'出貨點數(其他附件)'!D292</f>
        <v>1.054016867080259</v>
      </c>
      <c r="J13" s="13">
        <f>'出貨點數(其他附件)'!E292</f>
        <v>1.0416327591100147</v>
      </c>
      <c r="K13" s="13">
        <f>'出貨點數(其他附件)'!F292</f>
        <v>1.0025185303932198</v>
      </c>
      <c r="L13" s="13">
        <f>'出貨點數(其他附件)'!G292</f>
        <v>1.0397744876770427</v>
      </c>
      <c r="M13" s="13">
        <f>'出貨點數(其他附件)'!H292</f>
        <v>1.0476908782682401</v>
      </c>
      <c r="N13" s="13">
        <f>'出貨點數(其他附件)'!I292</f>
        <v>1.0360602450229597</v>
      </c>
      <c r="O13" s="13">
        <f>'出貨點數(其他附件)'!J292</f>
        <v>1.0002181054613095</v>
      </c>
      <c r="P13" s="13"/>
      <c r="Q13" s="13"/>
      <c r="R13" s="13"/>
      <c r="S13" s="13">
        <f t="shared" si="0"/>
        <v>1.02097276302317</v>
      </c>
      <c r="T13" s="431"/>
    </row>
    <row r="14" spans="1:25" ht="20.149999999999999" customHeight="1" x14ac:dyDescent="0.4">
      <c r="A14" s="403"/>
      <c r="B14" s="381"/>
      <c r="C14" s="432" t="s">
        <v>35</v>
      </c>
      <c r="D14" s="433"/>
      <c r="E14" s="14" t="s">
        <v>19</v>
      </c>
      <c r="F14" s="14" t="s">
        <v>19</v>
      </c>
      <c r="G14" s="66">
        <v>598775</v>
      </c>
      <c r="H14" s="66">
        <v>369467</v>
      </c>
      <c r="I14" s="66">
        <v>554768</v>
      </c>
      <c r="J14" s="66">
        <v>535762</v>
      </c>
      <c r="K14" s="66">
        <v>511402</v>
      </c>
      <c r="L14" s="66">
        <v>551867</v>
      </c>
      <c r="M14" s="66">
        <v>601703</v>
      </c>
      <c r="N14" s="11">
        <v>493923</v>
      </c>
      <c r="O14" s="11">
        <v>481872</v>
      </c>
      <c r="P14" s="66"/>
      <c r="Q14" s="66"/>
      <c r="R14" s="66"/>
      <c r="S14" s="66">
        <f t="shared" si="0"/>
        <v>522171</v>
      </c>
      <c r="T14" s="18"/>
      <c r="U14" s="1" t="s">
        <v>33</v>
      </c>
      <c r="V14" s="1" t="s">
        <v>36</v>
      </c>
    </row>
    <row r="15" spans="1:25" ht="20.149999999999999" customHeight="1" thickBot="1" x14ac:dyDescent="0.45">
      <c r="A15" s="403"/>
      <c r="B15" s="382"/>
      <c r="C15" s="446" t="s">
        <v>28</v>
      </c>
      <c r="D15" s="447"/>
      <c r="E15" s="28" t="s">
        <v>19</v>
      </c>
      <c r="F15" s="28" t="s">
        <v>19</v>
      </c>
      <c r="G15" s="29">
        <f>加班時數!B18</f>
        <v>1593</v>
      </c>
      <c r="H15" s="29">
        <f>加班時數!C18</f>
        <v>608.5</v>
      </c>
      <c r="I15" s="29">
        <f>加班時數!D18</f>
        <v>1508.5</v>
      </c>
      <c r="J15" s="29">
        <f>加班時數!E18</f>
        <v>1670.5</v>
      </c>
      <c r="K15" s="29">
        <f>加班時數!F18</f>
        <v>1742.5</v>
      </c>
      <c r="L15" s="29">
        <f>加班時數!G18</f>
        <v>1666.5</v>
      </c>
      <c r="M15" s="29">
        <f>加班時數!H18</f>
        <v>1752</v>
      </c>
      <c r="N15" s="29">
        <f>加班時數!I18</f>
        <v>1717.5</v>
      </c>
      <c r="O15" s="29">
        <f>加班時數!J18</f>
        <v>1663.5</v>
      </c>
      <c r="P15" s="29"/>
      <c r="Q15" s="29"/>
      <c r="R15" s="29"/>
      <c r="S15" s="30">
        <f t="shared" si="0"/>
        <v>1546.9444444444443</v>
      </c>
      <c r="T15" s="31"/>
    </row>
    <row r="16" spans="1:25" ht="20.149999999999999" customHeight="1" thickTop="1" x14ac:dyDescent="0.4">
      <c r="A16" s="403"/>
      <c r="B16" s="445" t="s">
        <v>37</v>
      </c>
      <c r="C16" s="448" t="s">
        <v>38</v>
      </c>
      <c r="D16" s="449"/>
      <c r="E16" s="37" t="s">
        <v>19</v>
      </c>
      <c r="F16" s="37" t="s">
        <v>19</v>
      </c>
      <c r="G16" s="38">
        <v>1034</v>
      </c>
      <c r="H16" s="38">
        <v>431</v>
      </c>
      <c r="I16" s="38">
        <v>1015</v>
      </c>
      <c r="J16" s="38">
        <v>772</v>
      </c>
      <c r="K16" s="38">
        <v>969</v>
      </c>
      <c r="L16" s="39">
        <v>2133</v>
      </c>
      <c r="M16" s="39">
        <v>1386</v>
      </c>
      <c r="N16" s="39">
        <v>953</v>
      </c>
      <c r="O16" s="39">
        <v>1247</v>
      </c>
      <c r="P16" s="39"/>
      <c r="Q16" s="39"/>
      <c r="R16" s="39"/>
      <c r="S16" s="40">
        <f t="shared" si="0"/>
        <v>1104.4444444444443</v>
      </c>
      <c r="T16" s="38" t="s">
        <v>19</v>
      </c>
      <c r="U16" s="1" t="s">
        <v>39</v>
      </c>
    </row>
    <row r="17" spans="1:21" ht="20.149999999999999" customHeight="1" thickBot="1" x14ac:dyDescent="0.45">
      <c r="A17" s="403"/>
      <c r="B17" s="382"/>
      <c r="C17" s="450" t="s">
        <v>40</v>
      </c>
      <c r="D17" s="451"/>
      <c r="E17" s="41" t="s">
        <v>19</v>
      </c>
      <c r="F17" s="41" t="s">
        <v>19</v>
      </c>
      <c r="G17" s="42">
        <v>1820</v>
      </c>
      <c r="H17" s="42">
        <v>1322</v>
      </c>
      <c r="I17" s="42">
        <v>3102</v>
      </c>
      <c r="J17" s="42">
        <v>1687</v>
      </c>
      <c r="K17" s="43">
        <v>4776</v>
      </c>
      <c r="L17" s="44">
        <v>4549</v>
      </c>
      <c r="M17" s="44">
        <v>6157</v>
      </c>
      <c r="N17" s="44">
        <v>4911</v>
      </c>
      <c r="O17" s="44">
        <v>9425</v>
      </c>
      <c r="P17" s="44"/>
      <c r="Q17" s="44"/>
      <c r="R17" s="44"/>
      <c r="S17" s="44">
        <f t="shared" si="0"/>
        <v>4194.333333333333</v>
      </c>
      <c r="T17" s="43" t="s">
        <v>19</v>
      </c>
      <c r="U17" s="1" t="s">
        <v>41</v>
      </c>
    </row>
    <row r="18" spans="1:21" ht="20.149999999999999" customHeight="1" thickTop="1" x14ac:dyDescent="0.4">
      <c r="A18" s="403"/>
      <c r="B18" s="452" t="s">
        <v>42</v>
      </c>
      <c r="C18" s="427" t="s">
        <v>23</v>
      </c>
      <c r="D18" s="407"/>
      <c r="E18" s="438" t="s">
        <v>19</v>
      </c>
      <c r="F18" s="438" t="s">
        <v>19</v>
      </c>
      <c r="G18" s="64">
        <v>21348</v>
      </c>
      <c r="H18" s="64">
        <v>16123</v>
      </c>
      <c r="I18" s="64">
        <v>20130</v>
      </c>
      <c r="J18" s="64">
        <v>19893</v>
      </c>
      <c r="K18" s="54">
        <v>20934</v>
      </c>
      <c r="L18" s="64">
        <v>19857</v>
      </c>
      <c r="M18" s="64">
        <v>22842</v>
      </c>
      <c r="N18" s="313">
        <v>18486</v>
      </c>
      <c r="O18" s="313">
        <v>20931</v>
      </c>
      <c r="P18" s="64"/>
      <c r="Q18" s="64"/>
      <c r="R18" s="64"/>
      <c r="S18" s="64">
        <f t="shared" si="0"/>
        <v>20060.444444444445</v>
      </c>
      <c r="T18" s="430" t="s">
        <v>19</v>
      </c>
      <c r="U18" s="1" t="s">
        <v>43</v>
      </c>
    </row>
    <row r="19" spans="1:21" ht="20.149999999999999" customHeight="1" x14ac:dyDescent="0.4">
      <c r="A19" s="403"/>
      <c r="B19" s="452"/>
      <c r="C19" s="12"/>
      <c r="D19" s="2" t="s">
        <v>25</v>
      </c>
      <c r="E19" s="436"/>
      <c r="F19" s="436"/>
      <c r="G19" s="13">
        <v>0.89102216286155511</v>
      </c>
      <c r="H19" s="13">
        <v>0.80679543634907924</v>
      </c>
      <c r="I19" s="13">
        <v>0.90402838280864062</v>
      </c>
      <c r="J19" s="13">
        <v>0.89773906764745703</v>
      </c>
      <c r="K19" s="22">
        <v>1.2761521580102415</v>
      </c>
      <c r="L19" s="22">
        <v>1.0318540843899398</v>
      </c>
      <c r="M19" s="22">
        <v>0.9793345909792488</v>
      </c>
      <c r="N19" s="22">
        <v>1.0179515418502203</v>
      </c>
      <c r="O19" s="22">
        <v>1.0043184108248164</v>
      </c>
      <c r="P19" s="22"/>
      <c r="Q19" s="22"/>
      <c r="R19" s="22"/>
      <c r="S19" s="191">
        <f>AVERAGE(G19:R19)</f>
        <v>0.97879953730235536</v>
      </c>
      <c r="T19" s="431"/>
    </row>
    <row r="20" spans="1:21" ht="20.149999999999999" customHeight="1" x14ac:dyDescent="0.4">
      <c r="A20" s="403"/>
      <c r="B20" s="452"/>
      <c r="C20" s="434" t="s">
        <v>27</v>
      </c>
      <c r="D20" s="383"/>
      <c r="E20" s="435" t="s">
        <v>19</v>
      </c>
      <c r="F20" s="435" t="s">
        <v>19</v>
      </c>
      <c r="G20" s="66">
        <v>160072</v>
      </c>
      <c r="H20" s="66">
        <v>123118</v>
      </c>
      <c r="I20" s="66">
        <v>118326</v>
      </c>
      <c r="J20" s="66">
        <v>108016</v>
      </c>
      <c r="K20" s="18">
        <v>120885</v>
      </c>
      <c r="L20" s="66">
        <v>130134</v>
      </c>
      <c r="M20" s="66">
        <v>166405</v>
      </c>
      <c r="N20" s="314">
        <v>132039</v>
      </c>
      <c r="O20" s="314">
        <v>130504</v>
      </c>
      <c r="P20" s="66"/>
      <c r="Q20" s="66"/>
      <c r="R20" s="66"/>
      <c r="S20" s="64">
        <f t="shared" si="0"/>
        <v>132166.55555555556</v>
      </c>
      <c r="T20" s="437" t="s">
        <v>19</v>
      </c>
    </row>
    <row r="21" spans="1:21" ht="20.149999999999999" customHeight="1" x14ac:dyDescent="0.4">
      <c r="A21" s="403"/>
      <c r="B21" s="452"/>
      <c r="C21" s="12"/>
      <c r="D21" s="2" t="s">
        <v>25</v>
      </c>
      <c r="E21" s="436"/>
      <c r="F21" s="436"/>
      <c r="G21" s="13">
        <v>0.96620993541377442</v>
      </c>
      <c r="H21" s="13">
        <v>0.98199800598205389</v>
      </c>
      <c r="I21" s="13">
        <v>0.87042172707277421</v>
      </c>
      <c r="J21" s="13">
        <v>0.70389823660510642</v>
      </c>
      <c r="K21" s="19">
        <v>0.97673009332202154</v>
      </c>
      <c r="L21" s="19">
        <v>0.98968742870180237</v>
      </c>
      <c r="M21" s="19">
        <v>1.1123700658444466</v>
      </c>
      <c r="N21" s="22">
        <v>0.86065990509464463</v>
      </c>
      <c r="O21" s="22">
        <v>1.0676571166778475</v>
      </c>
      <c r="P21" s="19"/>
      <c r="Q21" s="19"/>
      <c r="R21" s="19"/>
      <c r="S21" s="191">
        <f t="shared" si="0"/>
        <v>0.94773694607938574</v>
      </c>
      <c r="T21" s="431"/>
    </row>
    <row r="22" spans="1:21" ht="20.149999999999999" customHeight="1" thickBot="1" x14ac:dyDescent="0.45">
      <c r="A22" s="404"/>
      <c r="B22" s="367"/>
      <c r="C22" s="428" t="s">
        <v>28</v>
      </c>
      <c r="D22" s="429"/>
      <c r="E22" s="28" t="s">
        <v>19</v>
      </c>
      <c r="F22" s="28" t="s">
        <v>19</v>
      </c>
      <c r="G22" s="32">
        <f>加班時數!B26</f>
        <v>213.3</v>
      </c>
      <c r="H22" s="32">
        <f>加班時數!C26</f>
        <v>238</v>
      </c>
      <c r="I22" s="32">
        <f>加班時數!D26</f>
        <v>346.8</v>
      </c>
      <c r="J22" s="32">
        <f>加班時數!E26</f>
        <v>306.8</v>
      </c>
      <c r="K22" s="32">
        <f>加班時數!F26</f>
        <v>382</v>
      </c>
      <c r="L22" s="32">
        <f>加班時數!G26</f>
        <v>790.5</v>
      </c>
      <c r="M22" s="32">
        <f>加班時數!H26</f>
        <v>979.7</v>
      </c>
      <c r="N22" s="32">
        <f>加班時數!I26</f>
        <v>837.8</v>
      </c>
      <c r="O22" s="32">
        <f>加班時數!J26</f>
        <v>952</v>
      </c>
      <c r="P22" s="32"/>
      <c r="Q22" s="32"/>
      <c r="R22" s="32"/>
      <c r="S22" s="30">
        <f t="shared" si="0"/>
        <v>560.76666666666677</v>
      </c>
      <c r="T22" s="31"/>
      <c r="U22" s="1" t="s">
        <v>44</v>
      </c>
    </row>
    <row r="23" spans="1:21" ht="20.149999999999999" customHeight="1" thickTop="1" x14ac:dyDescent="0.4">
      <c r="A23" s="414" t="s">
        <v>45</v>
      </c>
      <c r="B23" s="417" t="s">
        <v>46</v>
      </c>
      <c r="C23" s="418"/>
      <c r="D23" s="419"/>
      <c r="E23" s="395">
        <v>36</v>
      </c>
      <c r="F23" s="397">
        <f>M23/E23</f>
        <v>1.3111111111111111</v>
      </c>
      <c r="G23" s="95">
        <v>43.6</v>
      </c>
      <c r="H23" s="95">
        <v>43.2</v>
      </c>
      <c r="I23" s="95">
        <v>49.5</v>
      </c>
      <c r="J23" s="93">
        <v>40.200000000000003</v>
      </c>
      <c r="K23" s="57">
        <v>42.9</v>
      </c>
      <c r="L23" s="57">
        <v>36.9</v>
      </c>
      <c r="M23" s="57">
        <v>47.2</v>
      </c>
      <c r="N23" s="57">
        <v>51.7</v>
      </c>
      <c r="O23" s="339">
        <v>45.1</v>
      </c>
      <c r="P23" s="111"/>
      <c r="Q23" s="111"/>
      <c r="R23" s="111"/>
      <c r="S23" s="420">
        <f t="shared" si="0"/>
        <v>44.477777777777781</v>
      </c>
      <c r="T23" s="374">
        <f>S23/E23</f>
        <v>1.2354938271604938</v>
      </c>
    </row>
    <row r="24" spans="1:21" ht="20.149999999999999" customHeight="1" x14ac:dyDescent="0.4">
      <c r="A24" s="415"/>
      <c r="B24" s="411"/>
      <c r="C24" s="413" t="s">
        <v>47</v>
      </c>
      <c r="D24" s="413"/>
      <c r="E24" s="395"/>
      <c r="F24" s="398"/>
      <c r="G24" s="96">
        <v>55.6</v>
      </c>
      <c r="H24" s="96">
        <v>21.3</v>
      </c>
      <c r="I24" s="96">
        <v>60.4</v>
      </c>
      <c r="J24" s="94">
        <v>51.7</v>
      </c>
      <c r="K24" s="15">
        <v>53.9</v>
      </c>
      <c r="L24" s="15">
        <v>45.1</v>
      </c>
      <c r="M24" s="15">
        <v>63.2</v>
      </c>
      <c r="N24" s="15">
        <v>73.3</v>
      </c>
      <c r="O24" s="340">
        <v>61.2</v>
      </c>
      <c r="P24" s="16"/>
      <c r="Q24" s="16"/>
      <c r="R24" s="16"/>
      <c r="S24" s="401"/>
      <c r="T24" s="410"/>
    </row>
    <row r="25" spans="1:21" ht="20.149999999999999" customHeight="1" x14ac:dyDescent="0.4">
      <c r="A25" s="415"/>
      <c r="B25" s="412"/>
      <c r="C25" s="413" t="s">
        <v>48</v>
      </c>
      <c r="D25" s="413"/>
      <c r="E25" s="396"/>
      <c r="F25" s="399"/>
      <c r="G25" s="96">
        <v>25.2</v>
      </c>
      <c r="H25" s="96">
        <v>74.8</v>
      </c>
      <c r="I25" s="96">
        <v>35.6</v>
      </c>
      <c r="J25" s="94">
        <v>24.7</v>
      </c>
      <c r="K25" s="15">
        <v>26.6</v>
      </c>
      <c r="L25" s="15">
        <v>23.7</v>
      </c>
      <c r="M25" s="15">
        <v>25.6</v>
      </c>
      <c r="N25" s="15">
        <v>26.3</v>
      </c>
      <c r="O25" s="340">
        <v>24.5</v>
      </c>
      <c r="P25" s="16"/>
      <c r="Q25" s="16"/>
      <c r="R25" s="16"/>
      <c r="S25" s="402"/>
      <c r="T25" s="375"/>
    </row>
    <row r="26" spans="1:21" ht="20.149999999999999" customHeight="1" x14ac:dyDescent="0.4">
      <c r="A26" s="415"/>
      <c r="B26" s="421" t="s">
        <v>49</v>
      </c>
      <c r="C26" s="422"/>
      <c r="D26" s="423"/>
      <c r="E26" s="394">
        <v>63.6</v>
      </c>
      <c r="F26" s="397">
        <f>M26/E26</f>
        <v>1.0141509433962264</v>
      </c>
      <c r="G26" s="97">
        <v>70.7</v>
      </c>
      <c r="H26" s="97">
        <v>64.2</v>
      </c>
      <c r="I26" s="97">
        <v>71.2</v>
      </c>
      <c r="J26" s="20">
        <v>65.400000000000006</v>
      </c>
      <c r="K26" s="16">
        <v>62.4</v>
      </c>
      <c r="L26" s="16">
        <v>64.8</v>
      </c>
      <c r="M26" s="16">
        <v>64.5</v>
      </c>
      <c r="N26" s="16">
        <v>63.1</v>
      </c>
      <c r="O26" s="340">
        <v>61.6</v>
      </c>
      <c r="P26" s="16"/>
      <c r="Q26" s="16"/>
      <c r="R26" s="16"/>
      <c r="S26" s="400">
        <f>AVERAGE(G26:R26)</f>
        <v>65.322222222222223</v>
      </c>
      <c r="T26" s="410">
        <f>S26/E26</f>
        <v>1.0270789657582111</v>
      </c>
    </row>
    <row r="27" spans="1:21" ht="20.149999999999999" customHeight="1" x14ac:dyDescent="0.4">
      <c r="A27" s="415"/>
      <c r="B27" s="411"/>
      <c r="C27" s="413" t="s">
        <v>47</v>
      </c>
      <c r="D27" s="413"/>
      <c r="E27" s="395"/>
      <c r="F27" s="398"/>
      <c r="G27" s="97">
        <v>86.2</v>
      </c>
      <c r="H27" s="97">
        <v>79.400000000000006</v>
      </c>
      <c r="I27" s="97">
        <v>85</v>
      </c>
      <c r="J27" s="1">
        <v>79.2</v>
      </c>
      <c r="K27" s="16">
        <v>70.900000000000006</v>
      </c>
      <c r="L27" s="16">
        <v>82.8</v>
      </c>
      <c r="M27" s="16">
        <v>83.9</v>
      </c>
      <c r="N27" s="16">
        <v>79.400000000000006</v>
      </c>
      <c r="O27" s="340">
        <v>80.599999999999994</v>
      </c>
      <c r="P27" s="16"/>
      <c r="Q27" s="16"/>
      <c r="R27" s="16"/>
      <c r="S27" s="401"/>
      <c r="T27" s="410"/>
    </row>
    <row r="28" spans="1:21" ht="20.149999999999999" customHeight="1" x14ac:dyDescent="0.4">
      <c r="A28" s="415"/>
      <c r="B28" s="412"/>
      <c r="C28" s="413" t="s">
        <v>48</v>
      </c>
      <c r="D28" s="413"/>
      <c r="E28" s="396"/>
      <c r="F28" s="399"/>
      <c r="G28" s="97">
        <v>45.8</v>
      </c>
      <c r="H28" s="97">
        <v>41.9</v>
      </c>
      <c r="I28" s="97">
        <v>49.7</v>
      </c>
      <c r="J28" s="20">
        <v>42.7</v>
      </c>
      <c r="K28" s="16">
        <v>45.5</v>
      </c>
      <c r="L28" s="16">
        <v>39</v>
      </c>
      <c r="M28" s="16">
        <v>37.799999999999997</v>
      </c>
      <c r="N28" s="16">
        <v>38.9</v>
      </c>
      <c r="O28" s="340">
        <v>36.4</v>
      </c>
      <c r="P28" s="16"/>
      <c r="Q28" s="16"/>
      <c r="R28" s="16"/>
      <c r="S28" s="402"/>
      <c r="T28" s="375"/>
    </row>
    <row r="29" spans="1:21" ht="20.149999999999999" customHeight="1" thickBot="1" x14ac:dyDescent="0.45">
      <c r="A29" s="416"/>
      <c r="B29" s="424" t="s">
        <v>50</v>
      </c>
      <c r="C29" s="425"/>
      <c r="D29" s="426"/>
      <c r="E29" s="98">
        <v>138</v>
      </c>
      <c r="F29" s="204">
        <f>M29/E29</f>
        <v>1.0098550724637683</v>
      </c>
      <c r="G29" s="99">
        <v>140.65</v>
      </c>
      <c r="H29" s="99">
        <v>140.29</v>
      </c>
      <c r="I29" s="99">
        <v>139.51</v>
      </c>
      <c r="J29" s="30">
        <v>139.05000000000001</v>
      </c>
      <c r="K29" s="30">
        <v>140.47999999999999</v>
      </c>
      <c r="L29" s="30">
        <v>140.82</v>
      </c>
      <c r="M29" s="30">
        <v>139.36000000000001</v>
      </c>
      <c r="N29" s="315">
        <v>141.59</v>
      </c>
      <c r="O29" s="315">
        <v>140.41</v>
      </c>
      <c r="P29" s="30"/>
      <c r="Q29" s="30"/>
      <c r="R29" s="30"/>
      <c r="S29" s="30">
        <f>AVERAGE(G29:R29)</f>
        <v>140.24</v>
      </c>
      <c r="T29" s="34">
        <f>S29/E29</f>
        <v>1.0162318840579712</v>
      </c>
      <c r="U29" s="1" t="s">
        <v>51</v>
      </c>
    </row>
    <row r="30" spans="1:21" ht="20.149999999999999" customHeight="1" thickTop="1" x14ac:dyDescent="0.4">
      <c r="A30" s="351" t="s">
        <v>52</v>
      </c>
      <c r="B30" s="351" t="s">
        <v>53</v>
      </c>
      <c r="C30" s="388" t="s">
        <v>54</v>
      </c>
      <c r="D30" s="389"/>
      <c r="E30" s="390">
        <v>9</v>
      </c>
      <c r="F30" s="392">
        <f>IF(M30=0,"-",E30/M30)</f>
        <v>1.7307692307692306</v>
      </c>
      <c r="G30" s="384">
        <v>0</v>
      </c>
      <c r="H30" s="384">
        <v>0</v>
      </c>
      <c r="I30" s="386">
        <v>0</v>
      </c>
      <c r="J30" s="384">
        <v>2.9</v>
      </c>
      <c r="K30" s="386">
        <v>0</v>
      </c>
      <c r="L30" s="386">
        <v>2.8</v>
      </c>
      <c r="M30" s="386">
        <v>5.2</v>
      </c>
      <c r="N30" s="386">
        <v>0</v>
      </c>
      <c r="O30" s="386">
        <v>0</v>
      </c>
      <c r="P30" s="386"/>
      <c r="Q30" s="386"/>
      <c r="R30" s="386"/>
      <c r="S30" s="408">
        <f>AVERAGE(G30:R31)</f>
        <v>1.211111111111111</v>
      </c>
      <c r="T30" s="374">
        <f>E30/S30</f>
        <v>7.431192660550459</v>
      </c>
    </row>
    <row r="31" spans="1:21" ht="20.149999999999999" customHeight="1" x14ac:dyDescent="0.4">
      <c r="A31" s="352"/>
      <c r="B31" s="352"/>
      <c r="C31" s="361" t="s">
        <v>55</v>
      </c>
      <c r="D31" s="362"/>
      <c r="E31" s="391"/>
      <c r="F31" s="393" t="e">
        <f t="shared" ref="F31" si="1">E31/K31</f>
        <v>#DIV/0!</v>
      </c>
      <c r="G31" s="385"/>
      <c r="H31" s="385"/>
      <c r="I31" s="387"/>
      <c r="J31" s="385"/>
      <c r="K31" s="387"/>
      <c r="L31" s="387"/>
      <c r="M31" s="387"/>
      <c r="N31" s="387"/>
      <c r="O31" s="387"/>
      <c r="P31" s="387"/>
      <c r="Q31" s="387"/>
      <c r="R31" s="387"/>
      <c r="S31" s="409"/>
      <c r="T31" s="375"/>
      <c r="U31" s="1" t="s">
        <v>56</v>
      </c>
    </row>
    <row r="32" spans="1:21" ht="20.149999999999999" customHeight="1" x14ac:dyDescent="0.4">
      <c r="A32" s="352"/>
      <c r="B32" s="352"/>
      <c r="C32" s="361" t="s">
        <v>57</v>
      </c>
      <c r="D32" s="362"/>
      <c r="E32" s="185">
        <v>8</v>
      </c>
      <c r="F32" s="191" t="str">
        <f>IF(M32=0,"-",E32/M32)</f>
        <v>-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/>
      <c r="Q32" s="20"/>
      <c r="R32" s="20"/>
      <c r="S32" s="111">
        <f t="shared" ref="S32:S46" si="2">AVERAGE(G32:R32)</f>
        <v>0</v>
      </c>
      <c r="T32" s="22">
        <v>1</v>
      </c>
    </row>
    <row r="33" spans="1:21" ht="20.149999999999999" customHeight="1" x14ac:dyDescent="0.35">
      <c r="A33" s="352"/>
      <c r="B33" s="352"/>
      <c r="C33" s="361" t="s">
        <v>58</v>
      </c>
      <c r="D33" s="362"/>
      <c r="E33" s="187">
        <v>103</v>
      </c>
      <c r="F33" s="55">
        <f>IF(M33=0,"-",E33/M33)</f>
        <v>0.86554621848739499</v>
      </c>
      <c r="G33" s="20">
        <v>178</v>
      </c>
      <c r="H33" s="20">
        <v>129</v>
      </c>
      <c r="I33" s="20">
        <v>111</v>
      </c>
      <c r="J33" s="20">
        <v>134</v>
      </c>
      <c r="K33" s="20">
        <v>279</v>
      </c>
      <c r="L33" s="66">
        <v>169</v>
      </c>
      <c r="M33" s="66">
        <v>119</v>
      </c>
      <c r="N33" s="66">
        <v>249</v>
      </c>
      <c r="O33" s="341">
        <v>27</v>
      </c>
      <c r="P33" s="66"/>
      <c r="Q33" s="66"/>
      <c r="R33" s="66"/>
      <c r="S33" s="111">
        <f t="shared" si="2"/>
        <v>155</v>
      </c>
      <c r="T33" s="19">
        <f>E33/S33</f>
        <v>0.6645161290322581</v>
      </c>
      <c r="U33" s="1" t="s">
        <v>51</v>
      </c>
    </row>
    <row r="34" spans="1:21" ht="20.149999999999999" customHeight="1" thickBot="1" x14ac:dyDescent="0.45">
      <c r="A34" s="354"/>
      <c r="B34" s="376" t="s">
        <v>59</v>
      </c>
      <c r="C34" s="376"/>
      <c r="D34" s="376"/>
      <c r="E34" s="31">
        <v>98</v>
      </c>
      <c r="F34" s="34">
        <f>M34/E34</f>
        <v>1</v>
      </c>
      <c r="G34" s="31">
        <v>98</v>
      </c>
      <c r="H34" s="31">
        <v>98</v>
      </c>
      <c r="I34" s="31">
        <v>98</v>
      </c>
      <c r="J34" s="31">
        <v>98</v>
      </c>
      <c r="K34" s="31">
        <v>98</v>
      </c>
      <c r="L34" s="31">
        <v>98</v>
      </c>
      <c r="M34" s="31">
        <v>98</v>
      </c>
      <c r="N34" s="31">
        <v>98</v>
      </c>
      <c r="O34" s="31">
        <v>98</v>
      </c>
      <c r="P34" s="30"/>
      <c r="Q34" s="30"/>
      <c r="R34" s="30"/>
      <c r="S34" s="31">
        <f t="shared" si="2"/>
        <v>98</v>
      </c>
      <c r="T34" s="33">
        <f>S34/E34</f>
        <v>1</v>
      </c>
      <c r="U34" s="1" t="s">
        <v>60</v>
      </c>
    </row>
    <row r="35" spans="1:21" ht="20.149999999999999" customHeight="1" thickTop="1" x14ac:dyDescent="0.4">
      <c r="A35" s="403" t="s">
        <v>61</v>
      </c>
      <c r="B35" s="381" t="s">
        <v>62</v>
      </c>
      <c r="C35" s="407" t="s">
        <v>63</v>
      </c>
      <c r="D35" s="407"/>
      <c r="E35" s="14" t="s">
        <v>64</v>
      </c>
      <c r="F35" s="14" t="s">
        <v>19</v>
      </c>
      <c r="G35" s="54">
        <f>'包材回收(同期比)'!D99</f>
        <v>2155</v>
      </c>
      <c r="H35" s="54">
        <f>'包材回收(同期比)'!E99</f>
        <v>1805</v>
      </c>
      <c r="I35" s="54">
        <f>'包材回收(同期比)'!F99</f>
        <v>2723</v>
      </c>
      <c r="J35" s="54">
        <f>'包材回收(同期比)'!G99</f>
        <v>2055</v>
      </c>
      <c r="K35" s="54">
        <f>'包材回收(同期比)'!H99</f>
        <v>2345</v>
      </c>
      <c r="L35" s="54">
        <f>'包材回收(同期比)'!I99</f>
        <v>2275</v>
      </c>
      <c r="M35" s="54">
        <f>'包材回收(同期比)'!J99</f>
        <v>2205</v>
      </c>
      <c r="N35" s="54">
        <v>2135</v>
      </c>
      <c r="O35" s="342">
        <v>1859</v>
      </c>
      <c r="P35" s="54"/>
      <c r="Q35" s="54"/>
      <c r="R35" s="54"/>
      <c r="S35" s="64">
        <f t="shared" si="2"/>
        <v>2173</v>
      </c>
      <c r="T35" s="27" t="s">
        <v>19</v>
      </c>
      <c r="U35" s="1" t="s">
        <v>65</v>
      </c>
    </row>
    <row r="36" spans="1:21" ht="20.149999999999999" customHeight="1" x14ac:dyDescent="0.4">
      <c r="A36" s="403"/>
      <c r="B36" s="405"/>
      <c r="C36" s="383" t="s">
        <v>66</v>
      </c>
      <c r="D36" s="383"/>
      <c r="E36" s="14" t="s">
        <v>64</v>
      </c>
      <c r="F36" s="14" t="s">
        <v>19</v>
      </c>
      <c r="G36" s="54">
        <f>'包材回收(同期比)'!D100</f>
        <v>15318</v>
      </c>
      <c r="H36" s="54">
        <f>'包材回收(同期比)'!E100</f>
        <v>12213</v>
      </c>
      <c r="I36" s="54">
        <f>'包材回收(同期比)'!F100</f>
        <v>21784</v>
      </c>
      <c r="J36" s="54">
        <f>'包材回收(同期比)'!G100</f>
        <v>15884</v>
      </c>
      <c r="K36" s="54">
        <f>'包材回收(同期比)'!H100</f>
        <v>16660</v>
      </c>
      <c r="L36" s="54">
        <f>'包材回收(同期比)'!I100</f>
        <v>15063</v>
      </c>
      <c r="M36" s="54">
        <f>'包材回收(同期比)'!J100</f>
        <v>18170</v>
      </c>
      <c r="N36" s="66">
        <v>16408</v>
      </c>
      <c r="O36" s="343">
        <v>20939</v>
      </c>
      <c r="P36" s="66"/>
      <c r="Q36" s="66"/>
      <c r="R36" s="66"/>
      <c r="S36" s="64">
        <f t="shared" si="2"/>
        <v>16937.666666666668</v>
      </c>
      <c r="T36" s="21" t="s">
        <v>19</v>
      </c>
    </row>
    <row r="37" spans="1:21" ht="20.149999999999999" customHeight="1" x14ac:dyDescent="0.4">
      <c r="A37" s="403"/>
      <c r="B37" s="405"/>
      <c r="C37" s="366" t="s">
        <v>67</v>
      </c>
      <c r="D37" s="366"/>
      <c r="E37" s="234">
        <v>28171</v>
      </c>
      <c r="F37" s="202">
        <f>M37/E37</f>
        <v>0.72326151006354056</v>
      </c>
      <c r="G37" s="18">
        <f t="shared" ref="G37:H37" si="3">G35+G36</f>
        <v>17473</v>
      </c>
      <c r="H37" s="18">
        <f t="shared" si="3"/>
        <v>14018</v>
      </c>
      <c r="I37" s="18">
        <f t="shared" ref="I37:J37" si="4">I35+I36</f>
        <v>24507</v>
      </c>
      <c r="J37" s="18">
        <f t="shared" si="4"/>
        <v>17939</v>
      </c>
      <c r="K37" s="18">
        <f t="shared" ref="K37:L37" si="5">K35+K36</f>
        <v>19005</v>
      </c>
      <c r="L37" s="18">
        <f t="shared" si="5"/>
        <v>17338</v>
      </c>
      <c r="M37" s="18">
        <f t="shared" ref="M37" si="6">M35+M36</f>
        <v>20375</v>
      </c>
      <c r="N37" s="18">
        <v>18543</v>
      </c>
      <c r="O37" s="344">
        <v>22798</v>
      </c>
      <c r="P37" s="18"/>
      <c r="Q37" s="18"/>
      <c r="R37" s="18"/>
      <c r="S37" s="64">
        <f t="shared" si="2"/>
        <v>19110.666666666668</v>
      </c>
      <c r="T37" s="377" t="s">
        <v>19</v>
      </c>
    </row>
    <row r="38" spans="1:21" ht="20.149999999999999" customHeight="1" thickBot="1" x14ac:dyDescent="0.45">
      <c r="A38" s="403"/>
      <c r="B38" s="406"/>
      <c r="C38" s="379" t="s">
        <v>68</v>
      </c>
      <c r="D38" s="379"/>
      <c r="E38" s="211" t="s">
        <v>64</v>
      </c>
      <c r="F38" s="208" t="s">
        <v>64</v>
      </c>
      <c r="G38" s="34">
        <f>'包材回收(同期比)'!D102</f>
        <v>1.0131037281846118</v>
      </c>
      <c r="H38" s="34">
        <f>'包材回收(同期比)'!E102</f>
        <v>0.5519766892424004</v>
      </c>
      <c r="I38" s="34">
        <f>'包材回收(同期比)'!F102</f>
        <v>0.89526558047782567</v>
      </c>
      <c r="J38" s="34">
        <f>'包材回收(同期比)'!G102</f>
        <v>0.58146281380159792</v>
      </c>
      <c r="K38" s="34">
        <f>'包材回收(同期比)'!H102</f>
        <v>0.85983803103651091</v>
      </c>
      <c r="L38" s="34">
        <f>'包材回收(同期比)'!I102</f>
        <v>0.53732915982272911</v>
      </c>
      <c r="M38" s="34">
        <f>'包材回收(同期比)'!J102</f>
        <v>0.74985278963639035</v>
      </c>
      <c r="N38" s="34">
        <f>'包材回收(同期比)'!K102</f>
        <v>1.2657337883959043</v>
      </c>
      <c r="O38" s="34">
        <f>'包材回收(同期比)'!L102</f>
        <v>0.91363763876087045</v>
      </c>
      <c r="P38" s="34"/>
      <c r="Q38" s="34"/>
      <c r="R38" s="34"/>
      <c r="S38" s="34">
        <f t="shared" si="2"/>
        <v>0.81868891326209348</v>
      </c>
      <c r="T38" s="378"/>
    </row>
    <row r="39" spans="1:21" ht="20.149999999999999" customHeight="1" thickTop="1" x14ac:dyDescent="0.4">
      <c r="A39" s="403"/>
      <c r="B39" s="380" t="s">
        <v>69</v>
      </c>
      <c r="C39" s="383" t="s">
        <v>63</v>
      </c>
      <c r="D39" s="383"/>
      <c r="E39" s="14" t="s">
        <v>64</v>
      </c>
      <c r="F39" s="14" t="s">
        <v>19</v>
      </c>
      <c r="G39" s="7">
        <f>'包材回收(同期比)'!D103</f>
        <v>9.8000000000000007</v>
      </c>
      <c r="H39" s="7">
        <f>'包材回收(同期比)'!E103</f>
        <v>8.4</v>
      </c>
      <c r="I39" s="7">
        <f>'包材回收(同期比)'!F103</f>
        <v>12.4</v>
      </c>
      <c r="J39" s="7">
        <f>'包材回收(同期比)'!G103</f>
        <v>9.4</v>
      </c>
      <c r="K39" s="7">
        <f>'包材回收(同期比)'!H103</f>
        <v>10.8</v>
      </c>
      <c r="L39" s="7">
        <f>'包材回收(同期比)'!I103</f>
        <v>10.4</v>
      </c>
      <c r="M39" s="7">
        <f>'包材回收(同期比)'!J103</f>
        <v>10.1</v>
      </c>
      <c r="N39" s="7">
        <v>9.6999999999999993</v>
      </c>
      <c r="O39" s="345">
        <v>8.3000000000000007</v>
      </c>
      <c r="P39" s="7"/>
      <c r="Q39" s="7"/>
      <c r="R39" s="7"/>
      <c r="S39" s="111">
        <f t="shared" si="2"/>
        <v>9.9222222222222225</v>
      </c>
      <c r="T39" s="27" t="s">
        <v>19</v>
      </c>
    </row>
    <row r="40" spans="1:21" ht="20.149999999999999" customHeight="1" x14ac:dyDescent="0.4">
      <c r="A40" s="403"/>
      <c r="B40" s="381"/>
      <c r="C40" s="383" t="s">
        <v>66</v>
      </c>
      <c r="D40" s="383"/>
      <c r="E40" s="14" t="s">
        <v>64</v>
      </c>
      <c r="F40" s="14" t="s">
        <v>19</v>
      </c>
      <c r="G40" s="7">
        <f>'包材回收(同期比)'!D104</f>
        <v>91.1</v>
      </c>
      <c r="H40" s="7">
        <f>'包材回收(同期比)'!E104</f>
        <v>49.2</v>
      </c>
      <c r="I40" s="7">
        <f>'包材回收(同期比)'!F104</f>
        <v>82.4</v>
      </c>
      <c r="J40" s="7">
        <f>'包材回收(同期比)'!G104</f>
        <v>64.2</v>
      </c>
      <c r="K40" s="7">
        <f>'包材回收(同期比)'!H104</f>
        <v>67.3</v>
      </c>
      <c r="L40" s="7">
        <f>'包材回收(同期比)'!I104</f>
        <v>60.7</v>
      </c>
      <c r="M40" s="7">
        <f>'包材回收(同期比)'!J104</f>
        <v>71.7</v>
      </c>
      <c r="N40" s="117">
        <v>67.2</v>
      </c>
      <c r="O40" s="345">
        <v>88.3</v>
      </c>
      <c r="P40" s="117"/>
      <c r="Q40" s="117"/>
      <c r="R40" s="117"/>
      <c r="S40" s="111">
        <f t="shared" si="2"/>
        <v>71.344444444444449</v>
      </c>
      <c r="T40" s="21" t="s">
        <v>19</v>
      </c>
    </row>
    <row r="41" spans="1:21" ht="20.149999999999999" customHeight="1" x14ac:dyDescent="0.4">
      <c r="A41" s="403"/>
      <c r="B41" s="381"/>
      <c r="C41" s="366" t="s">
        <v>67</v>
      </c>
      <c r="D41" s="366"/>
      <c r="E41" s="235">
        <v>120.51040000000002</v>
      </c>
      <c r="F41" s="202">
        <f>M41/E41</f>
        <v>0.67877959080710037</v>
      </c>
      <c r="G41" s="203">
        <f t="shared" ref="G41" si="7">G39+G40</f>
        <v>100.89999999999999</v>
      </c>
      <c r="H41" s="203">
        <f t="shared" ref="H41:I41" si="8">H39+H40</f>
        <v>57.6</v>
      </c>
      <c r="I41" s="203">
        <f t="shared" si="8"/>
        <v>94.800000000000011</v>
      </c>
      <c r="J41" s="203">
        <f t="shared" ref="J41:K41" si="9">J39+J40</f>
        <v>73.600000000000009</v>
      </c>
      <c r="K41" s="203">
        <f t="shared" si="9"/>
        <v>78.099999999999994</v>
      </c>
      <c r="L41" s="203">
        <f t="shared" ref="L41:M41" si="10">L39+L40</f>
        <v>71.100000000000009</v>
      </c>
      <c r="M41" s="203">
        <f t="shared" si="10"/>
        <v>81.8</v>
      </c>
      <c r="N41" s="203">
        <v>76.900000000000006</v>
      </c>
      <c r="O41" s="346">
        <v>96.6</v>
      </c>
      <c r="P41" s="203"/>
      <c r="Q41" s="203"/>
      <c r="R41" s="203"/>
      <c r="S41" s="111">
        <f t="shared" si="2"/>
        <v>81.266666666666666</v>
      </c>
      <c r="T41" s="377" t="s">
        <v>19</v>
      </c>
    </row>
    <row r="42" spans="1:21" ht="20.149999999999999" customHeight="1" thickBot="1" x14ac:dyDescent="0.45">
      <c r="A42" s="404"/>
      <c r="B42" s="382"/>
      <c r="C42" s="376" t="s">
        <v>25</v>
      </c>
      <c r="D42" s="376"/>
      <c r="E42" s="209" t="s">
        <v>64</v>
      </c>
      <c r="F42" s="210" t="s">
        <v>64</v>
      </c>
      <c r="G42" s="34">
        <f>'包材回收(同期比)'!D106</f>
        <v>1.648692810457516</v>
      </c>
      <c r="H42" s="34">
        <f>'包材回收(同期比)'!E106</f>
        <v>0.54700854700854706</v>
      </c>
      <c r="I42" s="34">
        <f>'包材回收(同期比)'!F106</f>
        <v>0.8315789473684212</v>
      </c>
      <c r="J42" s="34">
        <f>'包材回收(同期比)'!G106</f>
        <v>0.46115288220551387</v>
      </c>
      <c r="K42" s="34">
        <f>'包材回收(同期比)'!H106</f>
        <v>0.78729838709677413</v>
      </c>
      <c r="L42" s="34">
        <f>'包材回收(同期比)'!I106</f>
        <v>0.43861813695249846</v>
      </c>
      <c r="M42" s="34">
        <f>'包材回收(同期比)'!J106</f>
        <v>0.59146782357194505</v>
      </c>
      <c r="N42" s="34">
        <f>'包材回收(同期比)'!K106</f>
        <v>1.1722560975609757</v>
      </c>
      <c r="O42" s="34">
        <f>'包材回收(同期比)'!L106</f>
        <v>0.8936170212765957</v>
      </c>
      <c r="P42" s="34"/>
      <c r="Q42" s="34"/>
      <c r="R42" s="34"/>
      <c r="S42" s="34">
        <f t="shared" si="2"/>
        <v>0.81907673927764302</v>
      </c>
      <c r="T42" s="378"/>
    </row>
    <row r="43" spans="1:21" ht="20.149999999999999" customHeight="1" thickTop="1" x14ac:dyDescent="0.4">
      <c r="A43" s="363" t="s">
        <v>70</v>
      </c>
      <c r="B43" s="373" t="s">
        <v>71</v>
      </c>
      <c r="C43" s="365" t="s">
        <v>72</v>
      </c>
      <c r="D43" s="365"/>
      <c r="E43" s="235">
        <v>156.66749999999999</v>
      </c>
      <c r="F43" s="191">
        <f>M43/E43</f>
        <v>2.5723267429428569</v>
      </c>
      <c r="G43" s="49">
        <v>348</v>
      </c>
      <c r="H43" s="49">
        <v>215</v>
      </c>
      <c r="I43" s="54">
        <v>264</v>
      </c>
      <c r="J43" s="54">
        <v>274</v>
      </c>
      <c r="K43" s="54">
        <v>247</v>
      </c>
      <c r="L43" s="54">
        <v>380</v>
      </c>
      <c r="M43" s="54">
        <v>403</v>
      </c>
      <c r="N43" s="54">
        <v>416</v>
      </c>
      <c r="O43" s="342">
        <v>339</v>
      </c>
      <c r="P43" s="54"/>
      <c r="Q43" s="54"/>
      <c r="R43" s="49"/>
      <c r="S43" s="64">
        <f t="shared" si="2"/>
        <v>320.66666666666669</v>
      </c>
      <c r="T43" s="65" t="s">
        <v>64</v>
      </c>
      <c r="U43" s="1" t="s">
        <v>73</v>
      </c>
    </row>
    <row r="44" spans="1:21" ht="20.149999999999999" customHeight="1" x14ac:dyDescent="0.4">
      <c r="A44" s="363"/>
      <c r="B44" s="371"/>
      <c r="C44" s="366" t="s">
        <v>74</v>
      </c>
      <c r="D44" s="366"/>
      <c r="E44" s="235">
        <v>311.991609375</v>
      </c>
      <c r="F44" s="191">
        <f>M44/E44</f>
        <v>0.82053488718121081</v>
      </c>
      <c r="G44" s="18">
        <v>467</v>
      </c>
      <c r="H44" s="18">
        <v>242</v>
      </c>
      <c r="I44" s="18">
        <v>374</v>
      </c>
      <c r="J44" s="18">
        <v>284</v>
      </c>
      <c r="K44" s="18">
        <v>249</v>
      </c>
      <c r="L44" s="18">
        <v>285</v>
      </c>
      <c r="M44" s="18">
        <v>256</v>
      </c>
      <c r="N44" s="18">
        <v>274</v>
      </c>
      <c r="O44" s="344">
        <v>334</v>
      </c>
      <c r="P44" s="18"/>
      <c r="Q44" s="18"/>
      <c r="R44" s="18"/>
      <c r="S44" s="64">
        <f t="shared" si="2"/>
        <v>307.22222222222223</v>
      </c>
      <c r="T44" s="65" t="s">
        <v>64</v>
      </c>
      <c r="U44" s="1" t="s">
        <v>75</v>
      </c>
    </row>
    <row r="45" spans="1:21" ht="20.149999999999999" customHeight="1" x14ac:dyDescent="0.4">
      <c r="A45" s="363"/>
      <c r="B45" s="371"/>
      <c r="C45" s="366" t="s">
        <v>76</v>
      </c>
      <c r="D45" s="366"/>
      <c r="E45" s="235">
        <v>311.991609375</v>
      </c>
      <c r="F45" s="191">
        <f>M45/E45</f>
        <v>0.82374010158426236</v>
      </c>
      <c r="G45" s="18">
        <v>468</v>
      </c>
      <c r="H45" s="18">
        <v>242</v>
      </c>
      <c r="I45" s="18">
        <v>375</v>
      </c>
      <c r="J45" s="18">
        <v>285</v>
      </c>
      <c r="K45" s="18">
        <v>250</v>
      </c>
      <c r="L45" s="18">
        <v>286</v>
      </c>
      <c r="M45" s="18">
        <v>257</v>
      </c>
      <c r="N45" s="18">
        <v>274</v>
      </c>
      <c r="O45" s="344">
        <v>334</v>
      </c>
      <c r="P45" s="18"/>
      <c r="Q45" s="18"/>
      <c r="R45" s="18"/>
      <c r="S45" s="64">
        <f t="shared" si="2"/>
        <v>307.88888888888891</v>
      </c>
      <c r="T45" s="65" t="s">
        <v>64</v>
      </c>
      <c r="U45" s="1" t="s">
        <v>77</v>
      </c>
    </row>
    <row r="46" spans="1:21" ht="20.149999999999999" customHeight="1" x14ac:dyDescent="0.4">
      <c r="A46" s="363"/>
      <c r="B46" s="355" t="s">
        <v>67</v>
      </c>
      <c r="C46" s="356"/>
      <c r="D46" s="356"/>
      <c r="E46" s="236">
        <f>E43+E44+E45</f>
        <v>780.6507187499999</v>
      </c>
      <c r="F46" s="191">
        <f>M46/E46</f>
        <v>1.1733800763889966</v>
      </c>
      <c r="G46" s="18">
        <f t="shared" ref="G46:O46" si="11">SUM(G43:G45)</f>
        <v>1283</v>
      </c>
      <c r="H46" s="18">
        <f t="shared" si="11"/>
        <v>699</v>
      </c>
      <c r="I46" s="18">
        <f t="shared" si="11"/>
        <v>1013</v>
      </c>
      <c r="J46" s="18">
        <f t="shared" si="11"/>
        <v>843</v>
      </c>
      <c r="K46" s="18">
        <f t="shared" si="11"/>
        <v>746</v>
      </c>
      <c r="L46" s="18">
        <f t="shared" si="11"/>
        <v>951</v>
      </c>
      <c r="M46" s="18">
        <f t="shared" si="11"/>
        <v>916</v>
      </c>
      <c r="N46" s="18">
        <f t="shared" si="11"/>
        <v>964</v>
      </c>
      <c r="O46" s="18">
        <f t="shared" si="11"/>
        <v>1007</v>
      </c>
      <c r="P46" s="18"/>
      <c r="Q46" s="18"/>
      <c r="R46" s="18"/>
      <c r="S46" s="64">
        <f t="shared" si="2"/>
        <v>935.77777777777783</v>
      </c>
      <c r="T46" s="348" t="s">
        <v>19</v>
      </c>
    </row>
    <row r="47" spans="1:21" ht="20.149999999999999" customHeight="1" thickBot="1" x14ac:dyDescent="0.45">
      <c r="A47" s="364"/>
      <c r="B47" s="350" t="s">
        <v>68</v>
      </c>
      <c r="C47" s="350"/>
      <c r="D47" s="350"/>
      <c r="E47" s="233"/>
      <c r="F47" s="232"/>
      <c r="G47" s="118" t="s">
        <v>64</v>
      </c>
      <c r="H47" s="118" t="s">
        <v>64</v>
      </c>
      <c r="I47" s="118" t="s">
        <v>64</v>
      </c>
      <c r="J47" s="118" t="s">
        <v>64</v>
      </c>
      <c r="K47" s="118" t="s">
        <v>64</v>
      </c>
      <c r="L47" s="118" t="s">
        <v>64</v>
      </c>
      <c r="M47" s="118" t="s">
        <v>64</v>
      </c>
      <c r="N47" s="118" t="s">
        <v>64</v>
      </c>
      <c r="O47" s="118" t="s">
        <v>64</v>
      </c>
      <c r="P47" s="118" t="s">
        <v>64</v>
      </c>
      <c r="Q47" s="118" t="s">
        <v>64</v>
      </c>
      <c r="R47" s="118"/>
      <c r="S47" s="118" t="s">
        <v>19</v>
      </c>
      <c r="T47" s="349"/>
    </row>
    <row r="48" spans="1:21" ht="20.149999999999999" customHeight="1" thickTop="1" x14ac:dyDescent="0.4">
      <c r="A48" s="351" t="s">
        <v>78</v>
      </c>
      <c r="B48" s="355" t="s">
        <v>79</v>
      </c>
      <c r="C48" s="357" t="s">
        <v>80</v>
      </c>
      <c r="D48" s="358"/>
      <c r="E48" s="27">
        <v>0.85</v>
      </c>
      <c r="F48" s="202">
        <f ca="1">M48/E48</f>
        <v>0.13258100084718258</v>
      </c>
      <c r="G48" s="55">
        <f ca="1">OFFSET(庫位使用率!$C$502, (COLUMN(A1)-1)*6, 0)</f>
        <v>0.73817273560287644</v>
      </c>
      <c r="H48" s="55">
        <f ca="1">OFFSET(庫位使用率!$C$502, (COLUMN(B1)-1)*6, 0)</f>
        <v>0.68236606840501191</v>
      </c>
      <c r="I48" s="55">
        <f ca="1">OFFSET(庫位使用率!$C$502, (COLUMN(C1)-1)*6, 0)</f>
        <v>0.47680784247325753</v>
      </c>
      <c r="J48" s="55">
        <f ca="1">OFFSET(庫位使用率!$C$502, (COLUMN(D1)-1)*6, 0)</f>
        <v>0.29458039680484449</v>
      </c>
      <c r="K48" s="55">
        <f ca="1">OFFSET(庫位使用率!$C$502, (COLUMN(E1)-1)*6, 0)</f>
        <v>0.12954190155574591</v>
      </c>
      <c r="L48" s="55">
        <f ca="1">OFFSET(庫位使用率!$C$502, (COLUMN(F1)-1)*6, 0)</f>
        <v>0.11430316129160775</v>
      </c>
      <c r="M48" s="55">
        <f ca="1">OFFSET(庫位使用率!$C$502, (COLUMN(G1)-1)*6, 0)</f>
        <v>0.11269385072010518</v>
      </c>
      <c r="N48" s="55">
        <f>'庫位使用率 (202608變更)'!C13</f>
        <v>0.81911956059532243</v>
      </c>
      <c r="O48" s="55">
        <v>0.8245300496102056</v>
      </c>
      <c r="P48" s="55"/>
      <c r="Q48" s="55"/>
      <c r="R48" s="55"/>
      <c r="S48" s="191">
        <f t="shared" ref="S48:S58" ca="1" si="12">AVERAGE(G48:R48)</f>
        <v>0.46579061856210857</v>
      </c>
      <c r="T48" s="55">
        <f ca="1">S48/E48</f>
        <v>0.54798896301424538</v>
      </c>
    </row>
    <row r="49" spans="1:20" ht="20.149999999999999" customHeight="1" x14ac:dyDescent="0.4">
      <c r="A49" s="352"/>
      <c r="B49" s="356"/>
      <c r="C49" s="359" t="s">
        <v>81</v>
      </c>
      <c r="D49" s="360"/>
      <c r="E49" s="26">
        <v>0.85</v>
      </c>
      <c r="F49" s="202">
        <f t="shared" ref="F49:F57" ca="1" si="13">M49/E49</f>
        <v>0.7761744108731875</v>
      </c>
      <c r="G49" s="19">
        <f ca="1">OFFSET(庫位使用率!$G$502, (COLUMN(A1)-1)*6, 0)</f>
        <v>0.57465171492138389</v>
      </c>
      <c r="H49" s="19">
        <f ca="1">OFFSET(庫位使用率!$G$502, (COLUMN(B1)-1)*6, 0)</f>
        <v>0.61911872302937088</v>
      </c>
      <c r="I49" s="19">
        <f ca="1">OFFSET(庫位使用率!$G$502, (COLUMN(C1)-1)*6, 0)</f>
        <v>0.62492720729868156</v>
      </c>
      <c r="J49" s="19">
        <f ca="1">OFFSET(庫位使用率!$G$502, (COLUMN(D1)-1)*6, 0)</f>
        <v>0.63004882710426902</v>
      </c>
      <c r="K49" s="19">
        <f ca="1">OFFSET(庫位使用率!$G$502, (COLUMN(E1)-1)*6, 0)</f>
        <v>0.63942602021770623</v>
      </c>
      <c r="L49" s="19">
        <f ca="1">OFFSET(庫位使用率!$G$502, (COLUMN(F1)-1)*6, 0)</f>
        <v>0.64856430395245701</v>
      </c>
      <c r="M49" s="19">
        <f ca="1">OFFSET(庫位使用率!$G$502, (COLUMN(G1)-1)*6, 0)</f>
        <v>0.65974824924220932</v>
      </c>
      <c r="N49" s="19">
        <f>'庫位使用率 (202608變更)'!F13</f>
        <v>0.90679726921935289</v>
      </c>
      <c r="O49" s="19">
        <v>0.90946868506975365</v>
      </c>
      <c r="P49" s="19"/>
      <c r="Q49" s="19"/>
      <c r="R49" s="19"/>
      <c r="S49" s="191">
        <f t="shared" ca="1" si="12"/>
        <v>0.69030566667279813</v>
      </c>
      <c r="T49" s="55">
        <f ca="1">S49/E49</f>
        <v>0.81212431373270366</v>
      </c>
    </row>
    <row r="50" spans="1:20" ht="20.149999999999999" customHeight="1" x14ac:dyDescent="0.4">
      <c r="A50" s="352"/>
      <c r="B50" s="356"/>
      <c r="C50" s="359" t="s">
        <v>82</v>
      </c>
      <c r="D50" s="360"/>
      <c r="E50" s="21">
        <v>0.85</v>
      </c>
      <c r="F50" s="202">
        <f t="shared" ca="1" si="13"/>
        <v>0.94525815059751717</v>
      </c>
      <c r="G50" s="19">
        <f ca="1">OFFSET(庫位使用率!$L$502, (COLUMN(A1)-1)*6, 0)</f>
        <v>0.90299375410913874</v>
      </c>
      <c r="H50" s="19">
        <f ca="1">OFFSET(庫位使用率!$L$502, (COLUMN(B1)-1)*6, 0)</f>
        <v>1.0154419789612099</v>
      </c>
      <c r="I50" s="19">
        <f ca="1">OFFSET(庫位使用率!$L$502, (COLUMN(C1)-1)*6, 0)</f>
        <v>0.95865614727153192</v>
      </c>
      <c r="J50" s="19">
        <f ca="1">OFFSET(庫位使用率!$L$502, (COLUMN(D1)-1)*6, 0)</f>
        <v>0.95734122287968437</v>
      </c>
      <c r="K50" s="19">
        <f ca="1">OFFSET(庫位使用率!$L$502, (COLUMN(E1)-1)*6, 0)</f>
        <v>0.98196351084812628</v>
      </c>
      <c r="L50" s="19">
        <f ca="1">OFFSET(庫位使用率!$L$502, (COLUMN(F1)-1)*6, 0)</f>
        <v>0.76335733070348466</v>
      </c>
      <c r="M50" s="19">
        <f ca="1">OFFSET(庫位使用率!$L$502, (COLUMN(G1)-1)*6, 0)</f>
        <v>0.80346942800788956</v>
      </c>
      <c r="N50" s="19">
        <f>'庫位使用率 (202608變更)'!J13</f>
        <v>0.69170833333333337</v>
      </c>
      <c r="O50" s="19">
        <v>0.69480864197530867</v>
      </c>
      <c r="P50" s="347"/>
      <c r="Q50" s="347"/>
      <c r="R50" s="19"/>
      <c r="S50" s="191">
        <f t="shared" ca="1" si="12"/>
        <v>0.86330448312107855</v>
      </c>
      <c r="T50" s="55">
        <f ca="1">S50/E50</f>
        <v>1.0156523330836218</v>
      </c>
    </row>
    <row r="51" spans="1:20" ht="20.149999999999999" customHeight="1" x14ac:dyDescent="0.4">
      <c r="A51" s="352"/>
      <c r="B51" s="370" t="s">
        <v>83</v>
      </c>
      <c r="C51" s="361" t="s">
        <v>84</v>
      </c>
      <c r="D51" s="362"/>
      <c r="E51" s="17">
        <v>0.85</v>
      </c>
      <c r="F51" s="202">
        <f t="shared" ca="1" si="13"/>
        <v>1.0920817769667248</v>
      </c>
      <c r="G51" s="19">
        <f ca="1">OFFSET(庫位使用率!$Q$502, (COLUMN(A1)-1)*6, 0)</f>
        <v>0.93238002908385842</v>
      </c>
      <c r="H51" s="19">
        <f ca="1">OFFSET(庫位使用率!$Q$502, (COLUMN(B1)-1)*6, 0)</f>
        <v>0.937143318791404</v>
      </c>
      <c r="I51" s="19">
        <f ca="1">OFFSET(庫位使用率!$Q$502, (COLUMN(C1)-1)*6, 0)</f>
        <v>0.93450476652124737</v>
      </c>
      <c r="J51" s="19">
        <f ca="1">OFFSET(庫位使用率!$Q$502, (COLUMN(D1)-1)*6, 0)</f>
        <v>0.93805946033284859</v>
      </c>
      <c r="K51" s="19">
        <f ca="1">OFFSET(庫位使用率!$Q$502, (COLUMN(E1)-1)*6, 0)</f>
        <v>0.9298642753271934</v>
      </c>
      <c r="L51" s="19">
        <f ca="1">OFFSET(庫位使用率!$Q$502, (COLUMN(F1)-1)*6, 0)</f>
        <v>0.92711746647277438</v>
      </c>
      <c r="M51" s="19">
        <f ca="1">OFFSET(庫位使用率!$Q$502, (COLUMN(G1)-1)*6, 0)</f>
        <v>0.92826951042171602</v>
      </c>
      <c r="N51" s="19">
        <f>'庫位使用率 (202608變更)'!N13</f>
        <v>0.91899983842300847</v>
      </c>
      <c r="O51" s="19">
        <v>0.91802552916464697</v>
      </c>
      <c r="P51" s="347"/>
      <c r="Q51" s="347"/>
      <c r="R51" s="19"/>
      <c r="S51" s="191">
        <f t="shared" ca="1" si="12"/>
        <v>0.92937379939318865</v>
      </c>
      <c r="T51" s="55">
        <f ca="1">S51/E51</f>
        <v>1.0933809404625749</v>
      </c>
    </row>
    <row r="52" spans="1:20" ht="20.149999999999999" customHeight="1" x14ac:dyDescent="0.4">
      <c r="A52" s="352"/>
      <c r="B52" s="371"/>
      <c r="C52" s="361" t="s">
        <v>85</v>
      </c>
      <c r="D52" s="362"/>
      <c r="E52" s="17">
        <v>0.85</v>
      </c>
      <c r="F52" s="202">
        <f t="shared" ca="1" si="13"/>
        <v>1.1256965944272446</v>
      </c>
      <c r="G52" s="19">
        <f ca="1">OFFSET(庫位使用率!$T$502, (COLUMN(A1)-1)*6, 0)</f>
        <v>0.95336152882205516</v>
      </c>
      <c r="H52" s="19">
        <f ca="1">OFFSET(庫位使用率!$T$502, (COLUMN(B1)-1)*6, 0)</f>
        <v>0.94323621553884707</v>
      </c>
      <c r="I52" s="19">
        <f ca="1">OFFSET(庫位使用率!$T$502, (COLUMN(C1)-1)*6, 0)</f>
        <v>0.94228696741854645</v>
      </c>
      <c r="J52" s="19">
        <f ca="1">OFFSET(庫位使用率!$T$502, (COLUMN(D1)-1)*6, 0)</f>
        <v>0.94635964912280712</v>
      </c>
      <c r="K52" s="19">
        <f ca="1">OFFSET(庫位使用率!$T$502, (COLUMN(E1)-1)*6, 0)</f>
        <v>0.95399436090225564</v>
      </c>
      <c r="L52" s="19">
        <f ca="1">OFFSET(庫位使用率!$T$502, (COLUMN(F1)-1)*6, 0)</f>
        <v>0.96527255639097742</v>
      </c>
      <c r="M52" s="19">
        <f ca="1">OFFSET(庫位使用率!$T$502, (COLUMN(G1)-1)*6, 0)</f>
        <v>0.95684210526315783</v>
      </c>
      <c r="N52" s="19">
        <f>'庫位使用率 (202608變更)'!Q13</f>
        <v>0.94608395989974936</v>
      </c>
      <c r="O52" s="19">
        <v>0.9207706766917293</v>
      </c>
      <c r="P52" s="19"/>
      <c r="Q52" s="19"/>
      <c r="R52" s="19"/>
      <c r="S52" s="191">
        <f t="shared" ca="1" si="12"/>
        <v>0.94757866889445852</v>
      </c>
      <c r="T52" s="55">
        <f ca="1">S52/E52</f>
        <v>1.1147984339934807</v>
      </c>
    </row>
    <row r="53" spans="1:20" ht="20.149999999999999" customHeight="1" x14ac:dyDescent="0.4">
      <c r="A53" s="352"/>
      <c r="B53" s="371"/>
      <c r="C53" s="361" t="s">
        <v>86</v>
      </c>
      <c r="D53" s="362"/>
      <c r="E53" s="17">
        <v>0.85</v>
      </c>
      <c r="F53" s="202">
        <f t="shared" ca="1" si="13"/>
        <v>2.4714196632716687</v>
      </c>
      <c r="G53" s="19">
        <f ca="1">OFFSET(庫位使用率!$U$502, (COLUMN(A1)-1)*6, 0)</f>
        <v>2.0706713780918728</v>
      </c>
      <c r="H53" s="19">
        <f ca="1">OFFSET(庫位使用率!$U$502, (COLUMN(B1)-1)*6, 0)</f>
        <v>2.0459363957597172</v>
      </c>
      <c r="I53" s="19">
        <f ca="1">OFFSET(庫位使用率!$U$502, (COLUMN(C1)-1)*6, 0)</f>
        <v>2.0521201413427561</v>
      </c>
      <c r="J53" s="19">
        <f ca="1">OFFSET(庫位使用率!$U$502, (COLUMN(D1)-1)*6, 0)</f>
        <v>2.0538869257950529</v>
      </c>
      <c r="K53" s="19">
        <f ca="1">OFFSET(庫位使用率!$U$502, (COLUMN(E1)-1)*6, 0)</f>
        <v>2.0918727915194348</v>
      </c>
      <c r="L53" s="19">
        <f ca="1">OFFSET(庫位使用率!$U$502, (COLUMN(F1)-1)*6, 0)</f>
        <v>2.1095406360424027</v>
      </c>
      <c r="M53" s="19">
        <f ca="1">OFFSET(庫位使用率!$U$502, (COLUMN(G1)-1)*6, 0)</f>
        <v>2.1007067137809186</v>
      </c>
      <c r="N53" s="19">
        <f>'庫位使用率 (202608變更)'!S13</f>
        <v>1</v>
      </c>
      <c r="O53" s="19">
        <v>1</v>
      </c>
      <c r="P53" s="19"/>
      <c r="Q53" s="19"/>
      <c r="R53" s="19"/>
      <c r="S53" s="191">
        <f t="shared" ca="1" si="12"/>
        <v>1.8360816647035729</v>
      </c>
      <c r="T53" s="55">
        <f t="shared" ref="T53:T57" ca="1" si="14">S53/E53</f>
        <v>2.1600960761218504</v>
      </c>
    </row>
    <row r="54" spans="1:20" ht="20.149999999999999" customHeight="1" x14ac:dyDescent="0.4">
      <c r="A54" s="352"/>
      <c r="B54" s="371"/>
      <c r="C54" s="361" t="s">
        <v>87</v>
      </c>
      <c r="D54" s="362"/>
      <c r="E54" s="17">
        <v>0.85</v>
      </c>
      <c r="F54" s="202">
        <f t="shared" ca="1" si="13"/>
        <v>1.3037608486017358</v>
      </c>
      <c r="G54" s="19">
        <f ca="1">OFFSET(庫位使用率!$W$502, (COLUMN(A1)-1)*6, 0)</f>
        <v>1.0491803278688525</v>
      </c>
      <c r="H54" s="19">
        <f ca="1">OFFSET(庫位使用率!$W$502, (COLUMN(B1)-1)*6, 0)</f>
        <v>1.0819672131147542</v>
      </c>
      <c r="I54" s="19">
        <f ca="1">OFFSET(庫位使用率!$W$502, (COLUMN(C1)-1)*6, 0)</f>
        <v>1.098360655737705</v>
      </c>
      <c r="J54" s="19">
        <f ca="1">OFFSET(庫位使用率!$W$502, (COLUMN(D1)-1)*6, 0)</f>
        <v>1.1147540983606556</v>
      </c>
      <c r="K54" s="19">
        <f ca="1">OFFSET(庫位使用率!$W$502, (COLUMN(E1)-1)*6, 0)</f>
        <v>1.118032786885246</v>
      </c>
      <c r="L54" s="19">
        <f ca="1">OFFSET(庫位使用率!$W$502, (COLUMN(F1)-1)*6, 0)</f>
        <v>1.1016393442622952</v>
      </c>
      <c r="M54" s="19">
        <f ca="1">OFFSET(庫位使用率!$W$502, (COLUMN(G1)-1)*6, 0)</f>
        <v>1.1081967213114754</v>
      </c>
      <c r="N54" s="19">
        <f>'庫位使用率 (202608變更)'!U13</f>
        <v>1</v>
      </c>
      <c r="O54" s="19">
        <v>1</v>
      </c>
      <c r="P54" s="19"/>
      <c r="Q54" s="19"/>
      <c r="R54" s="19"/>
      <c r="S54" s="191">
        <f t="shared" ca="1" si="12"/>
        <v>1.074681238615665</v>
      </c>
      <c r="T54" s="55">
        <f t="shared" ca="1" si="14"/>
        <v>1.264330868959606</v>
      </c>
    </row>
    <row r="55" spans="1:20" ht="20.149999999999999" customHeight="1" x14ac:dyDescent="0.4">
      <c r="A55" s="352"/>
      <c r="B55" s="371"/>
      <c r="C55" s="361" t="s">
        <v>88</v>
      </c>
      <c r="D55" s="362"/>
      <c r="E55" s="17">
        <v>0.85</v>
      </c>
      <c r="F55" s="202">
        <f t="shared" ca="1" si="13"/>
        <v>1.1151515151515152</v>
      </c>
      <c r="G55" s="19">
        <f ca="1">OFFSET(庫位使用率!$X$502, (COLUMN(A1)-1)*6, 0)</f>
        <v>0.91515151515151516</v>
      </c>
      <c r="H55" s="19">
        <f ca="1">OFFSET(庫位使用率!$X$502, (COLUMN(B1)-1)*6, 0)</f>
        <v>0.9175757575757576</v>
      </c>
      <c r="I55" s="19">
        <f ca="1">OFFSET(庫位使用率!$X$502, (COLUMN(C1)-1)*6, 0)</f>
        <v>0.93818181818181812</v>
      </c>
      <c r="J55" s="19">
        <f ca="1">OFFSET(庫位使用率!$X$502, (COLUMN(D1)-1)*6, 0)</f>
        <v>0.9432323232323232</v>
      </c>
      <c r="K55" s="19">
        <f ca="1">OFFSET(庫位使用率!$X$502, (COLUMN(E1)-1)*6, 0)</f>
        <v>0.94424242424242422</v>
      </c>
      <c r="L55" s="19">
        <f ca="1">OFFSET(庫位使用率!$X$502, (COLUMN(F1)-1)*6, 0)</f>
        <v>0.94525252525252523</v>
      </c>
      <c r="M55" s="19">
        <f ca="1">OFFSET(庫位使用率!$X$502, (COLUMN(G1)-1)*6, 0)</f>
        <v>0.94787878787878788</v>
      </c>
      <c r="N55" s="19">
        <f>'庫位使用率 (202608變更)'!V13</f>
        <v>0.95030303030303021</v>
      </c>
      <c r="O55" s="19">
        <v>0.95151515151515154</v>
      </c>
      <c r="P55" s="19"/>
      <c r="Q55" s="19"/>
      <c r="R55" s="19"/>
      <c r="S55" s="191">
        <f t="shared" ca="1" si="12"/>
        <v>0.93925925925925924</v>
      </c>
      <c r="T55" s="55">
        <f t="shared" ca="1" si="14"/>
        <v>1.1050108932461873</v>
      </c>
    </row>
    <row r="56" spans="1:20" ht="20.149999999999999" customHeight="1" x14ac:dyDescent="0.4">
      <c r="A56" s="352"/>
      <c r="B56" s="371"/>
      <c r="C56" s="361" t="s">
        <v>89</v>
      </c>
      <c r="D56" s="362"/>
      <c r="E56" s="17">
        <v>0.85</v>
      </c>
      <c r="F56" s="202">
        <f t="shared" ca="1" si="13"/>
        <v>1.1111111111111112</v>
      </c>
      <c r="G56" s="19">
        <f ca="1">OFFSET(庫位使用率!$Y$502, (COLUMN(A1)-1)*6, 0)</f>
        <v>0.97619047619047616</v>
      </c>
      <c r="H56" s="19">
        <f ca="1">OFFSET(庫位使用率!$Y$502, (COLUMN(B1)-1)*6, 0)</f>
        <v>0.96825396825396826</v>
      </c>
      <c r="I56" s="19">
        <f ca="1">OFFSET(庫位使用率!$Y$502, (COLUMN(C1)-1)*6, 0)</f>
        <v>0.95634920634920639</v>
      </c>
      <c r="J56" s="19">
        <f ca="1">OFFSET(庫位使用率!$Y$502, (COLUMN(D1)-1)*6, 0)</f>
        <v>0.94047619047619047</v>
      </c>
      <c r="K56" s="19">
        <f ca="1">OFFSET(庫位使用率!$Y$502, (COLUMN(E1)-1)*6, 0)</f>
        <v>0.93253968253968256</v>
      </c>
      <c r="L56" s="19">
        <f ca="1">OFFSET(庫位使用率!$Y$502, (COLUMN(F1)-1)*6, 0)</f>
        <v>0.94444444444444442</v>
      </c>
      <c r="M56" s="19">
        <f ca="1">OFFSET(庫位使用率!$Y$502, (COLUMN(G1)-1)*6, 0)</f>
        <v>0.94444444444444442</v>
      </c>
      <c r="N56" s="19">
        <f>'庫位使用率 (202608變更)'!W13</f>
        <v>0.94444444444444442</v>
      </c>
      <c r="O56" s="19">
        <v>0.95238095238095233</v>
      </c>
      <c r="P56" s="19"/>
      <c r="Q56" s="19"/>
      <c r="R56" s="19"/>
      <c r="S56" s="191">
        <f t="shared" ca="1" si="12"/>
        <v>0.95105820105820116</v>
      </c>
      <c r="T56" s="55">
        <f t="shared" ca="1" si="14"/>
        <v>1.1188920012449426</v>
      </c>
    </row>
    <row r="57" spans="1:20" ht="20.149999999999999" customHeight="1" x14ac:dyDescent="0.4">
      <c r="A57" s="353"/>
      <c r="B57" s="372"/>
      <c r="C57" s="359" t="s">
        <v>90</v>
      </c>
      <c r="D57" s="360"/>
      <c r="E57" s="68">
        <v>0.85</v>
      </c>
      <c r="F57" s="202">
        <f t="shared" ca="1" si="13"/>
        <v>0.91822094691535161</v>
      </c>
      <c r="G57" s="65">
        <f ca="1">OFFSET(庫位使用率!$Z$502, (COLUMN(A1)-1)*6, 0)</f>
        <v>0.78048780487804881</v>
      </c>
      <c r="H57" s="65">
        <f ca="1">OFFSET(庫位使用率!$Z$502, (COLUMN(B1)-1)*6, 0)</f>
        <v>0.78048780487804881</v>
      </c>
      <c r="I57" s="65">
        <f ca="1">OFFSET(庫位使用率!$Z$502, (COLUMN(C1)-1)*6, 0)</f>
        <v>0.78048780487804881</v>
      </c>
      <c r="J57" s="65">
        <f ca="1">OFFSET(庫位使用率!$Z$502, (COLUMN(D1)-1)*6, 0)</f>
        <v>0.78048780487804881</v>
      </c>
      <c r="K57" s="65">
        <f ca="1">OFFSET(庫位使用率!$Z$502, (COLUMN(E1)-1)*6, 0)</f>
        <v>0.78048780487804881</v>
      </c>
      <c r="L57" s="65">
        <f ca="1">OFFSET(庫位使用率!$Z$502, (COLUMN(F1)-1)*6, 0)</f>
        <v>0.78048780487804881</v>
      </c>
      <c r="M57" s="65">
        <f ca="1">OFFSET(庫位使用率!$Z$502, (COLUMN(G1)-1)*6, 0)</f>
        <v>0.78048780487804881</v>
      </c>
      <c r="N57" s="65">
        <f>'庫位使用率 (202608變更)'!X13</f>
        <v>0.79268292682926833</v>
      </c>
      <c r="O57" s="65">
        <v>0.78048780487804881</v>
      </c>
      <c r="P57" s="65"/>
      <c r="Q57" s="65"/>
      <c r="R57" s="65"/>
      <c r="S57" s="191">
        <f t="shared" ca="1" si="12"/>
        <v>0.78184281842818426</v>
      </c>
      <c r="T57" s="55">
        <f t="shared" ca="1" si="14"/>
        <v>0.91981508050374616</v>
      </c>
    </row>
    <row r="58" spans="1:20" ht="30" customHeight="1" thickBot="1" x14ac:dyDescent="0.45">
      <c r="A58" s="354"/>
      <c r="B58" s="367" t="s">
        <v>91</v>
      </c>
      <c r="C58" s="368"/>
      <c r="D58" s="369"/>
      <c r="E58" s="35">
        <v>0.85</v>
      </c>
      <c r="F58" s="36">
        <f ca="1">M58/E58</f>
        <v>0.58103441040704995</v>
      </c>
      <c r="G58" s="34">
        <f ca="1">OFFSET(庫位使用率!$AC$502, (COLUMN(A1)-1)*6, 0)</f>
        <v>0.68919389200287751</v>
      </c>
      <c r="H58" s="34">
        <f ca="1">OFFSET(庫位使用率!$AC$502, (COLUMN(B1)-1)*6, 0)</f>
        <v>0.69291876611114445</v>
      </c>
      <c r="I58" s="34">
        <f ca="1">OFFSET(庫位使用率!$AC$502, (COLUMN(C1)-1)*6, 0)</f>
        <v>0.6172943206342546</v>
      </c>
      <c r="J58" s="34">
        <f ca="1">OFFSET(庫位使用率!$AC$502, (COLUMN(D1)-1)*6, 0)</f>
        <v>0.55108126386307776</v>
      </c>
      <c r="K58" s="34">
        <f ca="1">OFFSET(庫位使用率!$AC$502, (COLUMN(E1)-1)*6, 0)</f>
        <v>0.49388635273664644</v>
      </c>
      <c r="L58" s="34">
        <f ca="1">OFFSET(庫位使用率!$AC$502, (COLUMN(F1)-1)*6, 0)</f>
        <v>0.48803388585816199</v>
      </c>
      <c r="M58" s="34">
        <f ca="1">OFFSET(庫位使用率!$AC$502, (COLUMN(G1)-1)*6, 0)</f>
        <v>0.49387924884599249</v>
      </c>
      <c r="N58" s="34">
        <f>'庫位使用率 (202608變更)'!AD13</f>
        <v>0.60447759386866318</v>
      </c>
      <c r="O58" s="34">
        <v>0.60687124002358206</v>
      </c>
      <c r="P58" s="34"/>
      <c r="Q58" s="34"/>
      <c r="R58" s="34"/>
      <c r="S58" s="34">
        <f t="shared" ca="1" si="12"/>
        <v>0.58195961821604447</v>
      </c>
      <c r="T58" s="34">
        <f ca="1">S58/E58</f>
        <v>0.68465837437181709</v>
      </c>
    </row>
    <row r="59" spans="1:20" ht="16" thickTop="1" x14ac:dyDescent="0.4"/>
    <row r="61" spans="1:20" x14ac:dyDescent="0.4">
      <c r="F61" s="126"/>
    </row>
  </sheetData>
  <mergeCells count="115">
    <mergeCell ref="A1:T1"/>
    <mergeCell ref="A2:D2"/>
    <mergeCell ref="A3:D3"/>
    <mergeCell ref="A4:A22"/>
    <mergeCell ref="B4:B8"/>
    <mergeCell ref="C4:D4"/>
    <mergeCell ref="E4:E5"/>
    <mergeCell ref="F4:F5"/>
    <mergeCell ref="T4:T5"/>
    <mergeCell ref="C6:D6"/>
    <mergeCell ref="E6:E7"/>
    <mergeCell ref="F6:F7"/>
    <mergeCell ref="T6:T7"/>
    <mergeCell ref="C8:D8"/>
    <mergeCell ref="B9:B15"/>
    <mergeCell ref="C9:D9"/>
    <mergeCell ref="E9:E10"/>
    <mergeCell ref="F9:F10"/>
    <mergeCell ref="C14:D14"/>
    <mergeCell ref="C15:D15"/>
    <mergeCell ref="B16:B17"/>
    <mergeCell ref="C16:D16"/>
    <mergeCell ref="C17:D17"/>
    <mergeCell ref="B18:B22"/>
    <mergeCell ref="C18:D18"/>
    <mergeCell ref="C22:D22"/>
    <mergeCell ref="T9:T10"/>
    <mergeCell ref="C11:D11"/>
    <mergeCell ref="C12:D12"/>
    <mergeCell ref="E12:E13"/>
    <mergeCell ref="F12:F13"/>
    <mergeCell ref="T12:T13"/>
    <mergeCell ref="E18:E19"/>
    <mergeCell ref="F18:F19"/>
    <mergeCell ref="T18:T19"/>
    <mergeCell ref="C20:D20"/>
    <mergeCell ref="E20:E21"/>
    <mergeCell ref="F20:F21"/>
    <mergeCell ref="T20:T21"/>
    <mergeCell ref="T26:T28"/>
    <mergeCell ref="B27:B28"/>
    <mergeCell ref="C27:D27"/>
    <mergeCell ref="C28:D28"/>
    <mergeCell ref="A23:A29"/>
    <mergeCell ref="B23:D23"/>
    <mergeCell ref="E23:E25"/>
    <mergeCell ref="F23:F25"/>
    <mergeCell ref="S23:S25"/>
    <mergeCell ref="T23:T25"/>
    <mergeCell ref="B24:B25"/>
    <mergeCell ref="C24:D24"/>
    <mergeCell ref="C25:D25"/>
    <mergeCell ref="B26:D26"/>
    <mergeCell ref="B29:D29"/>
    <mergeCell ref="A30:A34"/>
    <mergeCell ref="B30:B33"/>
    <mergeCell ref="C30:D30"/>
    <mergeCell ref="E30:E31"/>
    <mergeCell ref="F30:F31"/>
    <mergeCell ref="E26:E28"/>
    <mergeCell ref="F26:F28"/>
    <mergeCell ref="S26:S28"/>
    <mergeCell ref="A35:A42"/>
    <mergeCell ref="B35:B38"/>
    <mergeCell ref="C35:D35"/>
    <mergeCell ref="C36:D36"/>
    <mergeCell ref="C37:D37"/>
    <mergeCell ref="C42:D42"/>
    <mergeCell ref="S30:S31"/>
    <mergeCell ref="P30:P31"/>
    <mergeCell ref="Q30:Q31"/>
    <mergeCell ref="R30:R31"/>
    <mergeCell ref="T30:T31"/>
    <mergeCell ref="C31:D31"/>
    <mergeCell ref="C32:D32"/>
    <mergeCell ref="C33:D33"/>
    <mergeCell ref="B34:D34"/>
    <mergeCell ref="T37:T38"/>
    <mergeCell ref="C38:D38"/>
    <mergeCell ref="B39:B42"/>
    <mergeCell ref="C39:D39"/>
    <mergeCell ref="C40:D40"/>
    <mergeCell ref="C41:D41"/>
    <mergeCell ref="T41:T42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T46:T47"/>
    <mergeCell ref="B47:D47"/>
    <mergeCell ref="A48:A58"/>
    <mergeCell ref="B48:B50"/>
    <mergeCell ref="C48:D48"/>
    <mergeCell ref="C49:D49"/>
    <mergeCell ref="C50:D50"/>
    <mergeCell ref="C51:D51"/>
    <mergeCell ref="C52:D52"/>
    <mergeCell ref="A43:A47"/>
    <mergeCell ref="C43:D43"/>
    <mergeCell ref="C44:D44"/>
    <mergeCell ref="C45:D45"/>
    <mergeCell ref="B46:D46"/>
    <mergeCell ref="C57:D57"/>
    <mergeCell ref="B58:D58"/>
    <mergeCell ref="B51:B57"/>
    <mergeCell ref="C53:D53"/>
    <mergeCell ref="C54:D54"/>
    <mergeCell ref="C55:D55"/>
    <mergeCell ref="C56:D56"/>
    <mergeCell ref="B43:B45"/>
  </mergeCells>
  <phoneticPr fontId="1" type="noConversion"/>
  <pageMargins left="0.70866141732283472" right="0.70866141732283472" top="0.55118110236220474" bottom="0.35433070866141736" header="0.51181102362204722" footer="0.11811023622047245"/>
  <pageSetup paperSize="8" scale="68" orientation="landscape" r:id="rId1"/>
  <headerFooter>
    <oddHeader>&amp;R&amp;"微軟正黑體,標準"單位:零件楊配室
日期:2026/08/10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T293"/>
  <sheetViews>
    <sheetView topLeftCell="A253" zoomScale="87" zoomScaleNormal="87" workbookViewId="0">
      <pane ySplit="3" topLeftCell="A275" activePane="bottomLeft" state="frozen"/>
      <selection activeCell="A253" sqref="A253"/>
      <selection pane="bottomLeft" activeCell="J294" sqref="J294"/>
    </sheetView>
  </sheetViews>
  <sheetFormatPr defaultRowHeight="19" customHeight="1" x14ac:dyDescent="0.4"/>
  <cols>
    <col min="1" max="1" width="12.36328125" bestFit="1" customWidth="1"/>
    <col min="2" max="8" width="10.6328125" style="5" bestFit="1" customWidth="1"/>
    <col min="9" max="10" width="10.90625" style="5" bestFit="1" customWidth="1"/>
    <col min="11" max="11" width="9.6328125" style="5" customWidth="1"/>
    <col min="12" max="13" width="9.6328125" style="5" bestFit="1" customWidth="1"/>
    <col min="14" max="14" width="12.90625" bestFit="1" customWidth="1"/>
    <col min="15" max="15" width="13" bestFit="1" customWidth="1"/>
    <col min="17" max="17" width="9.453125" bestFit="1" customWidth="1"/>
  </cols>
  <sheetData>
    <row r="1" spans="1:13" ht="19" customHeight="1" x14ac:dyDescent="0.4">
      <c r="A1" s="71" t="s">
        <v>92</v>
      </c>
      <c r="B1" s="72">
        <v>1</v>
      </c>
      <c r="C1" s="72">
        <v>2</v>
      </c>
      <c r="D1" s="72">
        <v>3</v>
      </c>
      <c r="E1" s="72">
        <v>4</v>
      </c>
      <c r="F1" s="72">
        <v>5</v>
      </c>
      <c r="G1" s="72">
        <v>6</v>
      </c>
      <c r="H1" s="72">
        <v>7</v>
      </c>
      <c r="I1" s="72">
        <v>8</v>
      </c>
      <c r="J1" s="72">
        <v>9</v>
      </c>
      <c r="K1" s="72">
        <v>10</v>
      </c>
      <c r="L1" s="72">
        <v>11</v>
      </c>
      <c r="M1" s="72">
        <v>12</v>
      </c>
    </row>
    <row r="2" spans="1:13" ht="19" customHeight="1" x14ac:dyDescent="0.4">
      <c r="A2" s="73" t="s">
        <v>93</v>
      </c>
      <c r="B2" s="74">
        <v>391042</v>
      </c>
      <c r="C2" s="74">
        <v>232855</v>
      </c>
      <c r="D2" s="74">
        <v>313479</v>
      </c>
      <c r="E2" s="74">
        <v>296353</v>
      </c>
      <c r="F2" s="74">
        <v>317723</v>
      </c>
      <c r="G2" s="74">
        <v>299282</v>
      </c>
      <c r="H2" s="74">
        <v>340859</v>
      </c>
      <c r="I2" s="74">
        <v>321679</v>
      </c>
      <c r="J2" s="74">
        <v>293513</v>
      </c>
      <c r="K2" s="74">
        <v>328038</v>
      </c>
      <c r="L2" s="74">
        <v>319587</v>
      </c>
      <c r="M2" s="74">
        <v>355032</v>
      </c>
    </row>
    <row r="3" spans="1:13" ht="19" customHeight="1" x14ac:dyDescent="0.4">
      <c r="A3" s="73" t="s">
        <v>94</v>
      </c>
      <c r="B3" s="78">
        <v>19165</v>
      </c>
      <c r="C3" s="78">
        <v>5370</v>
      </c>
      <c r="D3" s="78">
        <v>7040</v>
      </c>
      <c r="E3" s="78">
        <v>8088</v>
      </c>
      <c r="F3" s="78">
        <v>14307</v>
      </c>
      <c r="G3" s="78">
        <v>15998</v>
      </c>
      <c r="H3" s="78">
        <v>17087</v>
      </c>
      <c r="I3" s="78">
        <v>9871</v>
      </c>
      <c r="J3" s="78">
        <v>7884</v>
      </c>
      <c r="K3" s="78">
        <v>10591</v>
      </c>
      <c r="L3" s="78">
        <v>14011</v>
      </c>
      <c r="M3" s="78">
        <v>19338</v>
      </c>
    </row>
    <row r="4" spans="1:13" ht="19" customHeight="1" x14ac:dyDescent="0.4">
      <c r="A4" s="73" t="s">
        <v>95</v>
      </c>
      <c r="B4" s="78">
        <v>1541</v>
      </c>
      <c r="C4" s="72">
        <v>915</v>
      </c>
      <c r="D4" s="78">
        <v>1173</v>
      </c>
      <c r="E4" s="78">
        <v>1192</v>
      </c>
      <c r="F4" s="78">
        <v>1374</v>
      </c>
      <c r="G4" s="78">
        <v>1259</v>
      </c>
      <c r="H4" s="78">
        <v>1698</v>
      </c>
      <c r="I4" s="78">
        <v>1184</v>
      </c>
      <c r="J4" s="78">
        <v>1284</v>
      </c>
      <c r="K4" s="78">
        <v>1463</v>
      </c>
      <c r="L4" s="78">
        <v>1337</v>
      </c>
      <c r="M4" s="78">
        <v>1413</v>
      </c>
    </row>
    <row r="5" spans="1:13" ht="19" customHeight="1" x14ac:dyDescent="0.4">
      <c r="A5" s="73" t="s">
        <v>96</v>
      </c>
      <c r="B5" s="78">
        <v>9219</v>
      </c>
      <c r="C5" s="78">
        <v>5688</v>
      </c>
      <c r="D5" s="78">
        <v>6409</v>
      </c>
      <c r="E5" s="78">
        <v>7215</v>
      </c>
      <c r="F5" s="75">
        <v>6512</v>
      </c>
      <c r="G5" s="75">
        <v>7125</v>
      </c>
      <c r="H5" s="75">
        <v>6171</v>
      </c>
      <c r="I5" s="78">
        <v>3806</v>
      </c>
      <c r="J5" s="78">
        <v>4954</v>
      </c>
      <c r="K5" s="78">
        <v>6786</v>
      </c>
      <c r="L5" s="78">
        <v>6618</v>
      </c>
      <c r="M5" s="78">
        <v>7404</v>
      </c>
    </row>
    <row r="6" spans="1:13" ht="19" customHeight="1" x14ac:dyDescent="0.4">
      <c r="A6" s="73" t="s">
        <v>97</v>
      </c>
      <c r="B6" s="72">
        <v>767</v>
      </c>
      <c r="C6" s="72">
        <v>338</v>
      </c>
      <c r="D6" s="72">
        <v>601</v>
      </c>
      <c r="E6" s="72">
        <v>480</v>
      </c>
      <c r="F6" s="75">
        <v>523</v>
      </c>
      <c r="G6" s="75">
        <v>573</v>
      </c>
      <c r="H6" s="72">
        <v>690</v>
      </c>
      <c r="I6" s="72">
        <v>627</v>
      </c>
      <c r="J6" s="72">
        <v>544</v>
      </c>
      <c r="K6" s="72">
        <v>652</v>
      </c>
      <c r="L6" s="72">
        <v>735</v>
      </c>
      <c r="M6" s="72">
        <v>807</v>
      </c>
    </row>
    <row r="7" spans="1:13" ht="19" customHeight="1" x14ac:dyDescent="0.4">
      <c r="A7" s="73" t="s">
        <v>98</v>
      </c>
      <c r="B7" s="78">
        <v>1979</v>
      </c>
      <c r="C7" s="78">
        <v>1127</v>
      </c>
      <c r="D7" s="78">
        <v>1706</v>
      </c>
      <c r="E7" s="78">
        <v>1466</v>
      </c>
      <c r="F7" s="78">
        <v>2276</v>
      </c>
      <c r="G7" s="78">
        <v>1829</v>
      </c>
      <c r="H7" s="78">
        <v>2225</v>
      </c>
      <c r="I7" s="78">
        <v>2422</v>
      </c>
      <c r="J7" s="78">
        <v>2030</v>
      </c>
      <c r="K7" s="78">
        <v>2523</v>
      </c>
      <c r="L7" s="78">
        <v>2213</v>
      </c>
      <c r="M7" s="78">
        <v>2459</v>
      </c>
    </row>
    <row r="8" spans="1:13" ht="19" customHeight="1" x14ac:dyDescent="0.4">
      <c r="A8" s="73" t="s">
        <v>99</v>
      </c>
      <c r="B8" s="72">
        <v>1781</v>
      </c>
      <c r="C8" s="72">
        <v>1320</v>
      </c>
      <c r="D8" s="72">
        <v>1206</v>
      </c>
      <c r="E8" s="72">
        <v>908</v>
      </c>
      <c r="F8" s="75">
        <v>1448</v>
      </c>
      <c r="G8" s="75">
        <v>1596</v>
      </c>
      <c r="H8" s="75">
        <v>1620</v>
      </c>
      <c r="I8" s="75">
        <v>1678</v>
      </c>
      <c r="J8" s="75">
        <v>2144</v>
      </c>
      <c r="K8" s="75">
        <v>1778</v>
      </c>
      <c r="L8" s="75">
        <v>2075</v>
      </c>
      <c r="M8" s="75">
        <v>1814</v>
      </c>
    </row>
    <row r="9" spans="1:13" ht="19" customHeight="1" x14ac:dyDescent="0.4">
      <c r="A9" s="80" t="s">
        <v>100</v>
      </c>
      <c r="B9" s="81">
        <f t="shared" ref="B9:M9" si="0">SUM(B2:B8)</f>
        <v>425494</v>
      </c>
      <c r="C9" s="81">
        <f t="shared" si="0"/>
        <v>247613</v>
      </c>
      <c r="D9" s="81">
        <f t="shared" si="0"/>
        <v>331614</v>
      </c>
      <c r="E9" s="81">
        <f t="shared" si="0"/>
        <v>315702</v>
      </c>
      <c r="F9" s="81">
        <f t="shared" si="0"/>
        <v>344163</v>
      </c>
      <c r="G9" s="81">
        <f t="shared" si="0"/>
        <v>327662</v>
      </c>
      <c r="H9" s="81">
        <f t="shared" si="0"/>
        <v>370350</v>
      </c>
      <c r="I9" s="81">
        <f t="shared" si="0"/>
        <v>341267</v>
      </c>
      <c r="J9" s="81">
        <f t="shared" si="0"/>
        <v>312353</v>
      </c>
      <c r="K9" s="81">
        <f t="shared" si="0"/>
        <v>351831</v>
      </c>
      <c r="L9" s="81">
        <f t="shared" si="0"/>
        <v>346576</v>
      </c>
      <c r="M9" s="81">
        <f t="shared" si="0"/>
        <v>388267</v>
      </c>
    </row>
    <row r="10" spans="1:13" ht="19" customHeight="1" x14ac:dyDescent="0.4">
      <c r="A10" s="73" t="s">
        <v>101</v>
      </c>
      <c r="B10" s="78">
        <v>2536614</v>
      </c>
      <c r="C10" s="78">
        <v>1445282</v>
      </c>
      <c r="D10" s="78">
        <v>1916054</v>
      </c>
      <c r="E10" s="78">
        <v>1898917</v>
      </c>
      <c r="F10" s="78">
        <v>2060248</v>
      </c>
      <c r="G10" s="78">
        <v>2025118</v>
      </c>
      <c r="H10" s="78">
        <v>2211194</v>
      </c>
      <c r="I10" s="78">
        <v>1962282</v>
      </c>
      <c r="J10" s="78">
        <v>1879324</v>
      </c>
      <c r="K10" s="78">
        <v>2087204</v>
      </c>
      <c r="L10" s="78">
        <v>2061187</v>
      </c>
      <c r="M10" s="78">
        <v>2312999</v>
      </c>
    </row>
    <row r="11" spans="1:13" ht="19" customHeight="1" x14ac:dyDescent="0.4">
      <c r="A11" s="73" t="s">
        <v>102</v>
      </c>
      <c r="B11" s="78">
        <v>146177</v>
      </c>
      <c r="C11" s="78">
        <v>72647</v>
      </c>
      <c r="D11" s="78">
        <v>120051</v>
      </c>
      <c r="E11" s="78">
        <v>107960</v>
      </c>
      <c r="F11" s="78">
        <v>128648</v>
      </c>
      <c r="G11" s="78">
        <v>152500</v>
      </c>
      <c r="H11" s="78">
        <v>146036</v>
      </c>
      <c r="I11" s="78">
        <v>80867</v>
      </c>
      <c r="J11" s="78">
        <v>110822</v>
      </c>
      <c r="K11" s="78">
        <v>85412</v>
      </c>
      <c r="L11" s="78">
        <v>140248</v>
      </c>
      <c r="M11" s="78">
        <v>132573</v>
      </c>
    </row>
    <row r="12" spans="1:13" ht="19" customHeight="1" x14ac:dyDescent="0.4">
      <c r="A12" s="73" t="s">
        <v>103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</row>
    <row r="13" spans="1:13" ht="19" customHeight="1" x14ac:dyDescent="0.4">
      <c r="A13" s="73" t="s">
        <v>104</v>
      </c>
      <c r="B13" s="78">
        <v>81135</v>
      </c>
      <c r="C13" s="78">
        <v>41945</v>
      </c>
      <c r="D13" s="78">
        <v>49580</v>
      </c>
      <c r="E13" s="78">
        <v>76305</v>
      </c>
      <c r="F13" s="78">
        <v>65954</v>
      </c>
      <c r="G13" s="78">
        <v>69793</v>
      </c>
      <c r="H13" s="78">
        <v>60954</v>
      </c>
      <c r="I13" s="78">
        <v>26574</v>
      </c>
      <c r="J13" s="78">
        <v>44215</v>
      </c>
      <c r="K13" s="78">
        <v>60060</v>
      </c>
      <c r="L13" s="78">
        <v>58843</v>
      </c>
      <c r="M13" s="78">
        <v>69373</v>
      </c>
    </row>
    <row r="14" spans="1:13" ht="19" customHeight="1" x14ac:dyDescent="0.4">
      <c r="A14" s="73" t="s">
        <v>105</v>
      </c>
      <c r="B14" s="72">
        <v>8245</v>
      </c>
      <c r="C14" s="72">
        <v>4212</v>
      </c>
      <c r="D14" s="72">
        <v>9513</v>
      </c>
      <c r="E14" s="72">
        <v>5102</v>
      </c>
      <c r="F14" s="72">
        <v>7249</v>
      </c>
      <c r="G14" s="72">
        <v>6286</v>
      </c>
      <c r="H14" s="72">
        <v>7354</v>
      </c>
      <c r="I14" s="72">
        <v>7154</v>
      </c>
      <c r="J14" s="72">
        <v>5628</v>
      </c>
      <c r="K14" s="72">
        <v>7622</v>
      </c>
      <c r="L14" s="72">
        <v>7142</v>
      </c>
      <c r="M14" s="72">
        <v>7585</v>
      </c>
    </row>
    <row r="15" spans="1:13" ht="19" customHeight="1" x14ac:dyDescent="0.4">
      <c r="A15" s="73" t="s">
        <v>106</v>
      </c>
      <c r="B15" s="78">
        <v>3216</v>
      </c>
      <c r="C15" s="78">
        <v>1899</v>
      </c>
      <c r="D15" s="78">
        <v>2655</v>
      </c>
      <c r="E15" s="78">
        <v>2092</v>
      </c>
      <c r="F15" s="78">
        <v>3983</v>
      </c>
      <c r="G15" s="78">
        <v>2776</v>
      </c>
      <c r="H15" s="78">
        <v>3989</v>
      </c>
      <c r="I15" s="78">
        <v>4303</v>
      </c>
      <c r="J15" s="78">
        <v>3435</v>
      </c>
      <c r="K15" s="78">
        <v>4350</v>
      </c>
      <c r="L15" s="78">
        <v>4033</v>
      </c>
      <c r="M15" s="78">
        <v>3827</v>
      </c>
    </row>
    <row r="16" spans="1:13" ht="19" customHeight="1" x14ac:dyDescent="0.4">
      <c r="A16" s="73" t="s">
        <v>107</v>
      </c>
      <c r="B16" s="78">
        <v>10184</v>
      </c>
      <c r="C16" s="78">
        <v>7466</v>
      </c>
      <c r="D16" s="78">
        <v>6254</v>
      </c>
      <c r="E16" s="78">
        <v>4384</v>
      </c>
      <c r="F16" s="78">
        <v>6817</v>
      </c>
      <c r="G16" s="78">
        <v>7750</v>
      </c>
      <c r="H16" s="78">
        <v>7957</v>
      </c>
      <c r="I16" s="78">
        <v>8164</v>
      </c>
      <c r="J16" s="78">
        <v>10878</v>
      </c>
      <c r="K16" s="78">
        <v>9293</v>
      </c>
      <c r="L16" s="78">
        <v>11210</v>
      </c>
      <c r="M16" s="78">
        <v>9658</v>
      </c>
    </row>
    <row r="17" spans="1:15" ht="19" customHeight="1" x14ac:dyDescent="0.4">
      <c r="A17" s="80" t="s">
        <v>108</v>
      </c>
      <c r="B17" s="82">
        <f t="shared" ref="B17:M17" si="1">SUM(B10:B16)</f>
        <v>2785571</v>
      </c>
      <c r="C17" s="82">
        <f t="shared" si="1"/>
        <v>1573451</v>
      </c>
      <c r="D17" s="82">
        <f t="shared" si="1"/>
        <v>2104107</v>
      </c>
      <c r="E17" s="82">
        <f t="shared" si="1"/>
        <v>2094760</v>
      </c>
      <c r="F17" s="82">
        <f t="shared" si="1"/>
        <v>2272899</v>
      </c>
      <c r="G17" s="82">
        <f t="shared" si="1"/>
        <v>2264223</v>
      </c>
      <c r="H17" s="82">
        <f t="shared" si="1"/>
        <v>2437484</v>
      </c>
      <c r="I17" s="82">
        <f t="shared" si="1"/>
        <v>2089344</v>
      </c>
      <c r="J17" s="82">
        <f t="shared" si="1"/>
        <v>2054302</v>
      </c>
      <c r="K17" s="82">
        <f t="shared" si="1"/>
        <v>2253941</v>
      </c>
      <c r="L17" s="82">
        <f t="shared" si="1"/>
        <v>2282663</v>
      </c>
      <c r="M17" s="82">
        <f t="shared" si="1"/>
        <v>2536015</v>
      </c>
    </row>
    <row r="19" spans="1:15" ht="19" customHeight="1" x14ac:dyDescent="0.4">
      <c r="A19" s="69" t="s">
        <v>109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69"/>
      <c r="O19" s="69"/>
    </row>
    <row r="20" spans="1:15" ht="19" customHeight="1" x14ac:dyDescent="0.4">
      <c r="A20" s="71" t="s">
        <v>110</v>
      </c>
      <c r="B20" s="72">
        <v>1</v>
      </c>
      <c r="C20" s="72">
        <v>2</v>
      </c>
      <c r="D20" s="72">
        <v>3</v>
      </c>
      <c r="E20" s="72">
        <v>4</v>
      </c>
      <c r="F20" s="72">
        <v>5</v>
      </c>
      <c r="G20" s="72">
        <v>6</v>
      </c>
      <c r="H20" s="72">
        <v>7</v>
      </c>
      <c r="I20" s="72">
        <v>8</v>
      </c>
      <c r="J20" s="72">
        <v>9</v>
      </c>
      <c r="K20" s="72">
        <v>10</v>
      </c>
      <c r="L20" s="72">
        <v>11</v>
      </c>
      <c r="M20" s="72">
        <v>12</v>
      </c>
      <c r="N20" s="72" t="s">
        <v>111</v>
      </c>
      <c r="O20" s="72" t="s">
        <v>67</v>
      </c>
    </row>
    <row r="21" spans="1:15" ht="19" customHeight="1" x14ac:dyDescent="0.4">
      <c r="A21" s="73" t="s">
        <v>93</v>
      </c>
      <c r="B21" s="74">
        <v>295444</v>
      </c>
      <c r="C21" s="74">
        <v>319960</v>
      </c>
      <c r="D21" s="74">
        <v>334332</v>
      </c>
      <c r="E21" s="74">
        <v>290437</v>
      </c>
      <c r="F21" s="75">
        <v>301493</v>
      </c>
      <c r="G21" s="75">
        <v>309849</v>
      </c>
      <c r="H21" s="75">
        <v>362845</v>
      </c>
      <c r="I21" s="75">
        <v>343104</v>
      </c>
      <c r="J21" s="75">
        <v>350048</v>
      </c>
      <c r="K21" s="75">
        <v>322082</v>
      </c>
      <c r="L21" s="75">
        <v>333743</v>
      </c>
      <c r="M21" s="75">
        <v>372497</v>
      </c>
      <c r="N21" s="74">
        <f t="shared" ref="N21:N34" si="2">AVERAGE(B21:M21)</f>
        <v>327986.16666666669</v>
      </c>
      <c r="O21" s="462">
        <f>SUM(B21:M21)</f>
        <v>3935834</v>
      </c>
    </row>
    <row r="22" spans="1:15" ht="19" customHeight="1" x14ac:dyDescent="0.4">
      <c r="A22" s="76" t="s">
        <v>112</v>
      </c>
      <c r="B22" s="77">
        <f t="shared" ref="B22:M22" si="3">B21/B2</f>
        <v>0.75553009651137215</v>
      </c>
      <c r="C22" s="77">
        <f t="shared" si="3"/>
        <v>1.3740739945459621</v>
      </c>
      <c r="D22" s="77">
        <f t="shared" si="3"/>
        <v>1.0665212023771928</v>
      </c>
      <c r="E22" s="77">
        <f t="shared" si="3"/>
        <v>0.98003732035781654</v>
      </c>
      <c r="F22" s="77">
        <f t="shared" si="3"/>
        <v>0.94891776799287431</v>
      </c>
      <c r="G22" s="77">
        <f t="shared" si="3"/>
        <v>1.0353078367559694</v>
      </c>
      <c r="H22" s="77">
        <f t="shared" si="3"/>
        <v>1.0645017441229365</v>
      </c>
      <c r="I22" s="77">
        <f t="shared" si="3"/>
        <v>1.0666036639009695</v>
      </c>
      <c r="J22" s="77">
        <f t="shared" si="3"/>
        <v>1.1926149778715083</v>
      </c>
      <c r="K22" s="77">
        <f t="shared" si="3"/>
        <v>0.98184356690383434</v>
      </c>
      <c r="L22" s="77">
        <f t="shared" si="3"/>
        <v>1.0442946678056366</v>
      </c>
      <c r="M22" s="77">
        <f t="shared" si="3"/>
        <v>1.0491927488226414</v>
      </c>
      <c r="N22" s="77">
        <f t="shared" si="2"/>
        <v>1.0466199656640593</v>
      </c>
      <c r="O22" s="464"/>
    </row>
    <row r="23" spans="1:15" ht="19" customHeight="1" x14ac:dyDescent="0.4">
      <c r="A23" s="73" t="s">
        <v>94</v>
      </c>
      <c r="B23" s="78">
        <v>7114</v>
      </c>
      <c r="C23" s="78">
        <v>7702</v>
      </c>
      <c r="D23" s="78">
        <v>9509</v>
      </c>
      <c r="E23" s="78">
        <v>7516</v>
      </c>
      <c r="F23" s="78">
        <v>10898</v>
      </c>
      <c r="G23" s="78">
        <v>16398</v>
      </c>
      <c r="H23" s="78">
        <v>18684</v>
      </c>
      <c r="I23" s="78">
        <v>11874</v>
      </c>
      <c r="J23" s="78">
        <v>10590</v>
      </c>
      <c r="K23" s="78">
        <v>8570</v>
      </c>
      <c r="L23" s="78">
        <v>15821</v>
      </c>
      <c r="M23" s="78">
        <v>18403</v>
      </c>
      <c r="N23" s="74">
        <f t="shared" si="2"/>
        <v>11923.25</v>
      </c>
      <c r="O23" s="462">
        <f>SUM(B23:M23)</f>
        <v>143079</v>
      </c>
    </row>
    <row r="24" spans="1:15" ht="19" customHeight="1" x14ac:dyDescent="0.4">
      <c r="A24" s="76" t="s">
        <v>112</v>
      </c>
      <c r="B24" s="77">
        <f t="shared" ref="B24:M24" si="4">B23/B3</f>
        <v>0.37119749543438557</v>
      </c>
      <c r="C24" s="77">
        <f t="shared" si="4"/>
        <v>1.4342644320297953</v>
      </c>
      <c r="D24" s="77">
        <f t="shared" si="4"/>
        <v>1.3507102272727274</v>
      </c>
      <c r="E24" s="77">
        <f t="shared" si="4"/>
        <v>0.92927794263105834</v>
      </c>
      <c r="F24" s="77">
        <f t="shared" si="4"/>
        <v>0.76172502970573841</v>
      </c>
      <c r="G24" s="77">
        <f t="shared" si="4"/>
        <v>1.0250031253906737</v>
      </c>
      <c r="H24" s="77">
        <f t="shared" si="4"/>
        <v>1.093462866506701</v>
      </c>
      <c r="I24" s="77">
        <f t="shared" si="4"/>
        <v>1.2029176375240604</v>
      </c>
      <c r="J24" s="77">
        <f t="shared" si="4"/>
        <v>1.3432267884322679</v>
      </c>
      <c r="K24" s="77">
        <f t="shared" si="4"/>
        <v>0.80917760362572</v>
      </c>
      <c r="L24" s="77">
        <f t="shared" si="4"/>
        <v>1.1291842124045393</v>
      </c>
      <c r="M24" s="77">
        <f t="shared" si="4"/>
        <v>0.95164960182025027</v>
      </c>
      <c r="N24" s="77">
        <f t="shared" si="2"/>
        <v>1.0334830802314932</v>
      </c>
      <c r="O24" s="464"/>
    </row>
    <row r="25" spans="1:15" ht="19" customHeight="1" x14ac:dyDescent="0.4">
      <c r="A25" s="73" t="s">
        <v>95</v>
      </c>
      <c r="B25" s="78">
        <v>1199</v>
      </c>
      <c r="C25" s="78">
        <v>1451</v>
      </c>
      <c r="D25" s="78">
        <v>1386</v>
      </c>
      <c r="E25" s="74">
        <v>1256</v>
      </c>
      <c r="F25" s="75">
        <v>1192</v>
      </c>
      <c r="G25" s="75">
        <v>1331</v>
      </c>
      <c r="H25" s="75">
        <v>1317</v>
      </c>
      <c r="I25" s="75">
        <v>1303</v>
      </c>
      <c r="J25" s="75">
        <v>1610</v>
      </c>
      <c r="K25" s="75">
        <v>1142</v>
      </c>
      <c r="L25" s="75">
        <v>1656</v>
      </c>
      <c r="M25" s="75">
        <v>1347</v>
      </c>
      <c r="N25" s="72">
        <f t="shared" si="2"/>
        <v>1349.1666666666667</v>
      </c>
      <c r="O25" s="461">
        <f>SUM(B25:M25)</f>
        <v>16190</v>
      </c>
    </row>
    <row r="26" spans="1:15" ht="19" customHeight="1" x14ac:dyDescent="0.4">
      <c r="A26" s="76" t="s">
        <v>112</v>
      </c>
      <c r="B26" s="77">
        <f t="shared" ref="B26:M26" si="5">B25/B4</f>
        <v>0.77806619078520445</v>
      </c>
      <c r="C26" s="77">
        <f t="shared" si="5"/>
        <v>1.5857923497267759</v>
      </c>
      <c r="D26" s="77">
        <f t="shared" si="5"/>
        <v>1.1815856777493605</v>
      </c>
      <c r="E26" s="77">
        <f t="shared" si="5"/>
        <v>1.0536912751677852</v>
      </c>
      <c r="F26" s="77">
        <f t="shared" si="5"/>
        <v>0.8675400291120815</v>
      </c>
      <c r="G26" s="77">
        <f t="shared" si="5"/>
        <v>1.0571882446386021</v>
      </c>
      <c r="H26" s="77">
        <f t="shared" si="5"/>
        <v>0.77561837455830385</v>
      </c>
      <c r="I26" s="77">
        <f t="shared" si="5"/>
        <v>1.1005067567567568</v>
      </c>
      <c r="J26" s="77">
        <f t="shared" si="5"/>
        <v>1.2538940809968848</v>
      </c>
      <c r="K26" s="77">
        <f t="shared" si="5"/>
        <v>0.78058783321941216</v>
      </c>
      <c r="L26" s="77">
        <f t="shared" si="5"/>
        <v>1.2385938668661183</v>
      </c>
      <c r="M26" s="77">
        <f t="shared" si="5"/>
        <v>0.95329087048832273</v>
      </c>
      <c r="N26" s="77">
        <f t="shared" si="2"/>
        <v>1.0521962958388007</v>
      </c>
      <c r="O26" s="463"/>
    </row>
    <row r="27" spans="1:15" ht="19" customHeight="1" x14ac:dyDescent="0.4">
      <c r="A27" s="73" t="s">
        <v>96</v>
      </c>
      <c r="B27" s="78">
        <v>6171</v>
      </c>
      <c r="C27" s="78">
        <v>4671</v>
      </c>
      <c r="D27" s="78">
        <v>9604</v>
      </c>
      <c r="E27" s="78">
        <v>8302</v>
      </c>
      <c r="F27" s="78">
        <v>8656</v>
      </c>
      <c r="G27" s="78">
        <v>9635</v>
      </c>
      <c r="H27" s="78">
        <v>11710</v>
      </c>
      <c r="I27" s="78">
        <v>9005</v>
      </c>
      <c r="J27" s="78">
        <v>8641</v>
      </c>
      <c r="K27" s="78">
        <v>9010</v>
      </c>
      <c r="L27" s="78">
        <v>9324</v>
      </c>
      <c r="M27" s="78">
        <v>11470</v>
      </c>
      <c r="N27" s="78">
        <f t="shared" si="2"/>
        <v>8849.9166666666661</v>
      </c>
      <c r="O27" s="461">
        <f>SUM(B27:M27)</f>
        <v>106199</v>
      </c>
    </row>
    <row r="28" spans="1:15" ht="19" customHeight="1" x14ac:dyDescent="0.4">
      <c r="A28" s="76" t="s">
        <v>112</v>
      </c>
      <c r="B28" s="79">
        <f t="shared" ref="B28:M28" si="6">B27/B5</f>
        <v>0.66937845753335501</v>
      </c>
      <c r="C28" s="79">
        <f t="shared" si="6"/>
        <v>0.82120253164556967</v>
      </c>
      <c r="D28" s="79">
        <f t="shared" si="6"/>
        <v>1.4985177094710562</v>
      </c>
      <c r="E28" s="79">
        <f t="shared" si="6"/>
        <v>1.1506583506583508</v>
      </c>
      <c r="F28" s="79">
        <f t="shared" si="6"/>
        <v>1.3292383292383292</v>
      </c>
      <c r="G28" s="79">
        <f t="shared" si="6"/>
        <v>1.3522807017543859</v>
      </c>
      <c r="H28" s="79">
        <f t="shared" si="6"/>
        <v>1.8975854804731811</v>
      </c>
      <c r="I28" s="79">
        <f t="shared" si="6"/>
        <v>2.3660010509721494</v>
      </c>
      <c r="J28" s="79">
        <f t="shared" si="6"/>
        <v>1.7442470730722648</v>
      </c>
      <c r="K28" s="79">
        <f t="shared" si="6"/>
        <v>1.3277335691128795</v>
      </c>
      <c r="L28" s="79">
        <f t="shared" si="6"/>
        <v>1.4088848594741614</v>
      </c>
      <c r="M28" s="79">
        <f t="shared" si="6"/>
        <v>1.5491626148028093</v>
      </c>
      <c r="N28" s="77">
        <f t="shared" si="2"/>
        <v>1.4262408940173745</v>
      </c>
      <c r="O28" s="463"/>
    </row>
    <row r="29" spans="1:15" ht="19" customHeight="1" x14ac:dyDescent="0.4">
      <c r="A29" s="73" t="s">
        <v>97</v>
      </c>
      <c r="B29" s="72">
        <v>670</v>
      </c>
      <c r="C29" s="72">
        <v>796</v>
      </c>
      <c r="D29" s="72">
        <v>831</v>
      </c>
      <c r="E29" s="72">
        <v>734</v>
      </c>
      <c r="F29" s="75">
        <v>877</v>
      </c>
      <c r="G29" s="75">
        <v>931</v>
      </c>
      <c r="H29" s="72">
        <v>817</v>
      </c>
      <c r="I29" s="72">
        <v>877</v>
      </c>
      <c r="J29" s="72">
        <v>975</v>
      </c>
      <c r="K29" s="72">
        <v>765</v>
      </c>
      <c r="L29" s="72">
        <v>994</v>
      </c>
      <c r="M29" s="72">
        <v>963</v>
      </c>
      <c r="N29" s="78">
        <f t="shared" si="2"/>
        <v>852.5</v>
      </c>
      <c r="O29" s="461">
        <f>SUM(B29:M29)</f>
        <v>10230</v>
      </c>
    </row>
    <row r="30" spans="1:15" ht="19" customHeight="1" x14ac:dyDescent="0.4">
      <c r="A30" s="76" t="s">
        <v>112</v>
      </c>
      <c r="B30" s="77">
        <f t="shared" ref="B30:M30" si="7">B29/B6</f>
        <v>0.87353324641460239</v>
      </c>
      <c r="C30" s="77">
        <f t="shared" si="7"/>
        <v>2.3550295857988166</v>
      </c>
      <c r="D30" s="77">
        <f t="shared" si="7"/>
        <v>1.3826955074875209</v>
      </c>
      <c r="E30" s="77">
        <f t="shared" si="7"/>
        <v>1.5291666666666666</v>
      </c>
      <c r="F30" s="77">
        <f t="shared" si="7"/>
        <v>1.6768642447418738</v>
      </c>
      <c r="G30" s="77">
        <f t="shared" si="7"/>
        <v>1.62478184991274</v>
      </c>
      <c r="H30" s="77">
        <f t="shared" si="7"/>
        <v>1.1840579710144927</v>
      </c>
      <c r="I30" s="77">
        <f t="shared" si="7"/>
        <v>1.3987240829346093</v>
      </c>
      <c r="J30" s="77">
        <f t="shared" si="7"/>
        <v>1.7922794117647058</v>
      </c>
      <c r="K30" s="77">
        <f t="shared" si="7"/>
        <v>1.1733128834355828</v>
      </c>
      <c r="L30" s="77">
        <f t="shared" si="7"/>
        <v>1.3523809523809525</v>
      </c>
      <c r="M30" s="77">
        <f t="shared" si="7"/>
        <v>1.1933085501858736</v>
      </c>
      <c r="N30" s="77">
        <f t="shared" si="2"/>
        <v>1.4613445793948701</v>
      </c>
      <c r="O30" s="463"/>
    </row>
    <row r="31" spans="1:15" ht="19" customHeight="1" x14ac:dyDescent="0.4">
      <c r="A31" s="73" t="s">
        <v>98</v>
      </c>
      <c r="B31" s="78">
        <v>2238</v>
      </c>
      <c r="C31" s="78">
        <v>2831</v>
      </c>
      <c r="D31" s="78">
        <v>3697</v>
      </c>
      <c r="E31" s="78">
        <v>3273</v>
      </c>
      <c r="F31" s="78">
        <v>3579</v>
      </c>
      <c r="G31" s="78">
        <v>4099</v>
      </c>
      <c r="H31" s="78">
        <v>5499</v>
      </c>
      <c r="I31" s="78">
        <v>5051</v>
      </c>
      <c r="J31" s="78">
        <v>4846</v>
      </c>
      <c r="K31" s="78">
        <v>4478</v>
      </c>
      <c r="L31" s="78">
        <v>4797</v>
      </c>
      <c r="M31" s="78">
        <v>4674</v>
      </c>
      <c r="N31" s="78">
        <f t="shared" si="2"/>
        <v>4088.5</v>
      </c>
      <c r="O31" s="461">
        <f>SUM(B31:M31)</f>
        <v>49062</v>
      </c>
    </row>
    <row r="32" spans="1:15" ht="19" customHeight="1" x14ac:dyDescent="0.4">
      <c r="A32" s="76" t="s">
        <v>25</v>
      </c>
      <c r="B32" s="77">
        <f t="shared" ref="B32:M32" si="8">B31/B8</f>
        <v>1.2565974171813588</v>
      </c>
      <c r="C32" s="77">
        <f t="shared" si="8"/>
        <v>2.1446969696969695</v>
      </c>
      <c r="D32" s="77">
        <f t="shared" si="8"/>
        <v>3.0655058043117744</v>
      </c>
      <c r="E32" s="77">
        <f t="shared" si="8"/>
        <v>3.6046255506607929</v>
      </c>
      <c r="F32" s="77">
        <f t="shared" si="8"/>
        <v>2.471685082872928</v>
      </c>
      <c r="G32" s="77">
        <f t="shared" si="8"/>
        <v>2.568295739348371</v>
      </c>
      <c r="H32" s="77">
        <f t="shared" si="8"/>
        <v>3.3944444444444444</v>
      </c>
      <c r="I32" s="77">
        <f t="shared" si="8"/>
        <v>3.0101311084624554</v>
      </c>
      <c r="J32" s="77">
        <f t="shared" si="8"/>
        <v>2.2602611940298507</v>
      </c>
      <c r="K32" s="77">
        <f t="shared" si="8"/>
        <v>2.518560179977503</v>
      </c>
      <c r="L32" s="77">
        <f t="shared" si="8"/>
        <v>2.3118072289156628</v>
      </c>
      <c r="M32" s="77">
        <f t="shared" si="8"/>
        <v>2.5766262403528115</v>
      </c>
      <c r="N32" s="77">
        <f t="shared" si="2"/>
        <v>2.5986030800212436</v>
      </c>
      <c r="O32" s="463"/>
    </row>
    <row r="33" spans="1:15" ht="19" customHeight="1" x14ac:dyDescent="0.4">
      <c r="A33" s="73" t="s">
        <v>99</v>
      </c>
      <c r="B33" s="78">
        <v>1835</v>
      </c>
      <c r="C33" s="78">
        <v>1257</v>
      </c>
      <c r="D33" s="78">
        <v>1564</v>
      </c>
      <c r="E33" s="78">
        <v>1268</v>
      </c>
      <c r="F33" s="75">
        <v>1490</v>
      </c>
      <c r="G33" s="75">
        <v>1635</v>
      </c>
      <c r="H33" s="75">
        <v>1795</v>
      </c>
      <c r="I33" s="75">
        <v>2126</v>
      </c>
      <c r="J33" s="75">
        <v>1810</v>
      </c>
      <c r="K33" s="75">
        <v>1753</v>
      </c>
      <c r="L33" s="75">
        <v>2185</v>
      </c>
      <c r="M33" s="75">
        <v>2034</v>
      </c>
      <c r="N33" s="78">
        <f t="shared" si="2"/>
        <v>1729.3333333333333</v>
      </c>
      <c r="O33" s="461">
        <f>SUM(B33:M33)</f>
        <v>20752</v>
      </c>
    </row>
    <row r="34" spans="1:15" ht="19" customHeight="1" x14ac:dyDescent="0.4">
      <c r="A34" s="76" t="s">
        <v>112</v>
      </c>
      <c r="B34" s="79">
        <f t="shared" ref="B34:M34" si="9">B33/B8</f>
        <v>1.030320044918585</v>
      </c>
      <c r="C34" s="79">
        <f t="shared" si="9"/>
        <v>0.95227272727272727</v>
      </c>
      <c r="D34" s="79">
        <f t="shared" si="9"/>
        <v>1.2968490878938641</v>
      </c>
      <c r="E34" s="79">
        <f t="shared" si="9"/>
        <v>1.3964757709251101</v>
      </c>
      <c r="F34" s="79">
        <f t="shared" si="9"/>
        <v>1.0290055248618784</v>
      </c>
      <c r="G34" s="79">
        <f t="shared" si="9"/>
        <v>1.0244360902255638</v>
      </c>
      <c r="H34" s="79">
        <f t="shared" si="9"/>
        <v>1.1080246913580247</v>
      </c>
      <c r="I34" s="79">
        <f t="shared" si="9"/>
        <v>1.266984505363528</v>
      </c>
      <c r="J34" s="79">
        <f t="shared" si="9"/>
        <v>0.84421641791044777</v>
      </c>
      <c r="K34" s="79">
        <f t="shared" si="9"/>
        <v>0.98593925759280088</v>
      </c>
      <c r="L34" s="79">
        <f t="shared" si="9"/>
        <v>1.0530120481927712</v>
      </c>
      <c r="M34" s="79">
        <f t="shared" si="9"/>
        <v>1.1212789415656008</v>
      </c>
      <c r="N34" s="77">
        <f t="shared" si="2"/>
        <v>1.0924012590067418</v>
      </c>
      <c r="O34" s="463"/>
    </row>
    <row r="35" spans="1:15" ht="19" customHeight="1" x14ac:dyDescent="0.4">
      <c r="A35" s="80" t="s">
        <v>100</v>
      </c>
      <c r="B35" s="81">
        <f>B21+B23+B25+B27+B29+B33+B31</f>
        <v>314671</v>
      </c>
      <c r="C35" s="81">
        <f t="shared" ref="C35:M35" si="10">C21+C23+C25+C27+C29+C33</f>
        <v>335837</v>
      </c>
      <c r="D35" s="81">
        <f t="shared" si="10"/>
        <v>357226</v>
      </c>
      <c r="E35" s="81">
        <f t="shared" si="10"/>
        <v>309513</v>
      </c>
      <c r="F35" s="81">
        <f t="shared" si="10"/>
        <v>324606</v>
      </c>
      <c r="G35" s="81">
        <f t="shared" si="10"/>
        <v>339779</v>
      </c>
      <c r="H35" s="81">
        <f t="shared" si="10"/>
        <v>397168</v>
      </c>
      <c r="I35" s="81">
        <f t="shared" si="10"/>
        <v>368289</v>
      </c>
      <c r="J35" s="81">
        <f t="shared" si="10"/>
        <v>373674</v>
      </c>
      <c r="K35" s="81">
        <f t="shared" si="10"/>
        <v>343322</v>
      </c>
      <c r="L35" s="81">
        <f t="shared" si="10"/>
        <v>363723</v>
      </c>
      <c r="M35" s="81">
        <f t="shared" si="10"/>
        <v>406714</v>
      </c>
      <c r="N35" s="82">
        <f>AVERAGEA(B35:M35)</f>
        <v>352876.83333333331</v>
      </c>
      <c r="O35" s="460">
        <f>SUM(B35:M35)</f>
        <v>4234522</v>
      </c>
    </row>
    <row r="36" spans="1:15" ht="19" customHeight="1" x14ac:dyDescent="0.4">
      <c r="A36" s="83" t="s">
        <v>112</v>
      </c>
      <c r="B36" s="84">
        <f t="shared" ref="B36:M36" si="11">B35/B9</f>
        <v>0.73954274325842428</v>
      </c>
      <c r="C36" s="84">
        <f t="shared" si="11"/>
        <v>1.3562979326610476</v>
      </c>
      <c r="D36" s="84">
        <f t="shared" si="11"/>
        <v>1.077234374905764</v>
      </c>
      <c r="E36" s="84">
        <f t="shared" si="11"/>
        <v>0.98039606971130999</v>
      </c>
      <c r="F36" s="84">
        <f t="shared" si="11"/>
        <v>0.94317518152735769</v>
      </c>
      <c r="G36" s="84">
        <f t="shared" si="11"/>
        <v>1.0369801807960641</v>
      </c>
      <c r="H36" s="84">
        <f t="shared" si="11"/>
        <v>1.0724125826920481</v>
      </c>
      <c r="I36" s="84">
        <f t="shared" si="11"/>
        <v>1.0791814034172658</v>
      </c>
      <c r="J36" s="84">
        <f t="shared" si="11"/>
        <v>1.1963195487157159</v>
      </c>
      <c r="K36" s="84">
        <f t="shared" si="11"/>
        <v>0.97581509304182978</v>
      </c>
      <c r="L36" s="84">
        <f t="shared" si="11"/>
        <v>1.0494754397303909</v>
      </c>
      <c r="M36" s="84">
        <f t="shared" si="11"/>
        <v>1.0475111199252061</v>
      </c>
      <c r="N36" s="91">
        <f>AVERAGE(B36:M36)</f>
        <v>1.0461951391985351</v>
      </c>
      <c r="O36" s="465"/>
    </row>
    <row r="37" spans="1:15" ht="19" customHeight="1" x14ac:dyDescent="0.3">
      <c r="A37" s="85" t="s">
        <v>113</v>
      </c>
      <c r="B37" s="86"/>
      <c r="C37" s="87"/>
      <c r="D37" s="87"/>
      <c r="E37" s="87"/>
      <c r="F37" s="88"/>
      <c r="G37" s="88"/>
      <c r="H37" s="87"/>
      <c r="I37" s="87"/>
      <c r="J37" s="87"/>
      <c r="K37" s="87"/>
      <c r="L37" s="87"/>
      <c r="M37" s="87"/>
      <c r="N37" s="69"/>
      <c r="O37" s="69"/>
    </row>
    <row r="38" spans="1:15" ht="19" customHeight="1" x14ac:dyDescent="0.4">
      <c r="A38" s="73" t="s">
        <v>101</v>
      </c>
      <c r="B38" s="78">
        <v>2064225</v>
      </c>
      <c r="C38" s="78">
        <v>1919724</v>
      </c>
      <c r="D38" s="78">
        <v>2387421</v>
      </c>
      <c r="E38" s="78">
        <v>1925057</v>
      </c>
      <c r="F38" s="78">
        <v>1938618</v>
      </c>
      <c r="G38" s="78">
        <v>1975146</v>
      </c>
      <c r="H38" s="78">
        <v>2125321</v>
      </c>
      <c r="I38" s="78">
        <v>2075304</v>
      </c>
      <c r="J38" s="78">
        <v>2188146</v>
      </c>
      <c r="K38" s="78">
        <v>2006021</v>
      </c>
      <c r="L38" s="78">
        <v>2079620</v>
      </c>
      <c r="M38" s="78">
        <v>2473506</v>
      </c>
      <c r="N38" s="78">
        <f>AVERAGE(B38:M38)</f>
        <v>2096509.0833333333</v>
      </c>
      <c r="O38" s="462">
        <f>SUM(B38:M38)</f>
        <v>25158109</v>
      </c>
    </row>
    <row r="39" spans="1:15" ht="19" customHeight="1" x14ac:dyDescent="0.4">
      <c r="A39" s="76" t="s">
        <v>25</v>
      </c>
      <c r="B39" s="77">
        <f t="shared" ref="B39:M39" si="12">B38/B10</f>
        <v>0.81377182338345522</v>
      </c>
      <c r="C39" s="77">
        <f t="shared" si="12"/>
        <v>1.3282695003466451</v>
      </c>
      <c r="D39" s="77">
        <f t="shared" si="12"/>
        <v>1.2460092460859662</v>
      </c>
      <c r="E39" s="77">
        <f t="shared" si="12"/>
        <v>1.0137657412093315</v>
      </c>
      <c r="F39" s="77">
        <f t="shared" si="12"/>
        <v>0.94096341799628003</v>
      </c>
      <c r="G39" s="77">
        <f t="shared" si="12"/>
        <v>0.9753239070513422</v>
      </c>
      <c r="H39" s="77">
        <f t="shared" si="12"/>
        <v>0.96116442067046126</v>
      </c>
      <c r="I39" s="77">
        <f t="shared" si="12"/>
        <v>1.0575972260867703</v>
      </c>
      <c r="J39" s="77">
        <f t="shared" si="12"/>
        <v>1.1643261087497419</v>
      </c>
      <c r="K39" s="77">
        <f t="shared" si="12"/>
        <v>0.96110442486695125</v>
      </c>
      <c r="L39" s="77">
        <f t="shared" si="12"/>
        <v>1.0089429052288803</v>
      </c>
      <c r="M39" s="77">
        <f t="shared" si="12"/>
        <v>1.0693934584493985</v>
      </c>
      <c r="N39" s="77">
        <f>AVERAGE(B39:M39)</f>
        <v>1.045052681677102</v>
      </c>
      <c r="O39" s="464"/>
    </row>
    <row r="40" spans="1:15" ht="19" customHeight="1" x14ac:dyDescent="0.4">
      <c r="A40" s="73" t="s">
        <v>102</v>
      </c>
      <c r="B40" s="78">
        <v>51983</v>
      </c>
      <c r="C40" s="78">
        <v>51792</v>
      </c>
      <c r="D40" s="78">
        <v>82775</v>
      </c>
      <c r="E40" s="78">
        <v>87977</v>
      </c>
      <c r="F40" s="78">
        <v>99436</v>
      </c>
      <c r="G40" s="78">
        <v>140113</v>
      </c>
      <c r="H40" s="78">
        <v>150989</v>
      </c>
      <c r="I40" s="78">
        <v>94844</v>
      </c>
      <c r="J40" s="78">
        <v>462884</v>
      </c>
      <c r="K40" s="78">
        <v>115534</v>
      </c>
      <c r="L40" s="78">
        <v>139413</v>
      </c>
      <c r="M40" s="78">
        <v>165648</v>
      </c>
      <c r="N40" s="78">
        <f>AVERAGE(B40:M40)</f>
        <v>136949</v>
      </c>
      <c r="O40" s="462">
        <f>SUM(B40:M40)</f>
        <v>1643388</v>
      </c>
    </row>
    <row r="41" spans="1:15" ht="19" customHeight="1" x14ac:dyDescent="0.4">
      <c r="A41" s="76" t="s">
        <v>25</v>
      </c>
      <c r="B41" s="79">
        <f t="shared" ref="B41:M41" si="13">B40/B11</f>
        <v>0.35561682070366746</v>
      </c>
      <c r="C41" s="79">
        <f t="shared" si="13"/>
        <v>0.712926893058213</v>
      </c>
      <c r="D41" s="79">
        <f t="shared" si="13"/>
        <v>0.68949862974902332</v>
      </c>
      <c r="E41" s="79">
        <f t="shared" si="13"/>
        <v>0.81490366802519454</v>
      </c>
      <c r="F41" s="79">
        <f t="shared" si="13"/>
        <v>0.77293078788632552</v>
      </c>
      <c r="G41" s="79">
        <f t="shared" si="13"/>
        <v>0.91877377049180331</v>
      </c>
      <c r="H41" s="79">
        <f t="shared" si="13"/>
        <v>1.0339162946122873</v>
      </c>
      <c r="I41" s="79">
        <f t="shared" si="13"/>
        <v>1.1728393535063746</v>
      </c>
      <c r="J41" s="79">
        <f t="shared" si="13"/>
        <v>4.176824096298569</v>
      </c>
      <c r="K41" s="79">
        <f t="shared" si="13"/>
        <v>1.3526670725424998</v>
      </c>
      <c r="L41" s="79">
        <f t="shared" si="13"/>
        <v>0.99404626090924653</v>
      </c>
      <c r="M41" s="79">
        <f t="shared" si="13"/>
        <v>1.2494851892919372</v>
      </c>
      <c r="N41" s="77">
        <f>AVERAGE(B41:M41)</f>
        <v>1.1870357364229285</v>
      </c>
      <c r="O41" s="464"/>
    </row>
    <row r="42" spans="1:15" ht="19" customHeight="1" x14ac:dyDescent="0.4">
      <c r="A42" s="73" t="s">
        <v>103</v>
      </c>
      <c r="B42" s="89"/>
      <c r="C42" s="78">
        <v>5849</v>
      </c>
      <c r="D42" s="78">
        <v>6241</v>
      </c>
      <c r="E42" s="74">
        <v>5366</v>
      </c>
      <c r="F42" s="74">
        <v>4951</v>
      </c>
      <c r="G42" s="78">
        <v>5264</v>
      </c>
      <c r="H42" s="78">
        <v>5493</v>
      </c>
      <c r="I42" s="78">
        <v>4870</v>
      </c>
      <c r="J42" s="78">
        <v>5489</v>
      </c>
      <c r="K42" s="78">
        <v>4626</v>
      </c>
      <c r="L42" s="78">
        <v>6284</v>
      </c>
      <c r="M42" s="78">
        <v>5618</v>
      </c>
      <c r="N42" s="78">
        <f>AVERAGE(B42:M42)</f>
        <v>5459.181818181818</v>
      </c>
      <c r="O42" s="461">
        <f>SUM(B42:M42)</f>
        <v>60051</v>
      </c>
    </row>
    <row r="43" spans="1:15" ht="19" customHeight="1" x14ac:dyDescent="0.4">
      <c r="A43" s="76" t="s">
        <v>25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463"/>
    </row>
    <row r="44" spans="1:15" ht="19" customHeight="1" x14ac:dyDescent="0.4">
      <c r="A44" s="73" t="s">
        <v>104</v>
      </c>
      <c r="B44" s="78">
        <v>60954</v>
      </c>
      <c r="C44" s="78">
        <v>42641</v>
      </c>
      <c r="D44" s="78">
        <v>108572</v>
      </c>
      <c r="E44" s="78">
        <v>103024</v>
      </c>
      <c r="F44" s="78">
        <v>105689</v>
      </c>
      <c r="G44" s="78">
        <v>107194</v>
      </c>
      <c r="H44" s="78">
        <v>100823</v>
      </c>
      <c r="I44" s="78">
        <v>109050</v>
      </c>
      <c r="J44" s="78">
        <v>84729</v>
      </c>
      <c r="K44" s="78">
        <v>111062</v>
      </c>
      <c r="L44" s="78">
        <v>131519</v>
      </c>
      <c r="M44" s="78">
        <v>134649</v>
      </c>
      <c r="N44" s="78">
        <f t="shared" ref="N44:N51" si="14">AVERAGE(B44:M44)</f>
        <v>99992.166666666672</v>
      </c>
      <c r="O44" s="461">
        <f>SUM(B44:M44)</f>
        <v>1199906</v>
      </c>
    </row>
    <row r="45" spans="1:15" ht="19" customHeight="1" x14ac:dyDescent="0.4">
      <c r="A45" s="76" t="s">
        <v>25</v>
      </c>
      <c r="B45" s="79">
        <f t="shared" ref="B45:M45" si="15">B44/B13</f>
        <v>0.75126640783878718</v>
      </c>
      <c r="C45" s="79">
        <f t="shared" si="15"/>
        <v>1.0165931577065204</v>
      </c>
      <c r="D45" s="79">
        <f t="shared" si="15"/>
        <v>2.189834610730133</v>
      </c>
      <c r="E45" s="79">
        <f t="shared" si="15"/>
        <v>1.3501605399384051</v>
      </c>
      <c r="F45" s="79">
        <f t="shared" si="15"/>
        <v>1.6024653546411134</v>
      </c>
      <c r="G45" s="79">
        <f t="shared" si="15"/>
        <v>1.5358846875761178</v>
      </c>
      <c r="H45" s="79">
        <f t="shared" si="15"/>
        <v>1.6540834071594974</v>
      </c>
      <c r="I45" s="79">
        <f t="shared" si="15"/>
        <v>4.1036351320839914</v>
      </c>
      <c r="J45" s="79">
        <f t="shared" si="15"/>
        <v>1.9162953748727807</v>
      </c>
      <c r="K45" s="79">
        <f t="shared" si="15"/>
        <v>1.8491841491841492</v>
      </c>
      <c r="L45" s="79">
        <f t="shared" si="15"/>
        <v>2.2350831874649493</v>
      </c>
      <c r="M45" s="79">
        <f t="shared" si="15"/>
        <v>1.9409424415839016</v>
      </c>
      <c r="N45" s="77">
        <f t="shared" si="14"/>
        <v>1.8454523708983619</v>
      </c>
      <c r="O45" s="463"/>
    </row>
    <row r="46" spans="1:15" ht="19" customHeight="1" x14ac:dyDescent="0.4">
      <c r="A46" s="73" t="s">
        <v>105</v>
      </c>
      <c r="B46" s="78">
        <v>6728</v>
      </c>
      <c r="C46" s="78">
        <v>3297</v>
      </c>
      <c r="D46" s="78">
        <v>8381</v>
      </c>
      <c r="E46" s="78">
        <v>7920</v>
      </c>
      <c r="F46" s="78">
        <v>9613</v>
      </c>
      <c r="G46" s="78">
        <v>10384</v>
      </c>
      <c r="H46" s="78">
        <v>9387</v>
      </c>
      <c r="I46" s="78">
        <v>9667</v>
      </c>
      <c r="J46" s="78">
        <v>11591</v>
      </c>
      <c r="K46" s="78">
        <v>8846</v>
      </c>
      <c r="L46" s="78">
        <v>11355</v>
      </c>
      <c r="M46" s="78">
        <v>11346</v>
      </c>
      <c r="N46" s="78">
        <f t="shared" si="14"/>
        <v>9042.9166666666661</v>
      </c>
      <c r="O46" s="461">
        <f>SUM(B46:M46)</f>
        <v>108515</v>
      </c>
    </row>
    <row r="47" spans="1:15" ht="19" customHeight="1" x14ac:dyDescent="0.4">
      <c r="A47" s="76" t="s">
        <v>25</v>
      </c>
      <c r="B47" s="79">
        <f t="shared" ref="B47:M47" si="16">B46/B14</f>
        <v>0.81600970285021224</v>
      </c>
      <c r="C47" s="79">
        <f t="shared" si="16"/>
        <v>0.78276353276353272</v>
      </c>
      <c r="D47" s="79">
        <f t="shared" si="16"/>
        <v>0.8810049406075896</v>
      </c>
      <c r="E47" s="79">
        <f t="shared" si="16"/>
        <v>1.5523324186593492</v>
      </c>
      <c r="F47" s="79">
        <f t="shared" si="16"/>
        <v>1.3261139467512761</v>
      </c>
      <c r="G47" s="79">
        <f t="shared" si="16"/>
        <v>1.651924912503977</v>
      </c>
      <c r="H47" s="79">
        <f t="shared" si="16"/>
        <v>1.2764481914604298</v>
      </c>
      <c r="I47" s="79">
        <f t="shared" si="16"/>
        <v>1.3512720156555773</v>
      </c>
      <c r="J47" s="79">
        <f t="shared" si="16"/>
        <v>2.0595238095238093</v>
      </c>
      <c r="K47" s="79">
        <f t="shared" si="16"/>
        <v>1.1605877722382576</v>
      </c>
      <c r="L47" s="79">
        <f t="shared" si="16"/>
        <v>1.5898907868944274</v>
      </c>
      <c r="M47" s="79">
        <f t="shared" si="16"/>
        <v>1.495847066578774</v>
      </c>
      <c r="N47" s="77">
        <f t="shared" si="14"/>
        <v>1.3286432580406011</v>
      </c>
      <c r="O47" s="463"/>
    </row>
    <row r="48" spans="1:15" ht="19" customHeight="1" x14ac:dyDescent="0.4">
      <c r="A48" s="73" t="s">
        <v>106</v>
      </c>
      <c r="B48" s="78">
        <v>3968</v>
      </c>
      <c r="C48" s="78">
        <v>5081</v>
      </c>
      <c r="D48" s="78">
        <v>5827</v>
      </c>
      <c r="E48" s="78">
        <v>5149</v>
      </c>
      <c r="F48" s="78">
        <v>5818</v>
      </c>
      <c r="G48" s="78">
        <v>5944</v>
      </c>
      <c r="H48" s="78">
        <v>8090</v>
      </c>
      <c r="I48" s="78">
        <v>7710</v>
      </c>
      <c r="J48" s="78">
        <v>6682</v>
      </c>
      <c r="K48" s="78">
        <v>6678</v>
      </c>
      <c r="L48" s="78">
        <v>6803</v>
      </c>
      <c r="M48" s="78">
        <v>7010</v>
      </c>
      <c r="N48" s="78">
        <f t="shared" si="14"/>
        <v>6230</v>
      </c>
      <c r="O48" s="461">
        <f>SUM(B48:M48)</f>
        <v>74760</v>
      </c>
    </row>
    <row r="49" spans="1:15" ht="19" customHeight="1" x14ac:dyDescent="0.4">
      <c r="A49" s="76" t="s">
        <v>25</v>
      </c>
      <c r="B49" s="79">
        <f t="shared" ref="B49:M49" si="17">B48/B14</f>
        <v>0.48126137052759249</v>
      </c>
      <c r="C49" s="79">
        <f t="shared" si="17"/>
        <v>1.2063152896486229</v>
      </c>
      <c r="D49" s="79">
        <f t="shared" si="17"/>
        <v>0.61253022180174499</v>
      </c>
      <c r="E49" s="79">
        <f t="shared" si="17"/>
        <v>1.0092120736965895</v>
      </c>
      <c r="F49" s="79">
        <f t="shared" si="17"/>
        <v>0.80259346116705754</v>
      </c>
      <c r="G49" s="79">
        <f t="shared" si="17"/>
        <v>0.94559338211899457</v>
      </c>
      <c r="H49" s="79">
        <f t="shared" si="17"/>
        <v>1.1000815882512918</v>
      </c>
      <c r="I49" s="79">
        <f t="shared" si="17"/>
        <v>1.0777187587363712</v>
      </c>
      <c r="J49" s="79">
        <f t="shared" si="17"/>
        <v>1.1872778962331201</v>
      </c>
      <c r="K49" s="79">
        <f t="shared" si="17"/>
        <v>0.87614799265284704</v>
      </c>
      <c r="L49" s="79">
        <f t="shared" si="17"/>
        <v>0.95253430411649398</v>
      </c>
      <c r="M49" s="79">
        <f t="shared" si="17"/>
        <v>0.92419248516809493</v>
      </c>
      <c r="N49" s="77">
        <f t="shared" si="14"/>
        <v>0.93128823534323513</v>
      </c>
      <c r="O49" s="463"/>
    </row>
    <row r="50" spans="1:15" ht="19" customHeight="1" x14ac:dyDescent="0.4">
      <c r="A50" s="73" t="s">
        <v>107</v>
      </c>
      <c r="B50" s="78">
        <v>10718</v>
      </c>
      <c r="C50" s="78">
        <v>7142</v>
      </c>
      <c r="D50" s="78">
        <v>7840</v>
      </c>
      <c r="E50" s="78">
        <v>6626</v>
      </c>
      <c r="F50" s="78">
        <v>7614</v>
      </c>
      <c r="G50" s="78">
        <v>8823</v>
      </c>
      <c r="H50" s="78">
        <v>9387</v>
      </c>
      <c r="I50" s="78">
        <v>11500</v>
      </c>
      <c r="J50" s="78">
        <v>9007</v>
      </c>
      <c r="K50" s="78">
        <v>9150</v>
      </c>
      <c r="L50" s="78">
        <v>11360</v>
      </c>
      <c r="M50" s="78">
        <v>10560</v>
      </c>
      <c r="N50" s="78">
        <f t="shared" si="14"/>
        <v>9143.9166666666661</v>
      </c>
      <c r="O50" s="461">
        <f>SUM(B50:M50)</f>
        <v>109727</v>
      </c>
    </row>
    <row r="51" spans="1:15" ht="19" customHeight="1" x14ac:dyDescent="0.4">
      <c r="A51" s="76" t="s">
        <v>25</v>
      </c>
      <c r="B51" s="79">
        <f t="shared" ref="B51:M51" si="18">B50/B16</f>
        <v>1.0524351924587589</v>
      </c>
      <c r="C51" s="79">
        <f t="shared" si="18"/>
        <v>0.95660326814894192</v>
      </c>
      <c r="D51" s="79">
        <f t="shared" si="18"/>
        <v>1.2535976974736169</v>
      </c>
      <c r="E51" s="79">
        <f t="shared" si="18"/>
        <v>1.511405109489051</v>
      </c>
      <c r="F51" s="79">
        <f t="shared" si="18"/>
        <v>1.1169135983570486</v>
      </c>
      <c r="G51" s="79">
        <f t="shared" si="18"/>
        <v>1.1384516129032258</v>
      </c>
      <c r="H51" s="79">
        <f t="shared" si="18"/>
        <v>1.1797159733567928</v>
      </c>
      <c r="I51" s="79">
        <f t="shared" si="18"/>
        <v>1.4086232239098482</v>
      </c>
      <c r="J51" s="79">
        <f t="shared" si="18"/>
        <v>0.82800147085861375</v>
      </c>
      <c r="K51" s="79">
        <f t="shared" si="18"/>
        <v>0.98461207360378777</v>
      </c>
      <c r="L51" s="79">
        <f t="shared" si="18"/>
        <v>1.0133809099018734</v>
      </c>
      <c r="M51" s="79">
        <f t="shared" si="18"/>
        <v>1.0933940774487472</v>
      </c>
      <c r="N51" s="77">
        <f t="shared" si="14"/>
        <v>1.1280945173258587</v>
      </c>
      <c r="O51" s="463"/>
    </row>
    <row r="52" spans="1:15" ht="19" customHeight="1" x14ac:dyDescent="0.4">
      <c r="A52" s="80" t="s">
        <v>108</v>
      </c>
      <c r="B52" s="82">
        <f t="shared" ref="B52:N52" si="19">B38+B40+B42+B44+B46+B50+B48</f>
        <v>2198576</v>
      </c>
      <c r="C52" s="82">
        <f t="shared" si="19"/>
        <v>2035526</v>
      </c>
      <c r="D52" s="82">
        <f t="shared" si="19"/>
        <v>2607057</v>
      </c>
      <c r="E52" s="82">
        <f t="shared" si="19"/>
        <v>2141119</v>
      </c>
      <c r="F52" s="82">
        <f t="shared" si="19"/>
        <v>2171739</v>
      </c>
      <c r="G52" s="82">
        <f t="shared" si="19"/>
        <v>2252868</v>
      </c>
      <c r="H52" s="82">
        <f t="shared" si="19"/>
        <v>2409490</v>
      </c>
      <c r="I52" s="82">
        <f t="shared" si="19"/>
        <v>2312945</v>
      </c>
      <c r="J52" s="82">
        <f t="shared" si="19"/>
        <v>2768528</v>
      </c>
      <c r="K52" s="82">
        <f t="shared" si="19"/>
        <v>2261917</v>
      </c>
      <c r="L52" s="82">
        <f t="shared" si="19"/>
        <v>2386354</v>
      </c>
      <c r="M52" s="82">
        <f t="shared" si="19"/>
        <v>2808337</v>
      </c>
      <c r="N52" s="82">
        <f t="shared" si="19"/>
        <v>2363326.2651515142</v>
      </c>
      <c r="O52" s="460">
        <f>SUM(B52:M52)</f>
        <v>28354456</v>
      </c>
    </row>
    <row r="53" spans="1:15" ht="19" customHeight="1" x14ac:dyDescent="0.4">
      <c r="A53" s="83" t="s">
        <v>112</v>
      </c>
      <c r="B53" s="84">
        <f t="shared" ref="B53:M53" si="20">B52/B17</f>
        <v>0.78927300722185867</v>
      </c>
      <c r="C53" s="84">
        <f t="shared" si="20"/>
        <v>1.2936697742732377</v>
      </c>
      <c r="D53" s="84">
        <f t="shared" si="20"/>
        <v>1.2390325206845469</v>
      </c>
      <c r="E53" s="84">
        <f t="shared" si="20"/>
        <v>1.0221309362409059</v>
      </c>
      <c r="F53" s="84">
        <f t="shared" si="20"/>
        <v>0.95549296295171937</v>
      </c>
      <c r="G53" s="84">
        <f t="shared" si="20"/>
        <v>0.99498503460127385</v>
      </c>
      <c r="H53" s="84">
        <f t="shared" si="20"/>
        <v>0.98851520666392068</v>
      </c>
      <c r="I53" s="84">
        <f t="shared" si="20"/>
        <v>1.1070197152790542</v>
      </c>
      <c r="J53" s="84">
        <f t="shared" si="20"/>
        <v>1.3476733216440426</v>
      </c>
      <c r="K53" s="84">
        <f t="shared" si="20"/>
        <v>1.0035386906755768</v>
      </c>
      <c r="L53" s="84">
        <f t="shared" si="20"/>
        <v>1.0454254526401838</v>
      </c>
      <c r="M53" s="84">
        <f t="shared" si="20"/>
        <v>1.1073818569685117</v>
      </c>
      <c r="N53" s="101">
        <f>AVERAGE(B53:M53)</f>
        <v>1.0745115399870695</v>
      </c>
      <c r="O53" s="465"/>
    </row>
    <row r="56" spans="1:15" ht="19" customHeight="1" x14ac:dyDescent="0.4">
      <c r="A56" s="69" t="s">
        <v>109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9"/>
      <c r="O56" s="69"/>
    </row>
    <row r="57" spans="1:15" ht="19" customHeight="1" x14ac:dyDescent="0.4">
      <c r="A57" s="71" t="s">
        <v>114</v>
      </c>
      <c r="B57" s="72">
        <v>1</v>
      </c>
      <c r="C57" s="72">
        <v>2</v>
      </c>
      <c r="D57" s="72">
        <v>3</v>
      </c>
      <c r="E57" s="72">
        <v>4</v>
      </c>
      <c r="F57" s="72">
        <v>5</v>
      </c>
      <c r="G57" s="72">
        <v>6</v>
      </c>
      <c r="H57" s="72">
        <v>7</v>
      </c>
      <c r="I57" s="72">
        <v>8</v>
      </c>
      <c r="J57" s="72">
        <v>9</v>
      </c>
      <c r="K57" s="72">
        <v>10</v>
      </c>
      <c r="L57" s="72">
        <v>11</v>
      </c>
      <c r="M57" s="72">
        <v>12</v>
      </c>
      <c r="N57" s="72" t="s">
        <v>111</v>
      </c>
      <c r="O57" s="72" t="s">
        <v>67</v>
      </c>
    </row>
    <row r="58" spans="1:15" ht="19" customHeight="1" x14ac:dyDescent="0.4">
      <c r="A58" s="73" t="s">
        <v>93</v>
      </c>
      <c r="B58" s="74">
        <v>396647</v>
      </c>
      <c r="C58" s="74">
        <v>277188</v>
      </c>
      <c r="D58" s="74">
        <v>366699</v>
      </c>
      <c r="E58" s="74">
        <v>318536</v>
      </c>
      <c r="F58" s="75">
        <v>296422</v>
      </c>
      <c r="G58" s="75">
        <v>260569</v>
      </c>
      <c r="H58" s="75">
        <v>311976</v>
      </c>
      <c r="I58" s="75">
        <v>328797</v>
      </c>
      <c r="J58" s="75">
        <v>313574</v>
      </c>
      <c r="K58" s="75">
        <v>324024</v>
      </c>
      <c r="L58" s="75">
        <v>352341</v>
      </c>
      <c r="M58" s="75">
        <v>366261</v>
      </c>
      <c r="N58" s="74">
        <f t="shared" ref="N58:N71" si="21">AVERAGE(B58:M58)</f>
        <v>326086.16666666669</v>
      </c>
      <c r="O58" s="462">
        <f>SUM(B58:M58)</f>
        <v>3913034</v>
      </c>
    </row>
    <row r="59" spans="1:15" ht="19" customHeight="1" x14ac:dyDescent="0.4">
      <c r="A59" s="76" t="s">
        <v>112</v>
      </c>
      <c r="B59" s="77">
        <f t="shared" ref="B59:M59" si="22">B58/B21</f>
        <v>1.3425454570070809</v>
      </c>
      <c r="C59" s="77">
        <f t="shared" si="22"/>
        <v>0.86632079009876239</v>
      </c>
      <c r="D59" s="77">
        <f t="shared" si="22"/>
        <v>1.0968109543806754</v>
      </c>
      <c r="E59" s="77">
        <f t="shared" si="22"/>
        <v>1.0967473152525333</v>
      </c>
      <c r="F59" s="77">
        <f t="shared" si="22"/>
        <v>0.98318037234695332</v>
      </c>
      <c r="G59" s="77">
        <f t="shared" si="22"/>
        <v>0.84095478765463172</v>
      </c>
      <c r="H59" s="77">
        <f t="shared" si="22"/>
        <v>0.85980515095977617</v>
      </c>
      <c r="I59" s="77">
        <f t="shared" si="22"/>
        <v>0.95830127308337998</v>
      </c>
      <c r="J59" s="77">
        <f t="shared" si="22"/>
        <v>0.89580286132187581</v>
      </c>
      <c r="K59" s="77">
        <f t="shared" si="22"/>
        <v>1.0060295204326848</v>
      </c>
      <c r="L59" s="77">
        <f t="shared" si="22"/>
        <v>1.0557255133441001</v>
      </c>
      <c r="M59" s="77">
        <f t="shared" si="22"/>
        <v>0.98325892557523953</v>
      </c>
      <c r="N59" s="77">
        <f t="shared" si="21"/>
        <v>0.99879024345480782</v>
      </c>
      <c r="O59" s="372"/>
    </row>
    <row r="60" spans="1:15" ht="19" customHeight="1" x14ac:dyDescent="0.4">
      <c r="A60" s="73" t="s">
        <v>94</v>
      </c>
      <c r="B60" s="78">
        <v>17078</v>
      </c>
      <c r="C60" s="78">
        <v>7050</v>
      </c>
      <c r="D60" s="78">
        <v>8604</v>
      </c>
      <c r="E60" s="78">
        <v>7283</v>
      </c>
      <c r="F60" s="78">
        <v>12965</v>
      </c>
      <c r="G60" s="78">
        <v>12881</v>
      </c>
      <c r="H60" s="78">
        <v>17347</v>
      </c>
      <c r="I60" s="78">
        <v>14030</v>
      </c>
      <c r="J60" s="78">
        <v>18493</v>
      </c>
      <c r="K60" s="78">
        <v>7114</v>
      </c>
      <c r="L60" s="78">
        <v>6824</v>
      </c>
      <c r="M60" s="78">
        <v>7360</v>
      </c>
      <c r="N60" s="74">
        <f t="shared" si="21"/>
        <v>11419.083333333334</v>
      </c>
      <c r="O60" s="462">
        <f>SUM(B60:M60)</f>
        <v>137029</v>
      </c>
    </row>
    <row r="61" spans="1:15" ht="19" customHeight="1" x14ac:dyDescent="0.4">
      <c r="A61" s="76" t="s">
        <v>112</v>
      </c>
      <c r="B61" s="77">
        <f t="shared" ref="B61:M61" si="23">B60/B23</f>
        <v>2.4006184987348891</v>
      </c>
      <c r="C61" s="77">
        <f t="shared" si="23"/>
        <v>0.91534666320436253</v>
      </c>
      <c r="D61" s="77">
        <f t="shared" si="23"/>
        <v>0.9048270059943212</v>
      </c>
      <c r="E61" s="77">
        <f t="shared" si="23"/>
        <v>0.9689994678020224</v>
      </c>
      <c r="F61" s="77">
        <f t="shared" si="23"/>
        <v>1.189667828959442</v>
      </c>
      <c r="G61" s="77">
        <f t="shared" si="23"/>
        <v>0.78552262471033052</v>
      </c>
      <c r="H61" s="77">
        <f t="shared" si="23"/>
        <v>0.92844144722757438</v>
      </c>
      <c r="I61" s="77">
        <f t="shared" si="23"/>
        <v>1.1815731851103251</v>
      </c>
      <c r="J61" s="77">
        <f t="shared" si="23"/>
        <v>1.7462700661000945</v>
      </c>
      <c r="K61" s="77">
        <f t="shared" si="23"/>
        <v>0.8301050175029171</v>
      </c>
      <c r="L61" s="77">
        <f t="shared" si="23"/>
        <v>0.43132545351115603</v>
      </c>
      <c r="M61" s="77">
        <f t="shared" si="23"/>
        <v>0.39993479324023257</v>
      </c>
      <c r="N61" s="77">
        <f t="shared" si="21"/>
        <v>1.0568860043414725</v>
      </c>
      <c r="O61" s="372"/>
    </row>
    <row r="62" spans="1:15" ht="19" customHeight="1" x14ac:dyDescent="0.4">
      <c r="A62" s="73" t="s">
        <v>95</v>
      </c>
      <c r="B62" s="78">
        <v>1366</v>
      </c>
      <c r="C62" s="78">
        <v>1389</v>
      </c>
      <c r="D62" s="78">
        <v>1341</v>
      </c>
      <c r="E62" s="74">
        <v>1284</v>
      </c>
      <c r="F62" s="75">
        <v>1454</v>
      </c>
      <c r="G62" s="75">
        <v>1387</v>
      </c>
      <c r="H62" s="75">
        <v>1400</v>
      </c>
      <c r="I62" s="75">
        <v>1629</v>
      </c>
      <c r="J62" s="75">
        <v>1344</v>
      </c>
      <c r="K62" s="75">
        <v>1481</v>
      </c>
      <c r="L62" s="75">
        <v>1829</v>
      </c>
      <c r="M62" s="75">
        <v>1440</v>
      </c>
      <c r="N62" s="74">
        <f t="shared" si="21"/>
        <v>1445.3333333333333</v>
      </c>
      <c r="O62" s="461">
        <f>SUM(B62:M62)</f>
        <v>17344</v>
      </c>
    </row>
    <row r="63" spans="1:15" ht="19" customHeight="1" x14ac:dyDescent="0.4">
      <c r="A63" s="76" t="s">
        <v>112</v>
      </c>
      <c r="B63" s="77">
        <f t="shared" ref="B63:M63" si="24">B62/B25</f>
        <v>1.1392827356130109</v>
      </c>
      <c r="C63" s="77">
        <f t="shared" si="24"/>
        <v>0.95727084769124737</v>
      </c>
      <c r="D63" s="77">
        <f t="shared" si="24"/>
        <v>0.96753246753246758</v>
      </c>
      <c r="E63" s="77">
        <f t="shared" si="24"/>
        <v>1.0222929936305734</v>
      </c>
      <c r="F63" s="77">
        <f t="shared" si="24"/>
        <v>1.2197986577181208</v>
      </c>
      <c r="G63" s="77">
        <f t="shared" si="24"/>
        <v>1.0420736288504884</v>
      </c>
      <c r="H63" s="77">
        <f t="shared" si="24"/>
        <v>1.0630220197418374</v>
      </c>
      <c r="I63" s="77">
        <f t="shared" si="24"/>
        <v>1.2501918649270913</v>
      </c>
      <c r="J63" s="77">
        <f t="shared" si="24"/>
        <v>0.83478260869565213</v>
      </c>
      <c r="K63" s="77">
        <f t="shared" si="24"/>
        <v>1.2968476357267951</v>
      </c>
      <c r="L63" s="77">
        <f t="shared" si="24"/>
        <v>1.1044685990338163</v>
      </c>
      <c r="M63" s="77">
        <f t="shared" si="24"/>
        <v>1.069042316258352</v>
      </c>
      <c r="N63" s="77">
        <f t="shared" si="21"/>
        <v>1.0805505312849546</v>
      </c>
      <c r="O63" s="372"/>
    </row>
    <row r="64" spans="1:15" ht="19" customHeight="1" x14ac:dyDescent="0.4">
      <c r="A64" s="73" t="s">
        <v>96</v>
      </c>
      <c r="B64" s="78">
        <v>11739</v>
      </c>
      <c r="C64" s="78">
        <v>6889</v>
      </c>
      <c r="D64" s="78">
        <v>10948</v>
      </c>
      <c r="E64" s="78">
        <v>9187</v>
      </c>
      <c r="F64" s="78">
        <v>6890</v>
      </c>
      <c r="G64" s="78">
        <v>7592</v>
      </c>
      <c r="H64" s="78">
        <v>9833</v>
      </c>
      <c r="I64" s="78">
        <v>8497</v>
      </c>
      <c r="J64" s="78">
        <v>9442</v>
      </c>
      <c r="K64" s="78">
        <v>9589</v>
      </c>
      <c r="L64" s="78">
        <v>10603</v>
      </c>
      <c r="M64" s="78">
        <v>10315</v>
      </c>
      <c r="N64" s="74">
        <f t="shared" si="21"/>
        <v>9293.6666666666661</v>
      </c>
      <c r="O64" s="461">
        <f>SUM(B64:M64)</f>
        <v>111524</v>
      </c>
    </row>
    <row r="65" spans="1:15" ht="19" customHeight="1" x14ac:dyDescent="0.4">
      <c r="A65" s="76" t="s">
        <v>112</v>
      </c>
      <c r="B65" s="79">
        <f t="shared" ref="B65:M65" si="25">B64/B27</f>
        <v>1.9022848808945065</v>
      </c>
      <c r="C65" s="79">
        <f t="shared" si="25"/>
        <v>1.4748447869835153</v>
      </c>
      <c r="D65" s="79">
        <f t="shared" si="25"/>
        <v>1.1399416909620992</v>
      </c>
      <c r="E65" s="79">
        <f t="shared" si="25"/>
        <v>1.1066008190797398</v>
      </c>
      <c r="F65" s="79">
        <f t="shared" si="25"/>
        <v>0.79597966728280967</v>
      </c>
      <c r="G65" s="79">
        <f t="shared" si="25"/>
        <v>0.7879605604566684</v>
      </c>
      <c r="H65" s="79">
        <f t="shared" si="25"/>
        <v>0.83970964987190433</v>
      </c>
      <c r="I65" s="79">
        <f t="shared" si="25"/>
        <v>0.9435868961687951</v>
      </c>
      <c r="J65" s="79">
        <f t="shared" si="25"/>
        <v>1.09269760444393</v>
      </c>
      <c r="K65" s="79">
        <f t="shared" si="25"/>
        <v>1.0642619311875694</v>
      </c>
      <c r="L65" s="79">
        <f t="shared" si="25"/>
        <v>1.1371728871728872</v>
      </c>
      <c r="M65" s="79">
        <f t="shared" si="25"/>
        <v>0.89930252833478641</v>
      </c>
      <c r="N65" s="77">
        <f t="shared" si="21"/>
        <v>1.0986953252366012</v>
      </c>
      <c r="O65" s="372"/>
    </row>
    <row r="66" spans="1:15" ht="19" customHeight="1" x14ac:dyDescent="0.4">
      <c r="A66" s="73" t="s">
        <v>97</v>
      </c>
      <c r="B66" s="78">
        <v>1053</v>
      </c>
      <c r="C66" s="72">
        <v>923</v>
      </c>
      <c r="D66" s="78">
        <v>1336</v>
      </c>
      <c r="E66" s="78">
        <v>1307</v>
      </c>
      <c r="F66" s="75">
        <v>1283</v>
      </c>
      <c r="G66" s="75">
        <v>1165</v>
      </c>
      <c r="H66" s="75">
        <v>1183</v>
      </c>
      <c r="I66" s="75">
        <v>1446</v>
      </c>
      <c r="J66" s="72">
        <v>1195</v>
      </c>
      <c r="K66" s="72">
        <v>1398</v>
      </c>
      <c r="L66" s="72">
        <v>1520</v>
      </c>
      <c r="M66" s="72">
        <v>1534</v>
      </c>
      <c r="N66" s="74">
        <f t="shared" si="21"/>
        <v>1278.5833333333333</v>
      </c>
      <c r="O66" s="461">
        <f>SUM(B66:M66)</f>
        <v>15343</v>
      </c>
    </row>
    <row r="67" spans="1:15" ht="19" customHeight="1" x14ac:dyDescent="0.4">
      <c r="A67" s="76" t="s">
        <v>112</v>
      </c>
      <c r="B67" s="77">
        <f t="shared" ref="B67:M67" si="26">B66/B29</f>
        <v>1.5716417910447762</v>
      </c>
      <c r="C67" s="77">
        <f t="shared" si="26"/>
        <v>1.1595477386934674</v>
      </c>
      <c r="D67" s="77">
        <f t="shared" si="26"/>
        <v>1.6077015643802648</v>
      </c>
      <c r="E67" s="77">
        <f t="shared" si="26"/>
        <v>1.7806539509536785</v>
      </c>
      <c r="F67" s="77">
        <f t="shared" si="26"/>
        <v>1.4629418472063853</v>
      </c>
      <c r="G67" s="77">
        <f t="shared" si="26"/>
        <v>1.251342642320086</v>
      </c>
      <c r="H67" s="77">
        <f t="shared" si="26"/>
        <v>1.4479804161566707</v>
      </c>
      <c r="I67" s="77">
        <f t="shared" si="26"/>
        <v>1.6488027366020523</v>
      </c>
      <c r="J67" s="77">
        <f t="shared" si="26"/>
        <v>1.2256410256410257</v>
      </c>
      <c r="K67" s="77">
        <f t="shared" si="26"/>
        <v>1.8274509803921568</v>
      </c>
      <c r="L67" s="77">
        <f t="shared" si="26"/>
        <v>1.5291750503018109</v>
      </c>
      <c r="M67" s="77">
        <f t="shared" si="26"/>
        <v>1.592938733125649</v>
      </c>
      <c r="N67" s="77">
        <f t="shared" si="21"/>
        <v>1.5088182064015019</v>
      </c>
      <c r="O67" s="372"/>
    </row>
    <row r="68" spans="1:15" ht="19" customHeight="1" x14ac:dyDescent="0.4">
      <c r="A68" s="73" t="s">
        <v>98</v>
      </c>
      <c r="B68" s="78">
        <v>4790</v>
      </c>
      <c r="C68" s="78">
        <v>3666</v>
      </c>
      <c r="D68" s="78">
        <v>4920</v>
      </c>
      <c r="E68" s="78">
        <v>4158</v>
      </c>
      <c r="F68" s="78">
        <v>4931</v>
      </c>
      <c r="G68" s="78">
        <v>3924</v>
      </c>
      <c r="H68" s="78">
        <v>3625</v>
      </c>
      <c r="I68" s="78">
        <v>4479</v>
      </c>
      <c r="J68" s="78">
        <v>5078</v>
      </c>
      <c r="K68" s="78">
        <v>5171</v>
      </c>
      <c r="L68" s="78">
        <v>5564</v>
      </c>
      <c r="M68" s="78">
        <v>6248</v>
      </c>
      <c r="N68" s="74">
        <f t="shared" si="21"/>
        <v>4712.833333333333</v>
      </c>
      <c r="O68" s="461">
        <f>SUM(B68:M68)</f>
        <v>56554</v>
      </c>
    </row>
    <row r="69" spans="1:15" ht="19" customHeight="1" x14ac:dyDescent="0.4">
      <c r="A69" s="76" t="s">
        <v>25</v>
      </c>
      <c r="B69" s="77">
        <f t="shared" ref="B69:M69" si="27">B68/B31</f>
        <v>2.1403038427167114</v>
      </c>
      <c r="C69" s="77">
        <f t="shared" si="27"/>
        <v>1.2949487813493465</v>
      </c>
      <c r="D69" s="77">
        <f t="shared" si="27"/>
        <v>1.3308087638625914</v>
      </c>
      <c r="E69" s="77">
        <f t="shared" si="27"/>
        <v>1.2703941338221816</v>
      </c>
      <c r="F69" s="77">
        <f t="shared" si="27"/>
        <v>1.3777591506007265</v>
      </c>
      <c r="G69" s="77">
        <f t="shared" si="27"/>
        <v>0.95730666016101484</v>
      </c>
      <c r="H69" s="77">
        <f t="shared" si="27"/>
        <v>0.65921076559374436</v>
      </c>
      <c r="I69" s="77">
        <f t="shared" si="27"/>
        <v>0.88675509800039598</v>
      </c>
      <c r="J69" s="77">
        <f t="shared" si="27"/>
        <v>1.047874535699546</v>
      </c>
      <c r="K69" s="77">
        <f t="shared" si="27"/>
        <v>1.154756587762394</v>
      </c>
      <c r="L69" s="77">
        <f t="shared" si="27"/>
        <v>1.1598915989159893</v>
      </c>
      <c r="M69" s="77">
        <f t="shared" si="27"/>
        <v>1.3367565254599914</v>
      </c>
      <c r="N69" s="77">
        <f t="shared" si="21"/>
        <v>1.2180638703287194</v>
      </c>
      <c r="O69" s="372"/>
    </row>
    <row r="70" spans="1:15" ht="19" customHeight="1" x14ac:dyDescent="0.4">
      <c r="A70" s="73" t="s">
        <v>99</v>
      </c>
      <c r="B70" s="78">
        <v>2420</v>
      </c>
      <c r="C70" s="78">
        <v>1436</v>
      </c>
      <c r="D70" s="78">
        <v>1551</v>
      </c>
      <c r="E70" s="78">
        <v>1353</v>
      </c>
      <c r="F70" s="75">
        <v>1553</v>
      </c>
      <c r="G70" s="75">
        <v>1280</v>
      </c>
      <c r="H70" s="75">
        <v>1659</v>
      </c>
      <c r="I70" s="75">
        <v>2100</v>
      </c>
      <c r="J70" s="75">
        <v>1673</v>
      </c>
      <c r="K70" s="75">
        <v>1929</v>
      </c>
      <c r="L70" s="75">
        <v>1907</v>
      </c>
      <c r="M70" s="75">
        <v>1780</v>
      </c>
      <c r="N70" s="74">
        <f t="shared" si="21"/>
        <v>1720.0833333333333</v>
      </c>
      <c r="O70" s="461">
        <f>SUM(B70:M70)</f>
        <v>20641</v>
      </c>
    </row>
    <row r="71" spans="1:15" ht="19" customHeight="1" x14ac:dyDescent="0.4">
      <c r="A71" s="76" t="s">
        <v>112</v>
      </c>
      <c r="B71" s="79">
        <f t="shared" ref="B71:M71" si="28">B70/B33</f>
        <v>1.3188010899182561</v>
      </c>
      <c r="C71" s="79">
        <f t="shared" si="28"/>
        <v>1.1424025457438345</v>
      </c>
      <c r="D71" s="79">
        <f t="shared" si="28"/>
        <v>0.99168797953964194</v>
      </c>
      <c r="E71" s="79">
        <f t="shared" si="28"/>
        <v>1.0670347003154574</v>
      </c>
      <c r="F71" s="79">
        <f t="shared" si="28"/>
        <v>1.0422818791946309</v>
      </c>
      <c r="G71" s="79">
        <f t="shared" si="28"/>
        <v>0.78287461773700306</v>
      </c>
      <c r="H71" s="79">
        <f t="shared" si="28"/>
        <v>0.92423398328690809</v>
      </c>
      <c r="I71" s="79">
        <f t="shared" si="28"/>
        <v>0.98777046095954846</v>
      </c>
      <c r="J71" s="79">
        <f t="shared" si="28"/>
        <v>0.92430939226519337</v>
      </c>
      <c r="K71" s="79">
        <f t="shared" si="28"/>
        <v>1.1003993154592129</v>
      </c>
      <c r="L71" s="79">
        <f t="shared" si="28"/>
        <v>0.87276887871853548</v>
      </c>
      <c r="M71" s="79">
        <f t="shared" si="28"/>
        <v>0.87512291052114066</v>
      </c>
      <c r="N71" s="77">
        <f t="shared" si="21"/>
        <v>1.0024739794716135</v>
      </c>
      <c r="O71" s="372"/>
    </row>
    <row r="72" spans="1:15" ht="19" customHeight="1" x14ac:dyDescent="0.4">
      <c r="A72" s="80" t="s">
        <v>100</v>
      </c>
      <c r="B72" s="81">
        <f t="shared" ref="B72:M72" si="29">B58+B60+B62+B64+B66+B68+B70</f>
        <v>435093</v>
      </c>
      <c r="C72" s="81">
        <f t="shared" si="29"/>
        <v>298541</v>
      </c>
      <c r="D72" s="81">
        <f t="shared" si="29"/>
        <v>395399</v>
      </c>
      <c r="E72" s="81">
        <f t="shared" si="29"/>
        <v>343108</v>
      </c>
      <c r="F72" s="81">
        <f t="shared" si="29"/>
        <v>325498</v>
      </c>
      <c r="G72" s="81">
        <f t="shared" si="29"/>
        <v>288798</v>
      </c>
      <c r="H72" s="81">
        <f t="shared" si="29"/>
        <v>347023</v>
      </c>
      <c r="I72" s="81">
        <f t="shared" si="29"/>
        <v>360978</v>
      </c>
      <c r="J72" s="81">
        <f t="shared" si="29"/>
        <v>350799</v>
      </c>
      <c r="K72" s="81">
        <f t="shared" si="29"/>
        <v>350706</v>
      </c>
      <c r="L72" s="81">
        <f t="shared" si="29"/>
        <v>380588</v>
      </c>
      <c r="M72" s="81">
        <f t="shared" si="29"/>
        <v>394938</v>
      </c>
      <c r="N72" s="82">
        <f>AVERAGEA(B72:M72)</f>
        <v>355955.75</v>
      </c>
      <c r="O72" s="460">
        <f>SUM(B72:M72)</f>
        <v>4271469</v>
      </c>
    </row>
    <row r="73" spans="1:15" ht="19" customHeight="1" x14ac:dyDescent="0.4">
      <c r="A73" s="83" t="s">
        <v>112</v>
      </c>
      <c r="B73" s="84">
        <f t="shared" ref="B73:M73" si="30">B72/B35</f>
        <v>1.3826917637786769</v>
      </c>
      <c r="C73" s="84">
        <f t="shared" si="30"/>
        <v>0.888946125650241</v>
      </c>
      <c r="D73" s="84">
        <f t="shared" si="30"/>
        <v>1.1068595231030216</v>
      </c>
      <c r="E73" s="84">
        <f t="shared" si="30"/>
        <v>1.1085414829102493</v>
      </c>
      <c r="F73" s="84">
        <f t="shared" si="30"/>
        <v>1.0027479467415883</v>
      </c>
      <c r="G73" s="84">
        <f t="shared" si="30"/>
        <v>0.84995835528387564</v>
      </c>
      <c r="H73" s="84">
        <f t="shared" si="30"/>
        <v>0.87374360472142776</v>
      </c>
      <c r="I73" s="84">
        <f t="shared" si="30"/>
        <v>0.98014874188476986</v>
      </c>
      <c r="J73" s="84">
        <f t="shared" si="30"/>
        <v>0.938783538592463</v>
      </c>
      <c r="K73" s="84">
        <f t="shared" si="30"/>
        <v>1.0215075060730161</v>
      </c>
      <c r="L73" s="84">
        <f t="shared" si="30"/>
        <v>1.0463677028947853</v>
      </c>
      <c r="M73" s="84">
        <f t="shared" si="30"/>
        <v>0.97104599300737127</v>
      </c>
      <c r="N73" s="91">
        <f>AVERAGE(B73:M73)</f>
        <v>1.0142785237201239</v>
      </c>
      <c r="O73" s="372"/>
    </row>
    <row r="74" spans="1:15" ht="19" customHeight="1" x14ac:dyDescent="0.3">
      <c r="A74" s="85" t="s">
        <v>113</v>
      </c>
      <c r="B74" s="86"/>
      <c r="C74" s="87"/>
      <c r="D74" s="87"/>
      <c r="E74" s="87"/>
      <c r="F74" s="88"/>
      <c r="G74" s="88"/>
      <c r="H74" s="87"/>
      <c r="I74" s="87"/>
      <c r="J74" s="87"/>
      <c r="K74" s="87"/>
      <c r="L74" s="87"/>
      <c r="M74" s="87"/>
      <c r="N74" s="69"/>
      <c r="O74" s="69"/>
    </row>
    <row r="75" spans="1:15" ht="19" customHeight="1" x14ac:dyDescent="0.4">
      <c r="A75" s="73" t="s">
        <v>101</v>
      </c>
      <c r="B75" s="78">
        <v>2419356</v>
      </c>
      <c r="C75" s="78">
        <v>1794672</v>
      </c>
      <c r="D75" s="78">
        <v>2301951</v>
      </c>
      <c r="E75" s="78">
        <v>2038565</v>
      </c>
      <c r="F75" s="78">
        <v>1945472</v>
      </c>
      <c r="G75" s="78">
        <v>1816154</v>
      </c>
      <c r="H75" s="78">
        <v>2380488</v>
      </c>
      <c r="I75" s="78">
        <v>2068503</v>
      </c>
      <c r="J75" s="78">
        <v>2058048</v>
      </c>
      <c r="K75" s="78">
        <v>2156521</v>
      </c>
      <c r="L75" s="78">
        <v>2245189</v>
      </c>
      <c r="M75" s="78">
        <v>2412965</v>
      </c>
      <c r="N75" s="78">
        <f>AVERAGE(B75:M75)</f>
        <v>2136490.3333333335</v>
      </c>
      <c r="O75" s="462">
        <f>SUM(B75:M75)</f>
        <v>25637884</v>
      </c>
    </row>
    <row r="76" spans="1:15" ht="19" customHeight="1" x14ac:dyDescent="0.4">
      <c r="A76" s="76" t="s">
        <v>25</v>
      </c>
      <c r="B76" s="77">
        <f t="shared" ref="B76:M76" si="31">B75/B38</f>
        <v>1.1720408385713768</v>
      </c>
      <c r="C76" s="77">
        <f t="shared" si="31"/>
        <v>0.93485938603674279</v>
      </c>
      <c r="D76" s="77">
        <f t="shared" si="31"/>
        <v>0.96419986252948264</v>
      </c>
      <c r="E76" s="77">
        <f t="shared" si="31"/>
        <v>1.0589634488745008</v>
      </c>
      <c r="F76" s="77">
        <f t="shared" si="31"/>
        <v>1.0035355082847679</v>
      </c>
      <c r="G76" s="77">
        <f t="shared" si="31"/>
        <v>0.91950367213360429</v>
      </c>
      <c r="H76" s="77">
        <f t="shared" si="31"/>
        <v>1.1200604520446558</v>
      </c>
      <c r="I76" s="77">
        <f t="shared" si="31"/>
        <v>0.99672288975494672</v>
      </c>
      <c r="J76" s="77">
        <f t="shared" si="31"/>
        <v>0.94054418672245821</v>
      </c>
      <c r="K76" s="77">
        <f t="shared" si="31"/>
        <v>1.0750241398270506</v>
      </c>
      <c r="L76" s="77">
        <f t="shared" si="31"/>
        <v>1.0796150258220252</v>
      </c>
      <c r="M76" s="77">
        <f t="shared" si="31"/>
        <v>0.97552421542539214</v>
      </c>
      <c r="N76" s="77">
        <f>AVERAGE(B76:M76)</f>
        <v>1.0200494688355837</v>
      </c>
      <c r="O76" s="372"/>
    </row>
    <row r="77" spans="1:15" ht="19" customHeight="1" x14ac:dyDescent="0.4">
      <c r="A77" s="73" t="s">
        <v>102</v>
      </c>
      <c r="B77" s="78">
        <v>140616</v>
      </c>
      <c r="C77" s="78">
        <v>62362</v>
      </c>
      <c r="D77" s="78">
        <v>82962</v>
      </c>
      <c r="E77" s="78">
        <v>137684</v>
      </c>
      <c r="F77" s="78">
        <v>158944</v>
      </c>
      <c r="G77" s="78">
        <v>155930</v>
      </c>
      <c r="H77" s="78">
        <v>142955</v>
      </c>
      <c r="I77" s="78">
        <v>115873</v>
      </c>
      <c r="J77" s="78">
        <v>140592</v>
      </c>
      <c r="K77" s="78">
        <v>71082</v>
      </c>
      <c r="L77" s="78">
        <v>71494</v>
      </c>
      <c r="M77" s="78">
        <v>107674</v>
      </c>
      <c r="N77" s="78">
        <f>AVERAGE(B77:M77)</f>
        <v>115680.66666666667</v>
      </c>
      <c r="O77" s="462">
        <f>SUM(B77:M77)</f>
        <v>1388168</v>
      </c>
    </row>
    <row r="78" spans="1:15" ht="19" customHeight="1" x14ac:dyDescent="0.4">
      <c r="A78" s="76" t="s">
        <v>25</v>
      </c>
      <c r="B78" s="104">
        <f t="shared" ref="B78:M78" si="32">B77/B40</f>
        <v>2.7050381855606642</v>
      </c>
      <c r="C78" s="104">
        <f t="shared" si="32"/>
        <v>1.2040855730614766</v>
      </c>
      <c r="D78" s="104">
        <f t="shared" si="32"/>
        <v>1.0022591362126245</v>
      </c>
      <c r="E78" s="104">
        <f t="shared" si="32"/>
        <v>1.5649999431669641</v>
      </c>
      <c r="F78" s="104">
        <f t="shared" si="32"/>
        <v>1.5984552878233236</v>
      </c>
      <c r="G78" s="104">
        <f t="shared" si="32"/>
        <v>1.1128874551255059</v>
      </c>
      <c r="H78" s="104">
        <f t="shared" si="32"/>
        <v>0.94679082582174856</v>
      </c>
      <c r="I78" s="104">
        <f t="shared" si="32"/>
        <v>1.2217219855763148</v>
      </c>
      <c r="J78" s="104">
        <f t="shared" si="32"/>
        <v>0.30373052427822089</v>
      </c>
      <c r="K78" s="104">
        <f t="shared" si="32"/>
        <v>0.61524745962227567</v>
      </c>
      <c r="L78" s="104">
        <f t="shared" si="32"/>
        <v>0.51282161634854717</v>
      </c>
      <c r="M78" s="104">
        <f t="shared" si="32"/>
        <v>0.6500169033130494</v>
      </c>
      <c r="N78" s="77">
        <f>AVERAGE(B78:M78)</f>
        <v>1.1198379079925598</v>
      </c>
      <c r="O78" s="372"/>
    </row>
    <row r="79" spans="1:15" ht="19" customHeight="1" x14ac:dyDescent="0.4">
      <c r="A79" s="102" t="s">
        <v>103</v>
      </c>
      <c r="B79" s="113">
        <v>3631</v>
      </c>
      <c r="C79" s="103">
        <v>4475</v>
      </c>
      <c r="D79" s="78">
        <v>5343</v>
      </c>
      <c r="E79" s="74">
        <v>5271</v>
      </c>
      <c r="F79" s="74">
        <v>4796</v>
      </c>
      <c r="G79" s="78">
        <v>6084</v>
      </c>
      <c r="H79" s="78">
        <v>5015</v>
      </c>
      <c r="I79" s="78">
        <v>6232</v>
      </c>
      <c r="J79" s="78">
        <v>4489</v>
      </c>
      <c r="K79" s="78">
        <v>6019</v>
      </c>
      <c r="L79" s="78">
        <v>6688</v>
      </c>
      <c r="M79" s="78">
        <v>5709</v>
      </c>
      <c r="N79" s="78">
        <f>AVERAGE(B79:M79)</f>
        <v>5312.666666666667</v>
      </c>
      <c r="O79" s="461">
        <f>SUM(B79:M79)</f>
        <v>63752</v>
      </c>
    </row>
    <row r="80" spans="1:15" ht="19" customHeight="1" x14ac:dyDescent="0.4">
      <c r="A80" s="105" t="s">
        <v>25</v>
      </c>
      <c r="B80" s="107" t="e">
        <f t="shared" ref="B80:M80" si="33">B79/B42</f>
        <v>#DIV/0!</v>
      </c>
      <c r="C80" s="79">
        <f t="shared" si="33"/>
        <v>0.76508804923918616</v>
      </c>
      <c r="D80" s="79">
        <f t="shared" si="33"/>
        <v>0.85611280243550714</v>
      </c>
      <c r="E80" s="79">
        <f t="shared" si="33"/>
        <v>0.98229593738352594</v>
      </c>
      <c r="F80" s="79">
        <f t="shared" si="33"/>
        <v>0.96869319329428394</v>
      </c>
      <c r="G80" s="79">
        <f t="shared" si="33"/>
        <v>1.155775075987842</v>
      </c>
      <c r="H80" s="79">
        <f t="shared" si="33"/>
        <v>0.91298015656289822</v>
      </c>
      <c r="I80" s="79">
        <f t="shared" si="33"/>
        <v>1.2796714579055442</v>
      </c>
      <c r="J80" s="79">
        <f t="shared" si="33"/>
        <v>0.81781745308799414</v>
      </c>
      <c r="K80" s="79">
        <f t="shared" si="33"/>
        <v>1.3011240812797233</v>
      </c>
      <c r="L80" s="79">
        <f t="shared" si="33"/>
        <v>1.0642902609802674</v>
      </c>
      <c r="M80" s="79">
        <f t="shared" si="33"/>
        <v>1.0161979352082591</v>
      </c>
      <c r="N80" s="77">
        <f>AVERAGE(C80:M80)</f>
        <v>1.0109133093968212</v>
      </c>
      <c r="O80" s="372"/>
    </row>
    <row r="81" spans="1:15" ht="19" customHeight="1" x14ac:dyDescent="0.4">
      <c r="A81" s="73" t="s">
        <v>104</v>
      </c>
      <c r="B81" s="106">
        <v>154420</v>
      </c>
      <c r="C81" s="78">
        <v>67536</v>
      </c>
      <c r="D81" s="78">
        <v>94858</v>
      </c>
      <c r="E81" s="78">
        <v>101591</v>
      </c>
      <c r="F81" s="78">
        <v>67536</v>
      </c>
      <c r="G81" s="78">
        <v>91419</v>
      </c>
      <c r="H81" s="78">
        <v>115359</v>
      </c>
      <c r="I81" s="78">
        <v>90996</v>
      </c>
      <c r="J81" s="78">
        <v>77599</v>
      </c>
      <c r="K81" s="78">
        <v>144791</v>
      </c>
      <c r="L81" s="78">
        <v>114515</v>
      </c>
      <c r="M81" s="78">
        <v>151058</v>
      </c>
      <c r="N81" s="78">
        <f>AVERAGE(B81:M81)</f>
        <v>105973.16666666667</v>
      </c>
      <c r="O81" s="461">
        <f>SUM(B81:M81)</f>
        <v>1271678</v>
      </c>
    </row>
    <row r="82" spans="1:15" ht="19" customHeight="1" x14ac:dyDescent="0.4">
      <c r="A82" s="76" t="s">
        <v>25</v>
      </c>
      <c r="B82" s="79">
        <f t="shared" ref="B82:M82" si="34">B81/B44</f>
        <v>2.5333858319388392</v>
      </c>
      <c r="C82" s="79">
        <f t="shared" si="34"/>
        <v>1.583827771393729</v>
      </c>
      <c r="D82" s="79">
        <f t="shared" si="34"/>
        <v>0.87368750690785835</v>
      </c>
      <c r="E82" s="79">
        <f t="shared" si="34"/>
        <v>0.98609061966143807</v>
      </c>
      <c r="F82" s="79">
        <f t="shared" si="34"/>
        <v>0.63900689759577634</v>
      </c>
      <c r="G82" s="79">
        <f t="shared" si="34"/>
        <v>0.85283691251376015</v>
      </c>
      <c r="H82" s="79">
        <f t="shared" si="34"/>
        <v>1.1441734524860399</v>
      </c>
      <c r="I82" s="79">
        <f t="shared" si="34"/>
        <v>0.83444291609353505</v>
      </c>
      <c r="J82" s="79">
        <f t="shared" si="34"/>
        <v>0.91584935500241949</v>
      </c>
      <c r="K82" s="79">
        <f t="shared" si="34"/>
        <v>1.3036952332931155</v>
      </c>
      <c r="L82" s="79">
        <f t="shared" si="34"/>
        <v>0.87071069579300331</v>
      </c>
      <c r="M82" s="79">
        <f t="shared" si="34"/>
        <v>1.121864997140714</v>
      </c>
      <c r="N82" s="77">
        <f>AVERAGE(C82:M82)</f>
        <v>1.0114714870801262</v>
      </c>
      <c r="O82" s="372"/>
    </row>
    <row r="83" spans="1:15" ht="19" customHeight="1" x14ac:dyDescent="0.4">
      <c r="A83" s="73" t="s">
        <v>105</v>
      </c>
      <c r="B83" s="78">
        <v>11056</v>
      </c>
      <c r="C83" s="78">
        <v>10071</v>
      </c>
      <c r="D83" s="78">
        <v>12672</v>
      </c>
      <c r="E83" s="78">
        <v>15170</v>
      </c>
      <c r="F83" s="78">
        <v>15139</v>
      </c>
      <c r="G83" s="78">
        <v>11616</v>
      </c>
      <c r="H83" s="78">
        <v>13918</v>
      </c>
      <c r="I83" s="78">
        <v>13811</v>
      </c>
      <c r="J83" s="78">
        <v>13363</v>
      </c>
      <c r="K83" s="78">
        <v>14248</v>
      </c>
      <c r="L83" s="78">
        <v>14462</v>
      </c>
      <c r="M83" s="78">
        <v>13377</v>
      </c>
      <c r="N83" s="78">
        <f>AVERAGE(B83:M83)</f>
        <v>13241.916666666666</v>
      </c>
      <c r="O83" s="461">
        <f>SUM(B83:M83)</f>
        <v>158903</v>
      </c>
    </row>
    <row r="84" spans="1:15" ht="19" customHeight="1" x14ac:dyDescent="0.4">
      <c r="A84" s="76" t="s">
        <v>25</v>
      </c>
      <c r="B84" s="79">
        <f t="shared" ref="B84:M84" si="35">B83/B46</f>
        <v>1.643281807372176</v>
      </c>
      <c r="C84" s="79">
        <f t="shared" si="35"/>
        <v>3.05459508644222</v>
      </c>
      <c r="D84" s="79">
        <f t="shared" si="35"/>
        <v>1.5119914091397209</v>
      </c>
      <c r="E84" s="79">
        <f t="shared" si="35"/>
        <v>1.9154040404040404</v>
      </c>
      <c r="F84" s="79">
        <f t="shared" si="35"/>
        <v>1.5748465619473631</v>
      </c>
      <c r="G84" s="79">
        <f t="shared" si="35"/>
        <v>1.1186440677966101</v>
      </c>
      <c r="H84" s="79">
        <f t="shared" si="35"/>
        <v>1.4826888249707042</v>
      </c>
      <c r="I84" s="79">
        <f t="shared" si="35"/>
        <v>1.4286748732802317</v>
      </c>
      <c r="J84" s="79">
        <f t="shared" si="35"/>
        <v>1.1528772323354326</v>
      </c>
      <c r="K84" s="79">
        <f t="shared" si="35"/>
        <v>1.6106714899389554</v>
      </c>
      <c r="L84" s="79">
        <f t="shared" si="35"/>
        <v>1.2736239542051959</v>
      </c>
      <c r="M84" s="79">
        <f t="shared" si="35"/>
        <v>1.1790058170280275</v>
      </c>
      <c r="N84" s="77">
        <f>AVERAGE(C84:M84)</f>
        <v>1.5730021234080456</v>
      </c>
      <c r="O84" s="372"/>
    </row>
    <row r="85" spans="1:15" ht="19" customHeight="1" x14ac:dyDescent="0.4">
      <c r="A85" s="73" t="s">
        <v>106</v>
      </c>
      <c r="B85" s="78">
        <v>7435</v>
      </c>
      <c r="C85" s="78">
        <v>5901</v>
      </c>
      <c r="D85" s="78">
        <v>8603</v>
      </c>
      <c r="E85" s="78">
        <v>6425</v>
      </c>
      <c r="F85" s="78">
        <v>7656</v>
      </c>
      <c r="G85" s="78">
        <v>6283</v>
      </c>
      <c r="H85" s="78">
        <v>5848</v>
      </c>
      <c r="I85" s="78">
        <v>7991</v>
      </c>
      <c r="J85" s="78">
        <v>8009</v>
      </c>
      <c r="K85" s="78">
        <v>8707</v>
      </c>
      <c r="L85" s="78">
        <v>9578</v>
      </c>
      <c r="M85" s="78">
        <v>6248</v>
      </c>
      <c r="N85" s="78">
        <f>AVERAGE(B85:M85)</f>
        <v>7390.333333333333</v>
      </c>
      <c r="O85" s="461">
        <f>SUM(B85:M85)</f>
        <v>88684</v>
      </c>
    </row>
    <row r="86" spans="1:15" ht="19" customHeight="1" x14ac:dyDescent="0.4">
      <c r="A86" s="76" t="s">
        <v>25</v>
      </c>
      <c r="B86" s="79">
        <f t="shared" ref="B86:M86" si="36">B85/B48</f>
        <v>1.8737399193548387</v>
      </c>
      <c r="C86" s="79">
        <f t="shared" si="36"/>
        <v>1.1613855540247984</v>
      </c>
      <c r="D86" s="79">
        <f t="shared" si="36"/>
        <v>1.4764029517762143</v>
      </c>
      <c r="E86" s="79">
        <f t="shared" si="36"/>
        <v>1.2478151097300447</v>
      </c>
      <c r="F86" s="79">
        <f t="shared" si="36"/>
        <v>1.3159161223788243</v>
      </c>
      <c r="G86" s="79">
        <f t="shared" si="36"/>
        <v>1.0570323014804845</v>
      </c>
      <c r="H86" s="79">
        <f t="shared" si="36"/>
        <v>0.72286773794808401</v>
      </c>
      <c r="I86" s="79">
        <f t="shared" si="36"/>
        <v>1.0364461738002595</v>
      </c>
      <c r="J86" s="79">
        <f t="shared" si="36"/>
        <v>1.1985932355582161</v>
      </c>
      <c r="K86" s="79">
        <f t="shared" si="36"/>
        <v>1.3038334830787661</v>
      </c>
      <c r="L86" s="79">
        <f t="shared" si="36"/>
        <v>1.4079082757606938</v>
      </c>
      <c r="M86" s="79">
        <f t="shared" si="36"/>
        <v>0.89129814550641939</v>
      </c>
      <c r="N86" s="77">
        <f>AVERAGE(C86:M86)</f>
        <v>1.1654090082766186</v>
      </c>
      <c r="O86" s="372"/>
    </row>
    <row r="87" spans="1:15" ht="19" customHeight="1" x14ac:dyDescent="0.4">
      <c r="A87" s="73" t="s">
        <v>107</v>
      </c>
      <c r="B87" s="78">
        <v>14048</v>
      </c>
      <c r="C87" s="78">
        <v>8024</v>
      </c>
      <c r="D87" s="78">
        <v>7928</v>
      </c>
      <c r="E87" s="78">
        <v>13566</v>
      </c>
      <c r="F87" s="78">
        <v>7731</v>
      </c>
      <c r="G87" s="78">
        <v>5177</v>
      </c>
      <c r="H87" s="78">
        <v>6472</v>
      </c>
      <c r="I87" s="78">
        <v>10398</v>
      </c>
      <c r="J87" s="78">
        <v>8189</v>
      </c>
      <c r="K87" s="78">
        <v>9795</v>
      </c>
      <c r="L87" s="78">
        <v>9364</v>
      </c>
      <c r="M87" s="78">
        <v>8981</v>
      </c>
      <c r="N87" s="78">
        <f>AVERAGE(B87:M87)</f>
        <v>9139.4166666666661</v>
      </c>
      <c r="O87" s="461">
        <f>SUM(B87:M87)</f>
        <v>109673</v>
      </c>
    </row>
    <row r="88" spans="1:15" ht="19" customHeight="1" x14ac:dyDescent="0.4">
      <c r="A88" s="76" t="s">
        <v>25</v>
      </c>
      <c r="B88" s="79">
        <f t="shared" ref="B88:M88" si="37">B87/B50</f>
        <v>1.3106922933383094</v>
      </c>
      <c r="C88" s="79">
        <f t="shared" si="37"/>
        <v>1.1234948193783254</v>
      </c>
      <c r="D88" s="79">
        <f t="shared" si="37"/>
        <v>1.0112244897959184</v>
      </c>
      <c r="E88" s="79">
        <f t="shared" si="37"/>
        <v>2.0473890733474192</v>
      </c>
      <c r="F88" s="79">
        <f t="shared" si="37"/>
        <v>1.0153664302600474</v>
      </c>
      <c r="G88" s="79">
        <f t="shared" si="37"/>
        <v>0.58676187237900945</v>
      </c>
      <c r="H88" s="79">
        <f t="shared" si="37"/>
        <v>0.68946415255140092</v>
      </c>
      <c r="I88" s="79">
        <f t="shared" si="37"/>
        <v>0.90417391304347827</v>
      </c>
      <c r="J88" s="79">
        <f t="shared" si="37"/>
        <v>0.90918174752969916</v>
      </c>
      <c r="K88" s="79">
        <f t="shared" si="37"/>
        <v>1.0704918032786885</v>
      </c>
      <c r="L88" s="79">
        <f t="shared" si="37"/>
        <v>0.82429577464788728</v>
      </c>
      <c r="M88" s="79">
        <f t="shared" si="37"/>
        <v>0.85047348484848484</v>
      </c>
      <c r="N88" s="77">
        <f>AVERAGE(C88:M88)</f>
        <v>1.0029379600963961</v>
      </c>
      <c r="O88" s="372"/>
    </row>
    <row r="89" spans="1:15" ht="19" customHeight="1" x14ac:dyDescent="0.4">
      <c r="A89" s="80" t="s">
        <v>108</v>
      </c>
      <c r="B89" s="82">
        <f t="shared" ref="B89:M89" si="38">B75+B77+B79+B81+B83+B85+B87</f>
        <v>2750562</v>
      </c>
      <c r="C89" s="82">
        <f t="shared" si="38"/>
        <v>1953041</v>
      </c>
      <c r="D89" s="82">
        <f t="shared" si="38"/>
        <v>2514317</v>
      </c>
      <c r="E89" s="82">
        <f t="shared" si="38"/>
        <v>2318272</v>
      </c>
      <c r="F89" s="82">
        <f t="shared" si="38"/>
        <v>2207274</v>
      </c>
      <c r="G89" s="82">
        <f t="shared" si="38"/>
        <v>2092663</v>
      </c>
      <c r="H89" s="82">
        <f t="shared" si="38"/>
        <v>2670055</v>
      </c>
      <c r="I89" s="82">
        <f t="shared" si="38"/>
        <v>2313804</v>
      </c>
      <c r="J89" s="82">
        <f t="shared" si="38"/>
        <v>2310289</v>
      </c>
      <c r="K89" s="82">
        <f t="shared" si="38"/>
        <v>2411163</v>
      </c>
      <c r="L89" s="82">
        <f t="shared" si="38"/>
        <v>2471290</v>
      </c>
      <c r="M89" s="82">
        <f t="shared" si="38"/>
        <v>2706012</v>
      </c>
      <c r="N89" s="82">
        <f>AVERAGEA(B89:M89)</f>
        <v>2393228.5</v>
      </c>
      <c r="O89" s="460">
        <f>SUM(B89:M89)</f>
        <v>28718742</v>
      </c>
    </row>
    <row r="90" spans="1:15" ht="19" customHeight="1" x14ac:dyDescent="0.4">
      <c r="A90" s="83" t="s">
        <v>112</v>
      </c>
      <c r="B90" s="84">
        <f t="shared" ref="B90:M90" si="39">B89/B52</f>
        <v>1.2510652349520781</v>
      </c>
      <c r="C90" s="84">
        <f t="shared" si="39"/>
        <v>0.95947730463772019</v>
      </c>
      <c r="D90" s="84">
        <f t="shared" si="39"/>
        <v>0.96442732168878553</v>
      </c>
      <c r="E90" s="84">
        <f t="shared" si="39"/>
        <v>1.0827385119650053</v>
      </c>
      <c r="F90" s="84">
        <f t="shared" si="39"/>
        <v>1.0163624634451931</v>
      </c>
      <c r="G90" s="84">
        <f t="shared" si="39"/>
        <v>0.9288884213367139</v>
      </c>
      <c r="H90" s="84">
        <f t="shared" si="39"/>
        <v>1.1081411419013982</v>
      </c>
      <c r="I90" s="84">
        <f t="shared" si="39"/>
        <v>1.0003713879923648</v>
      </c>
      <c r="J90" s="84">
        <f t="shared" si="39"/>
        <v>0.83448280096860139</v>
      </c>
      <c r="K90" s="84">
        <f t="shared" si="39"/>
        <v>1.0659820851074553</v>
      </c>
      <c r="L90" s="84">
        <f t="shared" si="39"/>
        <v>1.0355923722968177</v>
      </c>
      <c r="M90" s="84">
        <f t="shared" si="39"/>
        <v>0.96356384579201138</v>
      </c>
      <c r="N90" s="101">
        <f>AVERAGE(B90:M90)</f>
        <v>1.0175910743403453</v>
      </c>
      <c r="O90" s="372"/>
    </row>
    <row r="92" spans="1:15" ht="19" customHeight="1" x14ac:dyDescent="0.4">
      <c r="A92" s="69" t="s">
        <v>109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69"/>
      <c r="O92" s="69"/>
    </row>
    <row r="93" spans="1:15" ht="19" customHeight="1" x14ac:dyDescent="0.4">
      <c r="A93" s="71" t="s">
        <v>115</v>
      </c>
      <c r="B93" s="72">
        <v>1</v>
      </c>
      <c r="C93" s="72">
        <v>2</v>
      </c>
      <c r="D93" s="72">
        <v>3</v>
      </c>
      <c r="E93" s="72">
        <v>4</v>
      </c>
      <c r="F93" s="72">
        <v>5</v>
      </c>
      <c r="G93" s="72">
        <v>6</v>
      </c>
      <c r="H93" s="72">
        <v>7</v>
      </c>
      <c r="I93" s="72">
        <v>8</v>
      </c>
      <c r="J93" s="72">
        <v>9</v>
      </c>
      <c r="K93" s="72">
        <v>10</v>
      </c>
      <c r="L93" s="72">
        <v>11</v>
      </c>
      <c r="M93" s="72">
        <v>12</v>
      </c>
      <c r="N93" s="72" t="s">
        <v>111</v>
      </c>
      <c r="O93" s="72" t="s">
        <v>67</v>
      </c>
    </row>
    <row r="94" spans="1:15" ht="19" customHeight="1" x14ac:dyDescent="0.4">
      <c r="A94" s="73" t="s">
        <v>93</v>
      </c>
      <c r="B94" s="74">
        <v>364962</v>
      </c>
      <c r="C94" s="74">
        <v>275117</v>
      </c>
      <c r="D94" s="74">
        <v>386799</v>
      </c>
      <c r="E94" s="74">
        <v>320228</v>
      </c>
      <c r="F94" s="75">
        <v>305685</v>
      </c>
      <c r="G94" s="75">
        <v>325833</v>
      </c>
      <c r="H94" s="75">
        <v>360551</v>
      </c>
      <c r="I94" s="75">
        <v>389740</v>
      </c>
      <c r="J94" s="75">
        <v>339121</v>
      </c>
      <c r="K94" s="75">
        <v>342211</v>
      </c>
      <c r="L94" s="75">
        <v>374422</v>
      </c>
      <c r="M94" s="75">
        <v>413932</v>
      </c>
      <c r="N94" s="74">
        <f t="shared" ref="N94:N108" si="40">AVERAGE(B94:M94)</f>
        <v>349883.41666666669</v>
      </c>
      <c r="O94" s="462">
        <f>SUM(B94:M94)</f>
        <v>4198601</v>
      </c>
    </row>
    <row r="95" spans="1:15" ht="19" customHeight="1" x14ac:dyDescent="0.4">
      <c r="A95" s="76" t="s">
        <v>112</v>
      </c>
      <c r="B95" s="77">
        <f t="shared" ref="B95:M95" si="41">B94/B58</f>
        <v>0.92011788819781826</v>
      </c>
      <c r="C95" s="77">
        <f t="shared" si="41"/>
        <v>0.99252853658888551</v>
      </c>
      <c r="D95" s="77">
        <f t="shared" si="41"/>
        <v>1.05481334827747</v>
      </c>
      <c r="E95" s="77">
        <f t="shared" si="41"/>
        <v>1.0053118014918252</v>
      </c>
      <c r="F95" s="77">
        <f t="shared" si="41"/>
        <v>1.0312493674558569</v>
      </c>
      <c r="G95" s="77">
        <f t="shared" si="41"/>
        <v>1.2504672466793825</v>
      </c>
      <c r="H95" s="77">
        <f t="shared" si="41"/>
        <v>1.1557010795702234</v>
      </c>
      <c r="I95" s="77">
        <f t="shared" si="41"/>
        <v>1.1853514478538429</v>
      </c>
      <c r="J95" s="77">
        <f t="shared" si="41"/>
        <v>1.0814704025206172</v>
      </c>
      <c r="K95" s="77">
        <f t="shared" si="41"/>
        <v>1.0561285583783917</v>
      </c>
      <c r="L95" s="77">
        <f t="shared" si="41"/>
        <v>1.0626694026525441</v>
      </c>
      <c r="M95" s="77">
        <f t="shared" si="41"/>
        <v>1.1301558178457438</v>
      </c>
      <c r="N95" s="77">
        <f t="shared" si="40"/>
        <v>1.0771637414593835</v>
      </c>
      <c r="O95" s="372"/>
    </row>
    <row r="96" spans="1:15" ht="19" customHeight="1" x14ac:dyDescent="0.4">
      <c r="A96" s="73" t="s">
        <v>116</v>
      </c>
      <c r="B96" s="78">
        <v>6119</v>
      </c>
      <c r="C96" s="78">
        <v>3287</v>
      </c>
      <c r="D96" s="78">
        <v>6235</v>
      </c>
      <c r="E96" s="78">
        <v>6194</v>
      </c>
      <c r="F96" s="78">
        <v>8512</v>
      </c>
      <c r="G96" s="78">
        <v>7822</v>
      </c>
      <c r="H96" s="78">
        <v>8256</v>
      </c>
      <c r="I96" s="78">
        <v>9715</v>
      </c>
      <c r="J96" s="78">
        <v>9676</v>
      </c>
      <c r="K96" s="78">
        <v>9685</v>
      </c>
      <c r="L96" s="78">
        <v>13000</v>
      </c>
      <c r="M96" s="78">
        <v>13348</v>
      </c>
      <c r="N96" s="74">
        <f t="shared" si="40"/>
        <v>8487.4166666666661</v>
      </c>
      <c r="O96" s="462">
        <f>SUM(B96:M96)</f>
        <v>101849</v>
      </c>
    </row>
    <row r="97" spans="1:15" ht="19" customHeight="1" x14ac:dyDescent="0.4">
      <c r="A97" s="76" t="s">
        <v>112</v>
      </c>
      <c r="B97" s="77">
        <f t="shared" ref="B97:M97" si="42">B96/B60</f>
        <v>0.35829722449935592</v>
      </c>
      <c r="C97" s="77">
        <f t="shared" si="42"/>
        <v>0.46624113475177303</v>
      </c>
      <c r="D97" s="77">
        <f t="shared" si="42"/>
        <v>0.72466294746629478</v>
      </c>
      <c r="E97" s="77">
        <f t="shared" si="42"/>
        <v>0.85047370589042981</v>
      </c>
      <c r="F97" s="77">
        <f t="shared" si="42"/>
        <v>0.6565368299267258</v>
      </c>
      <c r="G97" s="77">
        <f t="shared" si="42"/>
        <v>0.60725098982998216</v>
      </c>
      <c r="H97" s="77">
        <f t="shared" si="42"/>
        <v>0.47593243788551337</v>
      </c>
      <c r="I97" s="77">
        <f t="shared" si="42"/>
        <v>0.69244476122594445</v>
      </c>
      <c r="J97" s="77">
        <f t="shared" si="42"/>
        <v>0.52322500405558858</v>
      </c>
      <c r="K97" s="77">
        <f t="shared" si="42"/>
        <v>1.3614000562271578</v>
      </c>
      <c r="L97" s="77">
        <f t="shared" si="42"/>
        <v>1.9050410316529895</v>
      </c>
      <c r="M97" s="77">
        <f t="shared" si="42"/>
        <v>1.8135869565217391</v>
      </c>
      <c r="N97" s="77">
        <f t="shared" si="40"/>
        <v>0.86959108999445789</v>
      </c>
      <c r="O97" s="372"/>
    </row>
    <row r="98" spans="1:15" ht="19" customHeight="1" x14ac:dyDescent="0.4">
      <c r="A98" s="73" t="s">
        <v>95</v>
      </c>
      <c r="B98" s="78">
        <v>1435</v>
      </c>
      <c r="C98" s="78">
        <v>1257</v>
      </c>
      <c r="D98" s="78">
        <v>1808</v>
      </c>
      <c r="E98" s="74">
        <v>1528</v>
      </c>
      <c r="F98" s="75">
        <v>1539</v>
      </c>
      <c r="G98" s="75">
        <v>1379</v>
      </c>
      <c r="H98" s="75">
        <v>1486</v>
      </c>
      <c r="I98" s="75">
        <v>1475</v>
      </c>
      <c r="J98" s="75">
        <v>1351</v>
      </c>
      <c r="K98" s="75">
        <v>1561</v>
      </c>
      <c r="L98" s="75">
        <v>1501</v>
      </c>
      <c r="M98" s="75">
        <v>1120</v>
      </c>
      <c r="N98" s="74">
        <f t="shared" si="40"/>
        <v>1453.3333333333333</v>
      </c>
      <c r="O98" s="461">
        <f>SUM(B98:M98)</f>
        <v>17440</v>
      </c>
    </row>
    <row r="99" spans="1:15" ht="19" customHeight="1" x14ac:dyDescent="0.4">
      <c r="A99" s="76" t="s">
        <v>112</v>
      </c>
      <c r="B99" s="77">
        <f t="shared" ref="B99:M99" si="43">B98/B62</f>
        <v>1.0505124450951684</v>
      </c>
      <c r="C99" s="77">
        <f t="shared" si="43"/>
        <v>0.90496760259179265</v>
      </c>
      <c r="D99" s="77">
        <f t="shared" si="43"/>
        <v>1.348247576435496</v>
      </c>
      <c r="E99" s="77">
        <f t="shared" si="43"/>
        <v>1.190031152647975</v>
      </c>
      <c r="F99" s="77">
        <f t="shared" si="43"/>
        <v>1.0584594222833563</v>
      </c>
      <c r="G99" s="77">
        <f t="shared" si="43"/>
        <v>0.99423215573179524</v>
      </c>
      <c r="H99" s="77">
        <f t="shared" si="43"/>
        <v>1.0614285714285714</v>
      </c>
      <c r="I99" s="77">
        <f t="shared" si="43"/>
        <v>0.90546347452424802</v>
      </c>
      <c r="J99" s="77">
        <f t="shared" si="43"/>
        <v>1.0052083333333333</v>
      </c>
      <c r="K99" s="77">
        <f t="shared" si="43"/>
        <v>1.0540175557056044</v>
      </c>
      <c r="L99" s="77">
        <f t="shared" si="43"/>
        <v>0.82066703116457085</v>
      </c>
      <c r="M99" s="77">
        <f t="shared" si="43"/>
        <v>0.77777777777777779</v>
      </c>
      <c r="N99" s="77">
        <f t="shared" si="40"/>
        <v>1.0142510915599743</v>
      </c>
      <c r="O99" s="372"/>
    </row>
    <row r="100" spans="1:15" ht="19" customHeight="1" x14ac:dyDescent="0.4">
      <c r="A100" s="73" t="s">
        <v>96</v>
      </c>
      <c r="B100" s="78">
        <v>9275</v>
      </c>
      <c r="C100" s="78">
        <v>10603</v>
      </c>
      <c r="D100" s="78">
        <v>11311</v>
      </c>
      <c r="E100" s="78">
        <v>10603</v>
      </c>
      <c r="F100" s="78">
        <v>8746</v>
      </c>
      <c r="G100" s="78">
        <v>9721</v>
      </c>
      <c r="H100" s="78">
        <v>11771</v>
      </c>
      <c r="I100" s="78">
        <v>11772</v>
      </c>
      <c r="J100" s="78">
        <v>10112</v>
      </c>
      <c r="K100" s="78">
        <v>9616</v>
      </c>
      <c r="L100" s="78">
        <v>10559</v>
      </c>
      <c r="M100" s="78">
        <v>11162</v>
      </c>
      <c r="N100" s="74">
        <f t="shared" si="40"/>
        <v>10437.583333333334</v>
      </c>
      <c r="O100" s="461">
        <f>SUM(B100:M100)</f>
        <v>125251</v>
      </c>
    </row>
    <row r="101" spans="1:15" ht="19" customHeight="1" x14ac:dyDescent="0.4">
      <c r="A101" s="76" t="s">
        <v>112</v>
      </c>
      <c r="B101" s="79">
        <f t="shared" ref="B101:M101" si="44">B100/B64</f>
        <v>0.79010137149672033</v>
      </c>
      <c r="C101" s="79">
        <f t="shared" si="44"/>
        <v>1.5391203367687618</v>
      </c>
      <c r="D101" s="79">
        <f t="shared" si="44"/>
        <v>1.0331567409572524</v>
      </c>
      <c r="E101" s="79">
        <f t="shared" si="44"/>
        <v>1.1541308370523566</v>
      </c>
      <c r="F101" s="79">
        <f t="shared" si="44"/>
        <v>1.2693759071117561</v>
      </c>
      <c r="G101" s="79">
        <f t="shared" si="44"/>
        <v>1.2804267650158061</v>
      </c>
      <c r="H101" s="79">
        <f t="shared" si="44"/>
        <v>1.1970914268280282</v>
      </c>
      <c r="I101" s="79">
        <f t="shared" si="44"/>
        <v>1.3854301518182888</v>
      </c>
      <c r="J101" s="79">
        <f t="shared" si="44"/>
        <v>1.0709595424698157</v>
      </c>
      <c r="K101" s="79">
        <f t="shared" si="44"/>
        <v>1.002815726353113</v>
      </c>
      <c r="L101" s="79">
        <f t="shared" si="44"/>
        <v>0.99585023106667925</v>
      </c>
      <c r="M101" s="79">
        <f t="shared" si="44"/>
        <v>1.0821134270479884</v>
      </c>
      <c r="N101" s="77">
        <f t="shared" si="40"/>
        <v>1.1500477053322138</v>
      </c>
      <c r="O101" s="372"/>
    </row>
    <row r="102" spans="1:15" ht="19" customHeight="1" x14ac:dyDescent="0.4">
      <c r="A102" s="73" t="s">
        <v>97</v>
      </c>
      <c r="B102" s="78">
        <v>1709</v>
      </c>
      <c r="C102" s="78">
        <v>1525</v>
      </c>
      <c r="D102" s="78">
        <v>1965</v>
      </c>
      <c r="E102" s="78">
        <v>1732</v>
      </c>
      <c r="F102" s="75">
        <v>1837</v>
      </c>
      <c r="G102" s="75">
        <v>2052</v>
      </c>
      <c r="H102" s="75">
        <v>1866</v>
      </c>
      <c r="I102" s="75">
        <v>2167</v>
      </c>
      <c r="J102" s="75">
        <v>1911</v>
      </c>
      <c r="K102" s="75">
        <v>1826</v>
      </c>
      <c r="L102" s="78">
        <v>2069</v>
      </c>
      <c r="M102" s="78">
        <v>1891</v>
      </c>
      <c r="N102" s="74">
        <f t="shared" si="40"/>
        <v>1879.1666666666667</v>
      </c>
      <c r="O102" s="461">
        <f>SUM(B102:M102)</f>
        <v>22550</v>
      </c>
    </row>
    <row r="103" spans="1:15" ht="19" customHeight="1" x14ac:dyDescent="0.4">
      <c r="A103" s="76" t="s">
        <v>112</v>
      </c>
      <c r="B103" s="77">
        <f t="shared" ref="B103:M103" si="45">B102/B66</f>
        <v>1.6229819563152896</v>
      </c>
      <c r="C103" s="77">
        <f t="shared" si="45"/>
        <v>1.6522210184182016</v>
      </c>
      <c r="D103" s="77">
        <f t="shared" si="45"/>
        <v>1.470808383233533</v>
      </c>
      <c r="E103" s="77">
        <f t="shared" si="45"/>
        <v>1.3251721499617444</v>
      </c>
      <c r="F103" s="77">
        <f t="shared" si="45"/>
        <v>1.431800467653936</v>
      </c>
      <c r="G103" s="77">
        <f t="shared" si="45"/>
        <v>1.7613733905579398</v>
      </c>
      <c r="H103" s="77">
        <f t="shared" si="45"/>
        <v>1.577345731191885</v>
      </c>
      <c r="I103" s="77">
        <f t="shared" si="45"/>
        <v>1.4986168741355463</v>
      </c>
      <c r="J103" s="77">
        <f t="shared" si="45"/>
        <v>1.599163179916318</v>
      </c>
      <c r="K103" s="77">
        <f t="shared" si="45"/>
        <v>1.3061516452074391</v>
      </c>
      <c r="L103" s="77">
        <f t="shared" si="45"/>
        <v>1.3611842105263159</v>
      </c>
      <c r="M103" s="77">
        <f t="shared" si="45"/>
        <v>1.2327249022164277</v>
      </c>
      <c r="N103" s="77">
        <f t="shared" si="40"/>
        <v>1.4866286591112148</v>
      </c>
      <c r="O103" s="372"/>
    </row>
    <row r="104" spans="1:15" ht="19" customHeight="1" x14ac:dyDescent="0.4">
      <c r="A104" s="73" t="s">
        <v>98</v>
      </c>
      <c r="B104" s="78">
        <v>5531</v>
      </c>
      <c r="C104" s="78">
        <v>4925</v>
      </c>
      <c r="D104" s="78">
        <v>7831</v>
      </c>
      <c r="E104" s="78">
        <v>6525</v>
      </c>
      <c r="F104" s="78">
        <v>6536</v>
      </c>
      <c r="G104" s="78">
        <v>7143</v>
      </c>
      <c r="H104" s="78">
        <v>7571</v>
      </c>
      <c r="I104" s="78">
        <v>8156</v>
      </c>
      <c r="J104" s="78">
        <v>8306</v>
      </c>
      <c r="K104" s="78">
        <v>8009</v>
      </c>
      <c r="L104" s="78">
        <v>8448</v>
      </c>
      <c r="M104" s="78">
        <v>8481</v>
      </c>
      <c r="N104" s="74">
        <f t="shared" si="40"/>
        <v>7288.5</v>
      </c>
      <c r="O104" s="461">
        <f>SUM(B104:M104)</f>
        <v>87462</v>
      </c>
    </row>
    <row r="105" spans="1:15" ht="19" customHeight="1" x14ac:dyDescent="0.4">
      <c r="A105" s="76" t="s">
        <v>25</v>
      </c>
      <c r="B105" s="77">
        <f t="shared" ref="B105:M105" si="46">B104/B68</f>
        <v>1.1546972860125262</v>
      </c>
      <c r="C105" s="77">
        <f t="shared" si="46"/>
        <v>1.3434260774686306</v>
      </c>
      <c r="D105" s="77">
        <f t="shared" si="46"/>
        <v>1.5916666666666666</v>
      </c>
      <c r="E105" s="77">
        <f t="shared" si="46"/>
        <v>1.5692640692640694</v>
      </c>
      <c r="F105" s="77">
        <f t="shared" si="46"/>
        <v>1.3254917866558507</v>
      </c>
      <c r="G105" s="77">
        <f t="shared" si="46"/>
        <v>1.820336391437309</v>
      </c>
      <c r="H105" s="77">
        <f t="shared" si="46"/>
        <v>2.0885517241379312</v>
      </c>
      <c r="I105" s="77">
        <f t="shared" si="46"/>
        <v>1.8209421745925429</v>
      </c>
      <c r="J105" s="77">
        <f t="shared" si="46"/>
        <v>1.6356833398975974</v>
      </c>
      <c r="K105" s="77">
        <f t="shared" si="46"/>
        <v>1.5488300135370334</v>
      </c>
      <c r="L105" s="77">
        <f t="shared" si="46"/>
        <v>1.5183321351545651</v>
      </c>
      <c r="M105" s="77">
        <f t="shared" si="46"/>
        <v>1.357394366197183</v>
      </c>
      <c r="N105" s="77">
        <f t="shared" si="40"/>
        <v>1.5645513359184922</v>
      </c>
      <c r="O105" s="372"/>
    </row>
    <row r="106" spans="1:15" ht="19" customHeight="1" x14ac:dyDescent="0.4">
      <c r="A106" s="73" t="s">
        <v>99</v>
      </c>
      <c r="B106" s="78">
        <v>2024</v>
      </c>
      <c r="C106" s="78">
        <v>1313</v>
      </c>
      <c r="D106" s="78">
        <v>1389</v>
      </c>
      <c r="E106" s="78">
        <v>1449</v>
      </c>
      <c r="F106" s="75">
        <v>1246</v>
      </c>
      <c r="G106" s="75">
        <v>1251</v>
      </c>
      <c r="H106" s="75">
        <v>1697</v>
      </c>
      <c r="I106" s="75">
        <v>1717</v>
      </c>
      <c r="J106" s="75">
        <v>1591</v>
      </c>
      <c r="K106" s="75">
        <v>1596</v>
      </c>
      <c r="L106" s="75">
        <v>1670</v>
      </c>
      <c r="M106" s="75">
        <v>1276</v>
      </c>
      <c r="N106" s="74">
        <f t="shared" si="40"/>
        <v>1518.25</v>
      </c>
      <c r="O106" s="461">
        <f>SUM(B106:M106)</f>
        <v>18219</v>
      </c>
    </row>
    <row r="107" spans="1:15" ht="19" customHeight="1" x14ac:dyDescent="0.4">
      <c r="A107" s="76" t="s">
        <v>112</v>
      </c>
      <c r="B107" s="79">
        <f t="shared" ref="B107:M107" si="47">B106/B70</f>
        <v>0.83636363636363631</v>
      </c>
      <c r="C107" s="79">
        <f t="shared" si="47"/>
        <v>0.91434540389972141</v>
      </c>
      <c r="D107" s="79">
        <f t="shared" si="47"/>
        <v>0.89555125725338491</v>
      </c>
      <c r="E107" s="79">
        <f t="shared" si="47"/>
        <v>1.0709534368070954</v>
      </c>
      <c r="F107" s="79">
        <f t="shared" si="47"/>
        <v>0.80231809401159049</v>
      </c>
      <c r="G107" s="79">
        <f t="shared" si="47"/>
        <v>0.97734374999999996</v>
      </c>
      <c r="H107" s="79">
        <f t="shared" si="47"/>
        <v>1.0229053646775166</v>
      </c>
      <c r="I107" s="79">
        <f t="shared" si="47"/>
        <v>0.81761904761904758</v>
      </c>
      <c r="J107" s="79">
        <f t="shared" si="47"/>
        <v>0.95098625224148237</v>
      </c>
      <c r="K107" s="79">
        <f t="shared" si="47"/>
        <v>0.82737169517884912</v>
      </c>
      <c r="L107" s="79">
        <f t="shared" si="47"/>
        <v>0.87572102779234395</v>
      </c>
      <c r="M107" s="79">
        <f t="shared" si="47"/>
        <v>0.71685393258426966</v>
      </c>
      <c r="N107" s="77">
        <f t="shared" si="40"/>
        <v>0.89236107486907812</v>
      </c>
      <c r="O107" s="372"/>
    </row>
    <row r="108" spans="1:15" ht="19" customHeight="1" x14ac:dyDescent="0.4">
      <c r="A108" s="73" t="s">
        <v>117</v>
      </c>
      <c r="B108" s="120"/>
      <c r="C108" s="120"/>
      <c r="D108" s="120"/>
      <c r="E108" s="120"/>
      <c r="F108" s="120"/>
      <c r="G108" s="120"/>
      <c r="H108" s="120"/>
      <c r="I108" s="75">
        <v>570</v>
      </c>
      <c r="J108" s="75">
        <v>869</v>
      </c>
      <c r="K108" s="75">
        <v>757</v>
      </c>
      <c r="L108" s="75">
        <v>697</v>
      </c>
      <c r="M108" s="75">
        <v>626</v>
      </c>
      <c r="N108" s="74">
        <f t="shared" si="40"/>
        <v>703.8</v>
      </c>
      <c r="O108" s="461">
        <f>SUM(B108:M108)</f>
        <v>3519</v>
      </c>
    </row>
    <row r="109" spans="1:15" ht="19" customHeight="1" x14ac:dyDescent="0.4">
      <c r="A109" s="76" t="s">
        <v>25</v>
      </c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372"/>
    </row>
    <row r="110" spans="1:15" ht="19" customHeight="1" x14ac:dyDescent="0.4">
      <c r="A110" s="80" t="s">
        <v>100</v>
      </c>
      <c r="B110" s="81">
        <f t="shared" ref="B110:N110" si="48">B94+B96+B98+B100+B102+B104+B106+B108</f>
        <v>391055</v>
      </c>
      <c r="C110" s="81">
        <f t="shared" si="48"/>
        <v>298027</v>
      </c>
      <c r="D110" s="81">
        <f t="shared" si="48"/>
        <v>417338</v>
      </c>
      <c r="E110" s="81">
        <f t="shared" si="48"/>
        <v>348259</v>
      </c>
      <c r="F110" s="81">
        <f t="shared" si="48"/>
        <v>334101</v>
      </c>
      <c r="G110" s="81">
        <f t="shared" si="48"/>
        <v>355201</v>
      </c>
      <c r="H110" s="81">
        <f t="shared" si="48"/>
        <v>393198</v>
      </c>
      <c r="I110" s="81">
        <f t="shared" si="48"/>
        <v>425312</v>
      </c>
      <c r="J110" s="81">
        <f t="shared" si="48"/>
        <v>372937</v>
      </c>
      <c r="K110" s="81">
        <f t="shared" si="48"/>
        <v>375261</v>
      </c>
      <c r="L110" s="81">
        <f t="shared" si="48"/>
        <v>412366</v>
      </c>
      <c r="M110" s="81">
        <f t="shared" si="48"/>
        <v>451836</v>
      </c>
      <c r="N110" s="81">
        <f t="shared" si="48"/>
        <v>381651.46666666667</v>
      </c>
      <c r="O110" s="460">
        <f>SUM(B110:M110)</f>
        <v>4574891</v>
      </c>
    </row>
    <row r="111" spans="1:15" ht="19" customHeight="1" x14ac:dyDescent="0.4">
      <c r="A111" s="83" t="s">
        <v>112</v>
      </c>
      <c r="B111" s="84">
        <f t="shared" ref="B111:N111" si="49">B110/B72</f>
        <v>0.89878485749023773</v>
      </c>
      <c r="C111" s="84">
        <f t="shared" si="49"/>
        <v>0.99827829343373276</v>
      </c>
      <c r="D111" s="84">
        <f t="shared" si="49"/>
        <v>1.0554857245465972</v>
      </c>
      <c r="E111" s="84">
        <f t="shared" si="49"/>
        <v>1.0150127656597923</v>
      </c>
      <c r="F111" s="84">
        <f t="shared" si="49"/>
        <v>1.0264302699248535</v>
      </c>
      <c r="G111" s="84">
        <f t="shared" si="49"/>
        <v>1.2299288776238062</v>
      </c>
      <c r="H111" s="84">
        <f t="shared" si="49"/>
        <v>1.1330603447033769</v>
      </c>
      <c r="I111" s="84">
        <f t="shared" si="49"/>
        <v>1.178221387452975</v>
      </c>
      <c r="J111" s="84">
        <f t="shared" si="49"/>
        <v>1.0631073634759507</v>
      </c>
      <c r="K111" s="84">
        <f t="shared" si="49"/>
        <v>1.0700159107628613</v>
      </c>
      <c r="L111" s="84">
        <f t="shared" si="49"/>
        <v>1.0834971149904884</v>
      </c>
      <c r="M111" s="84">
        <f t="shared" si="49"/>
        <v>1.1440681828540176</v>
      </c>
      <c r="N111" s="84">
        <f t="shared" si="49"/>
        <v>1.0721879522009876</v>
      </c>
      <c r="O111" s="372"/>
    </row>
    <row r="112" spans="1:15" ht="19" customHeight="1" x14ac:dyDescent="0.3">
      <c r="A112" s="85" t="s">
        <v>113</v>
      </c>
      <c r="B112" s="86"/>
      <c r="C112" s="87"/>
      <c r="D112" s="87"/>
      <c r="E112" s="87"/>
      <c r="F112" s="88"/>
      <c r="G112" s="88"/>
      <c r="H112" s="87"/>
      <c r="I112" s="87"/>
      <c r="J112" s="87"/>
      <c r="K112" s="87"/>
      <c r="L112" s="87"/>
      <c r="M112" s="87"/>
      <c r="N112" s="69"/>
      <c r="O112" s="69"/>
    </row>
    <row r="113" spans="1:15" ht="19" customHeight="1" x14ac:dyDescent="0.4">
      <c r="A113" s="73" t="s">
        <v>101</v>
      </c>
      <c r="B113" s="78">
        <v>2455131</v>
      </c>
      <c r="C113" s="78">
        <v>1607132</v>
      </c>
      <c r="D113" s="78">
        <v>2522833</v>
      </c>
      <c r="E113" s="78">
        <v>2522833</v>
      </c>
      <c r="F113" s="78">
        <v>1949683</v>
      </c>
      <c r="G113" s="78">
        <v>2245711</v>
      </c>
      <c r="H113" s="78">
        <v>2326625</v>
      </c>
      <c r="I113" s="78">
        <v>2301552</v>
      </c>
      <c r="J113" s="78">
        <v>2156186</v>
      </c>
      <c r="K113" s="78">
        <v>2214868</v>
      </c>
      <c r="L113" s="78">
        <v>2382846</v>
      </c>
      <c r="M113" s="78">
        <v>2753224</v>
      </c>
      <c r="N113" s="74">
        <f>AVERAGE(B113:M113)</f>
        <v>2286552</v>
      </c>
      <c r="O113" s="462">
        <f>SUM(B113:M113)</f>
        <v>27438624</v>
      </c>
    </row>
    <row r="114" spans="1:15" ht="19" customHeight="1" x14ac:dyDescent="0.4">
      <c r="A114" s="76" t="s">
        <v>25</v>
      </c>
      <c r="B114" s="77">
        <f t="shared" ref="B114:M114" si="50">B113/B75</f>
        <v>1.0147869929022435</v>
      </c>
      <c r="C114" s="77">
        <f t="shared" si="50"/>
        <v>0.89550179642853955</v>
      </c>
      <c r="D114" s="77">
        <f t="shared" si="50"/>
        <v>1.0959542579316415</v>
      </c>
      <c r="E114" s="77">
        <f t="shared" si="50"/>
        <v>1.2375533770078462</v>
      </c>
      <c r="F114" s="77">
        <f t="shared" si="50"/>
        <v>1.0021645132903481</v>
      </c>
      <c r="G114" s="77">
        <f t="shared" si="50"/>
        <v>1.2365201409131605</v>
      </c>
      <c r="H114" s="77">
        <f t="shared" si="50"/>
        <v>0.97737312685466171</v>
      </c>
      <c r="I114" s="77">
        <f t="shared" si="50"/>
        <v>1.1126655363806579</v>
      </c>
      <c r="J114" s="77">
        <f t="shared" si="50"/>
        <v>1.0476849908262587</v>
      </c>
      <c r="K114" s="77">
        <f t="shared" si="50"/>
        <v>1.0270560778216395</v>
      </c>
      <c r="L114" s="77">
        <f t="shared" si="50"/>
        <v>1.0613119875431423</v>
      </c>
      <c r="M114" s="77">
        <f t="shared" si="50"/>
        <v>1.1410128203268592</v>
      </c>
      <c r="N114" s="77">
        <f>AVERAGE(B114:M114)</f>
        <v>1.0707988015189167</v>
      </c>
      <c r="O114" s="372"/>
    </row>
    <row r="115" spans="1:15" ht="19" customHeight="1" x14ac:dyDescent="0.4">
      <c r="A115" s="73" t="s">
        <v>118</v>
      </c>
      <c r="B115" s="78">
        <v>111451</v>
      </c>
      <c r="C115" s="78">
        <v>52723</v>
      </c>
      <c r="D115" s="78">
        <v>76924</v>
      </c>
      <c r="E115" s="78">
        <v>75213</v>
      </c>
      <c r="F115" s="78">
        <v>153068</v>
      </c>
      <c r="G115" s="78">
        <v>126303</v>
      </c>
      <c r="H115" s="78">
        <v>146915</v>
      </c>
      <c r="I115" s="78">
        <v>264164</v>
      </c>
      <c r="J115" s="78">
        <v>185060</v>
      </c>
      <c r="K115" s="78">
        <v>190835</v>
      </c>
      <c r="L115" s="78">
        <v>216120</v>
      </c>
      <c r="M115" s="78">
        <v>268131</v>
      </c>
      <c r="N115" s="74">
        <f>AVERAGE(B115:M115)</f>
        <v>155575.58333333334</v>
      </c>
      <c r="O115" s="462">
        <f>SUM(B115:M115)</f>
        <v>1866907</v>
      </c>
    </row>
    <row r="116" spans="1:15" ht="19" customHeight="1" x14ac:dyDescent="0.4">
      <c r="A116" s="76" t="s">
        <v>25</v>
      </c>
      <c r="B116" s="104">
        <f t="shared" ref="B116:M116" si="51">B115/B77</f>
        <v>0.79259117027934234</v>
      </c>
      <c r="C116" s="104">
        <f t="shared" si="51"/>
        <v>0.84543471986145413</v>
      </c>
      <c r="D116" s="104">
        <f t="shared" si="51"/>
        <v>0.92721969094284129</v>
      </c>
      <c r="E116" s="104">
        <f t="shared" si="51"/>
        <v>0.54627262427006773</v>
      </c>
      <c r="F116" s="104">
        <f t="shared" si="51"/>
        <v>0.96303100463056168</v>
      </c>
      <c r="G116" s="104">
        <f t="shared" si="51"/>
        <v>0.80999807605977037</v>
      </c>
      <c r="H116" s="104">
        <f t="shared" si="51"/>
        <v>1.0277010247980134</v>
      </c>
      <c r="I116" s="104">
        <f t="shared" si="51"/>
        <v>2.2797718191468244</v>
      </c>
      <c r="J116" s="104">
        <f t="shared" si="51"/>
        <v>1.3162911118698077</v>
      </c>
      <c r="K116" s="104">
        <f t="shared" si="51"/>
        <v>2.684716243212065</v>
      </c>
      <c r="L116" s="104">
        <f t="shared" si="51"/>
        <v>3.0229110135116235</v>
      </c>
      <c r="M116" s="104">
        <f t="shared" si="51"/>
        <v>2.490211193045675</v>
      </c>
      <c r="N116" s="77">
        <f>AVERAGE(B116:M116)</f>
        <v>1.4755124743023371</v>
      </c>
      <c r="O116" s="372"/>
    </row>
    <row r="117" spans="1:15" ht="19" customHeight="1" x14ac:dyDescent="0.4">
      <c r="A117" s="102" t="s">
        <v>103</v>
      </c>
      <c r="B117" s="113">
        <v>5533</v>
      </c>
      <c r="C117" s="103">
        <v>4702</v>
      </c>
      <c r="D117" s="78">
        <v>7717</v>
      </c>
      <c r="E117" s="74">
        <v>5992</v>
      </c>
      <c r="F117" s="74">
        <v>5942</v>
      </c>
      <c r="G117" s="78">
        <v>6422</v>
      </c>
      <c r="H117" s="78">
        <v>5470</v>
      </c>
      <c r="I117" s="78">
        <v>5902</v>
      </c>
      <c r="J117" s="78">
        <v>4992</v>
      </c>
      <c r="K117" s="78">
        <v>6348</v>
      </c>
      <c r="L117" s="78">
        <v>5023</v>
      </c>
      <c r="M117" s="78">
        <v>3826</v>
      </c>
      <c r="N117" s="74">
        <f>AVERAGE(B117:M117)</f>
        <v>5655.75</v>
      </c>
      <c r="O117" s="461">
        <f>SUM(B117:M117)</f>
        <v>67869</v>
      </c>
    </row>
    <row r="118" spans="1:15" ht="19" customHeight="1" x14ac:dyDescent="0.4">
      <c r="A118" s="105" t="s">
        <v>25</v>
      </c>
      <c r="B118" s="77">
        <f t="shared" ref="B118:M118" si="52">B117/B79</f>
        <v>1.5238226383916276</v>
      </c>
      <c r="C118" s="77">
        <f t="shared" si="52"/>
        <v>1.0507262569832403</v>
      </c>
      <c r="D118" s="77">
        <f t="shared" si="52"/>
        <v>1.4443196705970429</v>
      </c>
      <c r="E118" s="77">
        <f t="shared" si="52"/>
        <v>1.1367861885790174</v>
      </c>
      <c r="F118" s="77">
        <f t="shared" si="52"/>
        <v>1.2389491242702251</v>
      </c>
      <c r="G118" s="77">
        <f t="shared" si="52"/>
        <v>1.0555555555555556</v>
      </c>
      <c r="H118" s="77">
        <f t="shared" si="52"/>
        <v>1.0907278165503489</v>
      </c>
      <c r="I118" s="77">
        <f t="shared" si="52"/>
        <v>0.94704749679075739</v>
      </c>
      <c r="J118" s="77">
        <f t="shared" si="52"/>
        <v>1.1120516818890622</v>
      </c>
      <c r="K118" s="77">
        <f t="shared" si="52"/>
        <v>1.0546602425652101</v>
      </c>
      <c r="L118" s="77">
        <f t="shared" si="52"/>
        <v>0.75104665071770338</v>
      </c>
      <c r="M118" s="77">
        <f t="shared" si="52"/>
        <v>0.67016990716412683</v>
      </c>
      <c r="N118" s="77">
        <f>AVERAGE(C118:M118)</f>
        <v>1.0501855083329354</v>
      </c>
      <c r="O118" s="372"/>
    </row>
    <row r="119" spans="1:15" ht="19" customHeight="1" x14ac:dyDescent="0.4">
      <c r="A119" s="73" t="s">
        <v>104</v>
      </c>
      <c r="B119" s="106">
        <v>134206</v>
      </c>
      <c r="C119" s="78">
        <v>105544</v>
      </c>
      <c r="D119" s="78">
        <v>109349</v>
      </c>
      <c r="E119" s="78">
        <v>136510</v>
      </c>
      <c r="F119" s="78">
        <v>102905</v>
      </c>
      <c r="G119" s="78">
        <v>98470</v>
      </c>
      <c r="H119" s="78">
        <v>126224</v>
      </c>
      <c r="I119" s="78">
        <v>105049</v>
      </c>
      <c r="J119" s="78">
        <v>95866</v>
      </c>
      <c r="K119" s="78">
        <v>84328</v>
      </c>
      <c r="L119" s="78">
        <v>116207</v>
      </c>
      <c r="M119" s="78">
        <v>129648</v>
      </c>
      <c r="N119" s="74">
        <f>AVERAGE(B119:M119)</f>
        <v>112025.5</v>
      </c>
      <c r="O119" s="461">
        <f>SUM(B119:M119)</f>
        <v>1344306</v>
      </c>
    </row>
    <row r="120" spans="1:15" ht="19" customHeight="1" x14ac:dyDescent="0.4">
      <c r="A120" s="76" t="s">
        <v>25</v>
      </c>
      <c r="B120" s="79">
        <f t="shared" ref="B120:N120" si="53">B119/B81</f>
        <v>0.86909726719336877</v>
      </c>
      <c r="C120" s="79">
        <f t="shared" si="53"/>
        <v>1.5627813314380479</v>
      </c>
      <c r="D120" s="79">
        <f t="shared" si="53"/>
        <v>1.1527651858567542</v>
      </c>
      <c r="E120" s="79">
        <f t="shared" si="53"/>
        <v>1.3437213926430491</v>
      </c>
      <c r="F120" s="79">
        <f t="shared" si="53"/>
        <v>1.5237058753849799</v>
      </c>
      <c r="G120" s="79">
        <f t="shared" si="53"/>
        <v>1.0771283868780013</v>
      </c>
      <c r="H120" s="79">
        <f t="shared" si="53"/>
        <v>1.0941842422351096</v>
      </c>
      <c r="I120" s="79">
        <f t="shared" si="53"/>
        <v>1.1544353597960351</v>
      </c>
      <c r="J120" s="79">
        <f t="shared" si="53"/>
        <v>1.2354025180736865</v>
      </c>
      <c r="K120" s="79">
        <f t="shared" si="53"/>
        <v>0.58241189024179685</v>
      </c>
      <c r="L120" s="79">
        <f t="shared" si="53"/>
        <v>1.0147753569401388</v>
      </c>
      <c r="M120" s="79">
        <f t="shared" si="53"/>
        <v>0.85826636126520939</v>
      </c>
      <c r="N120" s="77">
        <f t="shared" si="53"/>
        <v>1.0571119418594959</v>
      </c>
      <c r="O120" s="372"/>
    </row>
    <row r="121" spans="1:15" ht="19" customHeight="1" x14ac:dyDescent="0.4">
      <c r="A121" s="73" t="s">
        <v>105</v>
      </c>
      <c r="B121" s="78">
        <v>14290</v>
      </c>
      <c r="C121" s="78">
        <v>13756</v>
      </c>
      <c r="D121" s="78">
        <v>19300</v>
      </c>
      <c r="E121" s="78">
        <v>17906</v>
      </c>
      <c r="F121" s="78">
        <v>17535</v>
      </c>
      <c r="G121" s="78">
        <v>20115</v>
      </c>
      <c r="H121" s="78">
        <v>18207</v>
      </c>
      <c r="I121" s="78">
        <v>21728</v>
      </c>
      <c r="J121" s="78">
        <v>19768</v>
      </c>
      <c r="K121" s="78">
        <v>18739</v>
      </c>
      <c r="L121" s="78">
        <v>21815</v>
      </c>
      <c r="M121" s="78">
        <v>18412</v>
      </c>
      <c r="N121" s="74">
        <f>AVERAGE(B121:M121)</f>
        <v>18464.25</v>
      </c>
      <c r="O121" s="461">
        <f>SUM(B121:M121)</f>
        <v>221571</v>
      </c>
    </row>
    <row r="122" spans="1:15" ht="19" customHeight="1" x14ac:dyDescent="0.4">
      <c r="A122" s="76" t="s">
        <v>25</v>
      </c>
      <c r="B122" s="79">
        <f t="shared" ref="B122:N122" si="54">B121/B83</f>
        <v>1.2925108538350216</v>
      </c>
      <c r="C122" s="79">
        <f t="shared" si="54"/>
        <v>1.3659020951246152</v>
      </c>
      <c r="D122" s="79">
        <f t="shared" si="54"/>
        <v>1.5230429292929293</v>
      </c>
      <c r="E122" s="79">
        <f t="shared" si="54"/>
        <v>1.1803559657218194</v>
      </c>
      <c r="F122" s="79">
        <f t="shared" si="54"/>
        <v>1.1582667283175903</v>
      </c>
      <c r="G122" s="79">
        <f t="shared" si="54"/>
        <v>1.7316632231404958</v>
      </c>
      <c r="H122" s="79">
        <f t="shared" si="54"/>
        <v>1.3081620922546342</v>
      </c>
      <c r="I122" s="79">
        <f t="shared" si="54"/>
        <v>1.5732387227572224</v>
      </c>
      <c r="J122" s="79">
        <f t="shared" si="54"/>
        <v>1.4793085385018334</v>
      </c>
      <c r="K122" s="79">
        <f t="shared" si="54"/>
        <v>1.3152021336327906</v>
      </c>
      <c r="L122" s="79">
        <f t="shared" si="54"/>
        <v>1.5084359009818835</v>
      </c>
      <c r="M122" s="79">
        <f t="shared" si="54"/>
        <v>1.3763923151678255</v>
      </c>
      <c r="N122" s="79">
        <f t="shared" si="54"/>
        <v>1.3943789607496397</v>
      </c>
      <c r="O122" s="372"/>
    </row>
    <row r="123" spans="1:15" ht="19" customHeight="1" x14ac:dyDescent="0.4">
      <c r="A123" s="73" t="s">
        <v>106</v>
      </c>
      <c r="B123" s="78">
        <v>8683</v>
      </c>
      <c r="C123" s="78">
        <v>9218</v>
      </c>
      <c r="D123" s="78">
        <v>12133</v>
      </c>
      <c r="E123" s="78">
        <v>10814</v>
      </c>
      <c r="F123" s="78">
        <v>11019</v>
      </c>
      <c r="G123" s="78">
        <v>11677</v>
      </c>
      <c r="H123" s="78">
        <v>12231</v>
      </c>
      <c r="I123" s="78">
        <v>13497</v>
      </c>
      <c r="J123" s="78">
        <v>13045</v>
      </c>
      <c r="K123" s="78">
        <v>12980</v>
      </c>
      <c r="L123" s="78">
        <v>13487</v>
      </c>
      <c r="M123" s="78">
        <v>13112</v>
      </c>
      <c r="N123" s="74">
        <f>AVERAGE(B123:M123)</f>
        <v>11824.666666666666</v>
      </c>
      <c r="O123" s="461">
        <f>SUM(B123:M123)</f>
        <v>141896</v>
      </c>
    </row>
    <row r="124" spans="1:15" ht="19" customHeight="1" x14ac:dyDescent="0.4">
      <c r="A124" s="76" t="s">
        <v>25</v>
      </c>
      <c r="B124" s="79">
        <f t="shared" ref="B124:M124" si="55">B123/B85</f>
        <v>1.1678547410894418</v>
      </c>
      <c r="C124" s="79">
        <f t="shared" si="55"/>
        <v>1.5621081172682596</v>
      </c>
      <c r="D124" s="79">
        <f t="shared" si="55"/>
        <v>1.4103219807044054</v>
      </c>
      <c r="E124" s="79">
        <f t="shared" si="55"/>
        <v>1.683112840466926</v>
      </c>
      <c r="F124" s="79">
        <f t="shared" si="55"/>
        <v>1.4392633228840126</v>
      </c>
      <c r="G124" s="79">
        <f t="shared" si="55"/>
        <v>1.8585070826038517</v>
      </c>
      <c r="H124" s="79">
        <f t="shared" si="55"/>
        <v>2.0914842681258552</v>
      </c>
      <c r="I124" s="79">
        <f t="shared" si="55"/>
        <v>1.6890251532974596</v>
      </c>
      <c r="J124" s="79">
        <f t="shared" si="55"/>
        <v>1.628792608315645</v>
      </c>
      <c r="K124" s="79">
        <f t="shared" si="55"/>
        <v>1.4907545652922936</v>
      </c>
      <c r="L124" s="79">
        <f t="shared" si="55"/>
        <v>1.4081227813739821</v>
      </c>
      <c r="M124" s="79">
        <f t="shared" si="55"/>
        <v>2.0985915492957745</v>
      </c>
      <c r="N124" s="77">
        <f>AVERAGE(C124:M124)</f>
        <v>1.6690985699662242</v>
      </c>
      <c r="O124" s="372"/>
    </row>
    <row r="125" spans="1:15" ht="19" customHeight="1" x14ac:dyDescent="0.4">
      <c r="A125" s="73" t="s">
        <v>107</v>
      </c>
      <c r="B125" s="78">
        <v>10867</v>
      </c>
      <c r="C125" s="78">
        <v>7840</v>
      </c>
      <c r="D125" s="78">
        <v>6927</v>
      </c>
      <c r="E125" s="78">
        <v>7393</v>
      </c>
      <c r="F125" s="78">
        <v>5997</v>
      </c>
      <c r="G125" s="78">
        <v>5481</v>
      </c>
      <c r="H125" s="78">
        <v>8457</v>
      </c>
      <c r="I125" s="78">
        <v>8011</v>
      </c>
      <c r="J125" s="78">
        <v>7648</v>
      </c>
      <c r="K125" s="78">
        <v>7982</v>
      </c>
      <c r="L125" s="78">
        <v>8433</v>
      </c>
      <c r="M125" s="78">
        <v>9193</v>
      </c>
      <c r="N125" s="74">
        <f>AVERAGE(B125:M125)</f>
        <v>7852.416666666667</v>
      </c>
      <c r="O125" s="461">
        <f>SUM(B125:M125)</f>
        <v>94229</v>
      </c>
    </row>
    <row r="126" spans="1:15" ht="19" customHeight="1" x14ac:dyDescent="0.4">
      <c r="A126" s="76" t="s">
        <v>25</v>
      </c>
      <c r="B126" s="79">
        <f t="shared" ref="B126:M126" si="56">B125/B87</f>
        <v>0.77356207289293855</v>
      </c>
      <c r="C126" s="79">
        <f t="shared" si="56"/>
        <v>0.97706879361914256</v>
      </c>
      <c r="D126" s="79">
        <f t="shared" si="56"/>
        <v>0.87373864783047428</v>
      </c>
      <c r="E126" s="79">
        <f t="shared" si="56"/>
        <v>0.54496535456287776</v>
      </c>
      <c r="F126" s="79">
        <f t="shared" si="56"/>
        <v>0.77570818781528905</v>
      </c>
      <c r="G126" s="79">
        <f t="shared" si="56"/>
        <v>1.0587212671431332</v>
      </c>
      <c r="H126" s="79">
        <f t="shared" si="56"/>
        <v>1.3067058096415327</v>
      </c>
      <c r="I126" s="79">
        <f t="shared" si="56"/>
        <v>0.77043662242738986</v>
      </c>
      <c r="J126" s="79">
        <f t="shared" si="56"/>
        <v>0.93393576749297835</v>
      </c>
      <c r="K126" s="79">
        <f t="shared" si="56"/>
        <v>0.81490556406329762</v>
      </c>
      <c r="L126" s="79">
        <f t="shared" si="56"/>
        <v>0.90057667663391716</v>
      </c>
      <c r="M126" s="79">
        <f t="shared" si="56"/>
        <v>1.0236053891548826</v>
      </c>
      <c r="N126" s="77">
        <f>AVERAGE(C126:M126)</f>
        <v>0.90730618912590133</v>
      </c>
      <c r="O126" s="372"/>
    </row>
    <row r="127" spans="1:15" ht="19" customHeight="1" x14ac:dyDescent="0.4">
      <c r="A127" s="73" t="s">
        <v>119</v>
      </c>
      <c r="B127" s="121"/>
      <c r="C127" s="121"/>
      <c r="D127" s="121"/>
      <c r="E127" s="121"/>
      <c r="F127" s="121"/>
      <c r="G127" s="121"/>
      <c r="H127" s="121"/>
      <c r="I127" s="78">
        <v>2696</v>
      </c>
      <c r="J127" s="78">
        <v>4255</v>
      </c>
      <c r="K127" s="78">
        <v>4066</v>
      </c>
      <c r="L127" s="78">
        <v>3803</v>
      </c>
      <c r="M127" s="78">
        <v>3487</v>
      </c>
      <c r="N127" s="74">
        <f>AVERAGE(B127:M127)</f>
        <v>3661.4</v>
      </c>
      <c r="O127" s="461">
        <f>SUM(B127:M127)</f>
        <v>18307</v>
      </c>
    </row>
    <row r="128" spans="1:15" ht="19" customHeight="1" x14ac:dyDescent="0.4">
      <c r="A128" s="76" t="s">
        <v>25</v>
      </c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372"/>
    </row>
    <row r="129" spans="1:15" ht="19" customHeight="1" x14ac:dyDescent="0.4">
      <c r="A129" s="80" t="s">
        <v>108</v>
      </c>
      <c r="B129" s="82">
        <f>B113+B115+B117+B119+B121+B123+B125+B127</f>
        <v>2740161</v>
      </c>
      <c r="C129" s="82">
        <f t="shared" ref="C129:M129" si="57">C113+C115+C117+C119+C121+C123+C125</f>
        <v>1800915</v>
      </c>
      <c r="D129" s="82">
        <f t="shared" si="57"/>
        <v>2755183</v>
      </c>
      <c r="E129" s="82">
        <f t="shared" si="57"/>
        <v>2776661</v>
      </c>
      <c r="F129" s="82">
        <f t="shared" si="57"/>
        <v>2246149</v>
      </c>
      <c r="G129" s="82">
        <f t="shared" si="57"/>
        <v>2514179</v>
      </c>
      <c r="H129" s="82">
        <f t="shared" si="57"/>
        <v>2644129</v>
      </c>
      <c r="I129" s="82">
        <f t="shared" si="57"/>
        <v>2719903</v>
      </c>
      <c r="J129" s="82">
        <f t="shared" si="57"/>
        <v>2482565</v>
      </c>
      <c r="K129" s="82">
        <f t="shared" si="57"/>
        <v>2536080</v>
      </c>
      <c r="L129" s="82">
        <f t="shared" si="57"/>
        <v>2763931</v>
      </c>
      <c r="M129" s="82">
        <f t="shared" si="57"/>
        <v>3195546</v>
      </c>
      <c r="N129" s="82">
        <f>AVERAGEA(B129:M129)</f>
        <v>2597950.1666666665</v>
      </c>
      <c r="O129" s="460">
        <f>SUM(B129:M129)</f>
        <v>31175402</v>
      </c>
    </row>
    <row r="130" spans="1:15" ht="19" customHeight="1" x14ac:dyDescent="0.4">
      <c r="A130" s="83" t="s">
        <v>112</v>
      </c>
      <c r="B130" s="84">
        <f t="shared" ref="B130:M130" si="58">B129/B89</f>
        <v>0.99621859096431931</v>
      </c>
      <c r="C130" s="84">
        <f t="shared" si="58"/>
        <v>0.92210813802680025</v>
      </c>
      <c r="D130" s="84">
        <f t="shared" si="58"/>
        <v>1.0957977852434677</v>
      </c>
      <c r="E130" s="84">
        <f t="shared" si="58"/>
        <v>1.1977287393368854</v>
      </c>
      <c r="F130" s="84">
        <f t="shared" si="58"/>
        <v>1.0176122221346331</v>
      </c>
      <c r="G130" s="84">
        <f t="shared" si="58"/>
        <v>1.2014256476078566</v>
      </c>
      <c r="H130" s="84">
        <f t="shared" si="58"/>
        <v>0.99029008765737037</v>
      </c>
      <c r="I130" s="84">
        <f t="shared" si="58"/>
        <v>1.175511408917955</v>
      </c>
      <c r="J130" s="84">
        <f t="shared" si="58"/>
        <v>1.0745690257798917</v>
      </c>
      <c r="K130" s="84">
        <f t="shared" si="58"/>
        <v>1.0518077790676117</v>
      </c>
      <c r="L130" s="84">
        <f t="shared" si="58"/>
        <v>1.1184162927054291</v>
      </c>
      <c r="M130" s="84">
        <f t="shared" si="58"/>
        <v>1.1809060713699717</v>
      </c>
      <c r="N130" s="101">
        <f>AVERAGE(B130:M130)</f>
        <v>1.0851993157343494</v>
      </c>
      <c r="O130" s="372"/>
    </row>
    <row r="132" spans="1:15" ht="19" customHeight="1" thickBot="1" x14ac:dyDescent="0.45">
      <c r="A132" s="1" t="s">
        <v>109</v>
      </c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69"/>
      <c r="O132" s="69"/>
    </row>
    <row r="133" spans="1:15" ht="19" customHeight="1" x14ac:dyDescent="0.4">
      <c r="A133" s="146" t="s">
        <v>120</v>
      </c>
      <c r="B133" s="137" t="s">
        <v>4</v>
      </c>
      <c r="C133" s="137" t="s">
        <v>5</v>
      </c>
      <c r="D133" s="137" t="s">
        <v>6</v>
      </c>
      <c r="E133" s="137" t="s">
        <v>7</v>
      </c>
      <c r="F133" s="137" t="s">
        <v>8</v>
      </c>
      <c r="G133" s="137" t="s">
        <v>9</v>
      </c>
      <c r="H133" s="137" t="s">
        <v>10</v>
      </c>
      <c r="I133" s="137" t="s">
        <v>11</v>
      </c>
      <c r="J133" s="137" t="s">
        <v>12</v>
      </c>
      <c r="K133" s="137" t="s">
        <v>13</v>
      </c>
      <c r="L133" s="137" t="s">
        <v>14</v>
      </c>
      <c r="M133" s="137" t="s">
        <v>15</v>
      </c>
      <c r="N133" s="137" t="s">
        <v>111</v>
      </c>
      <c r="O133" s="147" t="s">
        <v>67</v>
      </c>
    </row>
    <row r="134" spans="1:15" ht="19" customHeight="1" x14ac:dyDescent="0.4">
      <c r="A134" s="148" t="s">
        <v>93</v>
      </c>
      <c r="B134" s="74">
        <v>296714</v>
      </c>
      <c r="C134" s="74">
        <v>341523</v>
      </c>
      <c r="D134" s="74">
        <v>404181</v>
      </c>
      <c r="E134" s="74">
        <v>308917</v>
      </c>
      <c r="F134" s="75">
        <v>357391</v>
      </c>
      <c r="G134" s="75">
        <v>338152</v>
      </c>
      <c r="H134" s="75">
        <v>368026</v>
      </c>
      <c r="I134" s="75">
        <v>384126</v>
      </c>
      <c r="J134" s="75">
        <v>342972</v>
      </c>
      <c r="K134" s="75">
        <v>361646</v>
      </c>
      <c r="L134" s="75">
        <v>381435</v>
      </c>
      <c r="M134" s="75">
        <v>388607</v>
      </c>
      <c r="N134" s="74">
        <f t="shared" ref="N134:N149" si="59">AVERAGE(B134:M134)</f>
        <v>356140.83333333331</v>
      </c>
      <c r="O134" s="455">
        <f>SUM(B134:M134)</f>
        <v>4273690</v>
      </c>
    </row>
    <row r="135" spans="1:15" ht="19" customHeight="1" x14ac:dyDescent="0.4">
      <c r="A135" s="149" t="s">
        <v>112</v>
      </c>
      <c r="B135" s="77">
        <f t="shared" ref="B135:M135" si="60">B134/B94</f>
        <v>0.81299970955880341</v>
      </c>
      <c r="C135" s="77">
        <f t="shared" si="60"/>
        <v>1.2413736701112617</v>
      </c>
      <c r="D135" s="77">
        <f t="shared" si="60"/>
        <v>1.0449380686092777</v>
      </c>
      <c r="E135" s="77">
        <f t="shared" si="60"/>
        <v>0.96467829171715158</v>
      </c>
      <c r="F135" s="77">
        <f t="shared" si="60"/>
        <v>1.1691479791288417</v>
      </c>
      <c r="G135" s="77">
        <f t="shared" si="60"/>
        <v>1.0378077113122366</v>
      </c>
      <c r="H135" s="77">
        <f t="shared" si="60"/>
        <v>1.0207321571705528</v>
      </c>
      <c r="I135" s="77">
        <f t="shared" si="60"/>
        <v>0.98559552522194283</v>
      </c>
      <c r="J135" s="77">
        <f t="shared" si="60"/>
        <v>1.011355828745492</v>
      </c>
      <c r="K135" s="77">
        <f t="shared" si="60"/>
        <v>1.0567924467652998</v>
      </c>
      <c r="L135" s="77">
        <f t="shared" si="60"/>
        <v>1.0187302028192788</v>
      </c>
      <c r="M135" s="77">
        <f t="shared" si="60"/>
        <v>0.93881845327251823</v>
      </c>
      <c r="N135" s="77">
        <f t="shared" si="59"/>
        <v>1.0252475037027213</v>
      </c>
      <c r="O135" s="454"/>
    </row>
    <row r="136" spans="1:15" ht="19" customHeight="1" x14ac:dyDescent="0.4">
      <c r="A136" s="148" t="s">
        <v>116</v>
      </c>
      <c r="B136" s="78">
        <v>9702</v>
      </c>
      <c r="C136" s="78">
        <v>7469</v>
      </c>
      <c r="D136" s="78">
        <v>10410</v>
      </c>
      <c r="E136" s="78">
        <v>8329</v>
      </c>
      <c r="F136" s="78">
        <v>10082</v>
      </c>
      <c r="G136" s="78">
        <v>13989</v>
      </c>
      <c r="H136" s="78">
        <v>16850</v>
      </c>
      <c r="I136" s="78">
        <v>11950</v>
      </c>
      <c r="J136" s="78">
        <v>10877</v>
      </c>
      <c r="K136" s="78">
        <v>13654</v>
      </c>
      <c r="L136" s="78">
        <v>13288</v>
      </c>
      <c r="M136" s="78">
        <v>16677</v>
      </c>
      <c r="N136" s="74">
        <f t="shared" si="59"/>
        <v>11939.75</v>
      </c>
      <c r="O136" s="455">
        <f>SUM(B136:M136)</f>
        <v>143277</v>
      </c>
    </row>
    <row r="137" spans="1:15" ht="19" customHeight="1" x14ac:dyDescent="0.4">
      <c r="A137" s="149" t="s">
        <v>112</v>
      </c>
      <c r="B137" s="77">
        <f t="shared" ref="B137:M137" si="61">B136/B96</f>
        <v>1.5855531949664978</v>
      </c>
      <c r="C137" s="77">
        <f t="shared" si="61"/>
        <v>2.2722847581381198</v>
      </c>
      <c r="D137" s="77">
        <f t="shared" si="61"/>
        <v>1.6696070569366479</v>
      </c>
      <c r="E137" s="77">
        <f t="shared" si="61"/>
        <v>1.3446884081369066</v>
      </c>
      <c r="F137" s="77">
        <f t="shared" si="61"/>
        <v>1.1844454887218046</v>
      </c>
      <c r="G137" s="77">
        <f t="shared" si="61"/>
        <v>1.7884172845819484</v>
      </c>
      <c r="H137" s="77">
        <f t="shared" si="61"/>
        <v>2.0409399224806202</v>
      </c>
      <c r="I137" s="77">
        <f t="shared" si="61"/>
        <v>1.2300566134843027</v>
      </c>
      <c r="J137" s="77">
        <f t="shared" si="61"/>
        <v>1.1241215378255478</v>
      </c>
      <c r="K137" s="77">
        <f t="shared" si="61"/>
        <v>1.4098089829633453</v>
      </c>
      <c r="L137" s="77">
        <f t="shared" si="61"/>
        <v>1.0221538461538462</v>
      </c>
      <c r="M137" s="77">
        <f t="shared" si="61"/>
        <v>1.2494006592747977</v>
      </c>
      <c r="N137" s="77">
        <f t="shared" si="59"/>
        <v>1.493456479472032</v>
      </c>
      <c r="O137" s="454"/>
    </row>
    <row r="138" spans="1:15" ht="19" customHeight="1" x14ac:dyDescent="0.4">
      <c r="A138" s="148" t="s">
        <v>95</v>
      </c>
      <c r="B138" s="78">
        <v>1367</v>
      </c>
      <c r="C138" s="78">
        <v>1450</v>
      </c>
      <c r="D138" s="78">
        <v>1616</v>
      </c>
      <c r="E138" s="74">
        <v>1504</v>
      </c>
      <c r="F138" s="75">
        <v>1387</v>
      </c>
      <c r="G138" s="75">
        <v>1155</v>
      </c>
      <c r="H138" s="75">
        <v>1522</v>
      </c>
      <c r="I138" s="75">
        <v>1580</v>
      </c>
      <c r="J138" s="75">
        <v>1409</v>
      </c>
      <c r="K138" s="75">
        <v>1213</v>
      </c>
      <c r="L138" s="75">
        <v>1640</v>
      </c>
      <c r="M138" s="75">
        <v>1223</v>
      </c>
      <c r="N138" s="74">
        <f t="shared" si="59"/>
        <v>1422.1666666666667</v>
      </c>
      <c r="O138" s="456">
        <f>SUM(B138:M138)</f>
        <v>17066</v>
      </c>
    </row>
    <row r="139" spans="1:15" ht="19" customHeight="1" x14ac:dyDescent="0.4">
      <c r="A139" s="149" t="s">
        <v>112</v>
      </c>
      <c r="B139" s="77">
        <f>B138/B98</f>
        <v>0.95261324041811846</v>
      </c>
      <c r="C139" s="77">
        <f>C138/C102</f>
        <v>0.95081967213114749</v>
      </c>
      <c r="D139" s="77">
        <f>D138/D102</f>
        <v>0.82239185750636135</v>
      </c>
      <c r="E139" s="77">
        <f>E138/E102</f>
        <v>0.86836027713625863</v>
      </c>
      <c r="F139" s="77">
        <f>F138/F102</f>
        <v>0.75503538377789869</v>
      </c>
      <c r="G139" s="77">
        <f>G138/G102</f>
        <v>0.5628654970760234</v>
      </c>
      <c r="H139" s="77">
        <f t="shared" ref="H139:M139" si="62">H138/H98</f>
        <v>1.0242261103633916</v>
      </c>
      <c r="I139" s="77">
        <f t="shared" si="62"/>
        <v>1.0711864406779661</v>
      </c>
      <c r="J139" s="77">
        <f t="shared" si="62"/>
        <v>1.0429311621021466</v>
      </c>
      <c r="K139" s="77">
        <f t="shared" si="62"/>
        <v>0.77706598334401022</v>
      </c>
      <c r="L139" s="77">
        <f t="shared" si="62"/>
        <v>1.0926049300466356</v>
      </c>
      <c r="M139" s="77">
        <f t="shared" si="62"/>
        <v>1.0919642857142857</v>
      </c>
      <c r="N139" s="77">
        <f t="shared" si="59"/>
        <v>0.91767207002452034</v>
      </c>
      <c r="O139" s="454"/>
    </row>
    <row r="140" spans="1:15" ht="19" customHeight="1" x14ac:dyDescent="0.4">
      <c r="A140" s="148" t="s">
        <v>96</v>
      </c>
      <c r="B140" s="78">
        <v>7737</v>
      </c>
      <c r="C140" s="78">
        <v>8521</v>
      </c>
      <c r="D140" s="78">
        <v>11203</v>
      </c>
      <c r="E140" s="78">
        <v>8609</v>
      </c>
      <c r="F140" s="78">
        <v>10682</v>
      </c>
      <c r="G140" s="78">
        <v>10682</v>
      </c>
      <c r="H140" s="78">
        <v>12165</v>
      </c>
      <c r="I140" s="78">
        <v>10236</v>
      </c>
      <c r="J140" s="78">
        <v>9823</v>
      </c>
      <c r="K140" s="78">
        <v>10577</v>
      </c>
      <c r="L140" s="78">
        <v>11402</v>
      </c>
      <c r="M140" s="78">
        <v>10778</v>
      </c>
      <c r="N140" s="74">
        <f t="shared" si="59"/>
        <v>10201.25</v>
      </c>
      <c r="O140" s="456">
        <f>SUM(B140:M140)</f>
        <v>122415</v>
      </c>
    </row>
    <row r="141" spans="1:15" ht="19" customHeight="1" x14ac:dyDescent="0.4">
      <c r="A141" s="149" t="s">
        <v>112</v>
      </c>
      <c r="B141" s="77">
        <f t="shared" ref="B141:M141" si="63">B140/B100</f>
        <v>0.83417789757412397</v>
      </c>
      <c r="C141" s="77">
        <f t="shared" si="63"/>
        <v>0.80364047910968595</v>
      </c>
      <c r="D141" s="77">
        <f t="shared" si="63"/>
        <v>0.99045177261073292</v>
      </c>
      <c r="E141" s="77">
        <f t="shared" si="63"/>
        <v>0.81194001697632745</v>
      </c>
      <c r="F141" s="77">
        <f t="shared" si="63"/>
        <v>1.2213583352389663</v>
      </c>
      <c r="G141" s="77">
        <f t="shared" si="63"/>
        <v>1.0988581421664438</v>
      </c>
      <c r="H141" s="77">
        <f t="shared" si="63"/>
        <v>1.0334720924305496</v>
      </c>
      <c r="I141" s="77">
        <f t="shared" si="63"/>
        <v>0.86952089704383284</v>
      </c>
      <c r="J141" s="77">
        <f t="shared" si="63"/>
        <v>0.97142009493670889</v>
      </c>
      <c r="K141" s="77">
        <f t="shared" si="63"/>
        <v>1.0999376039933444</v>
      </c>
      <c r="L141" s="77">
        <f t="shared" si="63"/>
        <v>1.0798371057865328</v>
      </c>
      <c r="M141" s="77">
        <f t="shared" si="63"/>
        <v>0.96559756316072387</v>
      </c>
      <c r="N141" s="77">
        <f t="shared" si="59"/>
        <v>0.98168433341899775</v>
      </c>
      <c r="O141" s="454"/>
    </row>
    <row r="142" spans="1:15" ht="19" customHeight="1" x14ac:dyDescent="0.4">
      <c r="A142" s="148" t="s">
        <v>97</v>
      </c>
      <c r="B142" s="78">
        <v>1964</v>
      </c>
      <c r="C142" s="78">
        <v>1960</v>
      </c>
      <c r="D142" s="78">
        <v>2103</v>
      </c>
      <c r="E142" s="78">
        <v>1877</v>
      </c>
      <c r="F142" s="75">
        <v>1822</v>
      </c>
      <c r="G142" s="75">
        <v>1653</v>
      </c>
      <c r="H142" s="75">
        <v>1857</v>
      </c>
      <c r="I142" s="75">
        <v>1895</v>
      </c>
      <c r="J142" s="75">
        <v>1570</v>
      </c>
      <c r="K142" s="75">
        <v>1735</v>
      </c>
      <c r="L142" s="78">
        <v>1711</v>
      </c>
      <c r="M142" s="78">
        <v>1661</v>
      </c>
      <c r="N142" s="74">
        <f t="shared" si="59"/>
        <v>1817.3333333333333</v>
      </c>
      <c r="O142" s="456">
        <f>SUM(B142:M142)</f>
        <v>21808</v>
      </c>
    </row>
    <row r="143" spans="1:15" ht="19" customHeight="1" x14ac:dyDescent="0.4">
      <c r="A143" s="149" t="s">
        <v>112</v>
      </c>
      <c r="B143" s="77">
        <f t="shared" ref="B143:M143" si="64">B142/B102</f>
        <v>1.1492100643651257</v>
      </c>
      <c r="C143" s="77">
        <f t="shared" si="64"/>
        <v>1.2852459016393443</v>
      </c>
      <c r="D143" s="77">
        <f t="shared" si="64"/>
        <v>1.0702290076335879</v>
      </c>
      <c r="E143" s="77">
        <f t="shared" si="64"/>
        <v>1.0837182448036951</v>
      </c>
      <c r="F143" s="77">
        <f t="shared" si="64"/>
        <v>0.9918345127925966</v>
      </c>
      <c r="G143" s="77">
        <f t="shared" si="64"/>
        <v>0.80555555555555558</v>
      </c>
      <c r="H143" s="77">
        <f t="shared" si="64"/>
        <v>0.99517684887459812</v>
      </c>
      <c r="I143" s="77">
        <f t="shared" si="64"/>
        <v>0.87448084910013846</v>
      </c>
      <c r="J143" s="77">
        <f t="shared" si="64"/>
        <v>0.82155939298796443</v>
      </c>
      <c r="K143" s="77">
        <f t="shared" si="64"/>
        <v>0.95016429353778753</v>
      </c>
      <c r="L143" s="77">
        <f t="shared" si="64"/>
        <v>0.82696955050749155</v>
      </c>
      <c r="M143" s="77">
        <f t="shared" si="64"/>
        <v>0.8783712321523004</v>
      </c>
      <c r="N143" s="77">
        <f t="shared" si="59"/>
        <v>0.97770962116251547</v>
      </c>
      <c r="O143" s="454"/>
    </row>
    <row r="144" spans="1:15" ht="19" customHeight="1" x14ac:dyDescent="0.4">
      <c r="A144" s="148" t="s">
        <v>98</v>
      </c>
      <c r="B144" s="78">
        <v>6432</v>
      </c>
      <c r="C144" s="78">
        <v>9262</v>
      </c>
      <c r="D144" s="78">
        <v>10848</v>
      </c>
      <c r="E144" s="78">
        <v>7685</v>
      </c>
      <c r="F144" s="78">
        <v>10104</v>
      </c>
      <c r="G144" s="78">
        <v>10024</v>
      </c>
      <c r="H144" s="78">
        <v>10424</v>
      </c>
      <c r="I144" s="78">
        <v>11379</v>
      </c>
      <c r="J144" s="78">
        <v>9605</v>
      </c>
      <c r="K144" s="78">
        <v>9752</v>
      </c>
      <c r="L144" s="78">
        <v>10861</v>
      </c>
      <c r="M144" s="78">
        <v>9305</v>
      </c>
      <c r="N144" s="74">
        <f t="shared" si="59"/>
        <v>9640.0833333333339</v>
      </c>
      <c r="O144" s="456">
        <f>SUM(B144:M144)</f>
        <v>115681</v>
      </c>
    </row>
    <row r="145" spans="1:15" ht="19" customHeight="1" x14ac:dyDescent="0.4">
      <c r="A145" s="149" t="s">
        <v>25</v>
      </c>
      <c r="B145" s="77">
        <f t="shared" ref="B145:M145" si="65">B144/B104</f>
        <v>1.1629000180799132</v>
      </c>
      <c r="C145" s="77">
        <f t="shared" si="65"/>
        <v>1.8806091370558375</v>
      </c>
      <c r="D145" s="77">
        <f t="shared" si="65"/>
        <v>1.3852636955688928</v>
      </c>
      <c r="E145" s="77">
        <f t="shared" si="65"/>
        <v>1.1777777777777778</v>
      </c>
      <c r="F145" s="77">
        <f t="shared" si="65"/>
        <v>1.5458996328029375</v>
      </c>
      <c r="G145" s="77">
        <f t="shared" si="65"/>
        <v>1.4033319333613328</v>
      </c>
      <c r="H145" s="77">
        <f t="shared" si="65"/>
        <v>1.3768326509047681</v>
      </c>
      <c r="I145" s="77">
        <f t="shared" si="65"/>
        <v>1.3951692005885239</v>
      </c>
      <c r="J145" s="77">
        <f t="shared" si="65"/>
        <v>1.1563929689381169</v>
      </c>
      <c r="K145" s="77">
        <f t="shared" si="65"/>
        <v>1.217630166063179</v>
      </c>
      <c r="L145" s="77">
        <f t="shared" si="65"/>
        <v>1.2856297348484849</v>
      </c>
      <c r="M145" s="77">
        <f t="shared" si="65"/>
        <v>1.0971583539676926</v>
      </c>
      <c r="N145" s="77">
        <f t="shared" si="59"/>
        <v>1.3403829391631215</v>
      </c>
      <c r="O145" s="454"/>
    </row>
    <row r="146" spans="1:15" ht="19" customHeight="1" x14ac:dyDescent="0.4">
      <c r="A146" s="148" t="s">
        <v>99</v>
      </c>
      <c r="B146" s="78">
        <v>1645</v>
      </c>
      <c r="C146" s="78">
        <v>1179</v>
      </c>
      <c r="D146" s="78">
        <v>1496</v>
      </c>
      <c r="E146" s="78">
        <v>1315</v>
      </c>
      <c r="F146" s="75">
        <v>1320</v>
      </c>
      <c r="G146" s="75">
        <v>1325</v>
      </c>
      <c r="H146" s="75">
        <v>1738</v>
      </c>
      <c r="I146" s="75">
        <v>1641</v>
      </c>
      <c r="J146" s="75">
        <v>1511</v>
      </c>
      <c r="K146" s="75">
        <v>1718</v>
      </c>
      <c r="L146" s="75">
        <v>1668</v>
      </c>
      <c r="M146" s="75">
        <v>1901</v>
      </c>
      <c r="N146" s="74">
        <f t="shared" si="59"/>
        <v>1538.0833333333333</v>
      </c>
      <c r="O146" s="456">
        <f>SUM(B146:M146)</f>
        <v>18457</v>
      </c>
    </row>
    <row r="147" spans="1:15" ht="19" customHeight="1" x14ac:dyDescent="0.4">
      <c r="A147" s="149" t="s">
        <v>112</v>
      </c>
      <c r="B147" s="77">
        <f t="shared" ref="B147:M147" si="66">B146/B106</f>
        <v>0.81274703557312256</v>
      </c>
      <c r="C147" s="77">
        <f t="shared" si="66"/>
        <v>0.89794364051789799</v>
      </c>
      <c r="D147" s="77">
        <f t="shared" si="66"/>
        <v>1.0770338372930166</v>
      </c>
      <c r="E147" s="77">
        <f t="shared" si="66"/>
        <v>0.90752242926155968</v>
      </c>
      <c r="F147" s="77">
        <f t="shared" si="66"/>
        <v>1.059390048154093</v>
      </c>
      <c r="G147" s="77">
        <f t="shared" si="66"/>
        <v>1.0591526778577138</v>
      </c>
      <c r="H147" s="77">
        <f t="shared" si="66"/>
        <v>1.0241602828520919</v>
      </c>
      <c r="I147" s="77">
        <f t="shared" si="66"/>
        <v>0.95573675014560278</v>
      </c>
      <c r="J147" s="77">
        <f t="shared" si="66"/>
        <v>0.94971715901948461</v>
      </c>
      <c r="K147" s="77">
        <f t="shared" si="66"/>
        <v>1.0764411027568923</v>
      </c>
      <c r="L147" s="77">
        <f t="shared" si="66"/>
        <v>0.99880239520958081</v>
      </c>
      <c r="M147" s="77">
        <f t="shared" si="66"/>
        <v>1.4898119122257054</v>
      </c>
      <c r="N147" s="77">
        <f t="shared" si="59"/>
        <v>1.0257049392388968</v>
      </c>
      <c r="O147" s="454"/>
    </row>
    <row r="148" spans="1:15" ht="19" customHeight="1" x14ac:dyDescent="0.4">
      <c r="A148" s="148" t="s">
        <v>121</v>
      </c>
      <c r="B148" s="78">
        <v>273</v>
      </c>
      <c r="C148" s="78">
        <v>223</v>
      </c>
      <c r="D148" s="78">
        <v>182</v>
      </c>
      <c r="E148" s="78">
        <v>179</v>
      </c>
      <c r="F148" s="78">
        <v>158</v>
      </c>
      <c r="G148" s="78">
        <v>224</v>
      </c>
      <c r="H148" s="78">
        <v>230</v>
      </c>
      <c r="I148" s="75">
        <v>209</v>
      </c>
      <c r="J148" s="75">
        <v>292</v>
      </c>
      <c r="K148" s="75">
        <v>216</v>
      </c>
      <c r="L148" s="75">
        <v>279</v>
      </c>
      <c r="M148" s="75">
        <v>246</v>
      </c>
      <c r="N148" s="74">
        <f t="shared" si="59"/>
        <v>225.91666666666666</v>
      </c>
      <c r="O148" s="456">
        <f>SUM(B148:M148)</f>
        <v>2711</v>
      </c>
    </row>
    <row r="149" spans="1:15" ht="19" customHeight="1" thickBot="1" x14ac:dyDescent="0.45">
      <c r="A149" s="158" t="s">
        <v>25</v>
      </c>
      <c r="B149" s="159" t="e">
        <f t="shared" ref="B149:M149" si="67">B148/B108</f>
        <v>#DIV/0!</v>
      </c>
      <c r="C149" s="159" t="e">
        <f t="shared" si="67"/>
        <v>#DIV/0!</v>
      </c>
      <c r="D149" s="159" t="e">
        <f t="shared" si="67"/>
        <v>#DIV/0!</v>
      </c>
      <c r="E149" s="159" t="e">
        <f t="shared" si="67"/>
        <v>#DIV/0!</v>
      </c>
      <c r="F149" s="159" t="e">
        <f t="shared" si="67"/>
        <v>#DIV/0!</v>
      </c>
      <c r="G149" s="159" t="e">
        <f t="shared" si="67"/>
        <v>#DIV/0!</v>
      </c>
      <c r="H149" s="159" t="e">
        <f t="shared" si="67"/>
        <v>#DIV/0!</v>
      </c>
      <c r="I149" s="159">
        <f t="shared" si="67"/>
        <v>0.36666666666666664</v>
      </c>
      <c r="J149" s="159">
        <f t="shared" si="67"/>
        <v>0.33601841196777904</v>
      </c>
      <c r="K149" s="159">
        <f t="shared" si="67"/>
        <v>0.28533685601056802</v>
      </c>
      <c r="L149" s="159">
        <f t="shared" si="67"/>
        <v>0.40028694404591103</v>
      </c>
      <c r="M149" s="159">
        <f t="shared" si="67"/>
        <v>0.39297124600638977</v>
      </c>
      <c r="N149" s="160" t="e">
        <f t="shared" si="59"/>
        <v>#DIV/0!</v>
      </c>
      <c r="O149" s="457"/>
    </row>
    <row r="150" spans="1:15" ht="19" customHeight="1" thickTop="1" x14ac:dyDescent="0.4">
      <c r="A150" s="179" t="s">
        <v>100</v>
      </c>
      <c r="B150" s="180">
        <f t="shared" ref="B150:N150" si="68">B134+B136+B138+B140+B142+B144+B146+B148</f>
        <v>325834</v>
      </c>
      <c r="C150" s="180">
        <f t="shared" si="68"/>
        <v>371587</v>
      </c>
      <c r="D150" s="180">
        <f t="shared" si="68"/>
        <v>442039</v>
      </c>
      <c r="E150" s="180">
        <f t="shared" si="68"/>
        <v>338415</v>
      </c>
      <c r="F150" s="180">
        <f t="shared" si="68"/>
        <v>392946</v>
      </c>
      <c r="G150" s="180">
        <f t="shared" si="68"/>
        <v>377204</v>
      </c>
      <c r="H150" s="180">
        <f t="shared" si="68"/>
        <v>412812</v>
      </c>
      <c r="I150" s="180">
        <f t="shared" si="68"/>
        <v>423016</v>
      </c>
      <c r="J150" s="180">
        <f t="shared" si="68"/>
        <v>378059</v>
      </c>
      <c r="K150" s="180">
        <f t="shared" si="68"/>
        <v>400511</v>
      </c>
      <c r="L150" s="180">
        <f t="shared" si="68"/>
        <v>422284</v>
      </c>
      <c r="M150" s="180">
        <f t="shared" si="68"/>
        <v>430398</v>
      </c>
      <c r="N150" s="180">
        <f t="shared" si="68"/>
        <v>392925.41666666663</v>
      </c>
      <c r="O150" s="458">
        <f>SUM(B150:M150)</f>
        <v>4715105</v>
      </c>
    </row>
    <row r="151" spans="1:15" ht="19" customHeight="1" thickBot="1" x14ac:dyDescent="0.45">
      <c r="A151" s="181" t="s">
        <v>112</v>
      </c>
      <c r="B151" s="182">
        <f t="shared" ref="B151:N151" si="69">B150/B110</f>
        <v>0.83321783380854353</v>
      </c>
      <c r="C151" s="182">
        <f t="shared" si="69"/>
        <v>1.2468232744013126</v>
      </c>
      <c r="D151" s="182">
        <f t="shared" si="69"/>
        <v>1.0591870378446246</v>
      </c>
      <c r="E151" s="182">
        <f t="shared" si="69"/>
        <v>0.97173368096732604</v>
      </c>
      <c r="F151" s="182">
        <f t="shared" si="69"/>
        <v>1.1761293740515593</v>
      </c>
      <c r="G151" s="182">
        <f t="shared" si="69"/>
        <v>1.0619452084875887</v>
      </c>
      <c r="H151" s="182">
        <f t="shared" si="69"/>
        <v>1.0498832649199641</v>
      </c>
      <c r="I151" s="182">
        <f t="shared" si="69"/>
        <v>0.9946016101121059</v>
      </c>
      <c r="J151" s="182">
        <f t="shared" si="69"/>
        <v>1.0137342232066007</v>
      </c>
      <c r="K151" s="182">
        <f t="shared" si="69"/>
        <v>1.0672865019279913</v>
      </c>
      <c r="L151" s="182">
        <f t="shared" si="69"/>
        <v>1.0240514494405455</v>
      </c>
      <c r="M151" s="182">
        <f t="shared" si="69"/>
        <v>0.95255358138793722</v>
      </c>
      <c r="N151" s="182">
        <f t="shared" si="69"/>
        <v>1.0295399100610469</v>
      </c>
      <c r="O151" s="459"/>
    </row>
    <row r="152" spans="1:15" ht="19" customHeight="1" thickBot="1" x14ac:dyDescent="0.4">
      <c r="A152" s="161" t="s">
        <v>113</v>
      </c>
      <c r="B152" s="150"/>
      <c r="C152" s="151"/>
      <c r="D152" s="151"/>
      <c r="E152" s="151"/>
      <c r="F152" s="152"/>
      <c r="G152" s="152"/>
      <c r="H152" s="151"/>
      <c r="I152" s="151"/>
      <c r="J152" s="151"/>
      <c r="K152" s="151"/>
      <c r="L152" s="151"/>
      <c r="M152" s="151"/>
      <c r="N152" s="69"/>
      <c r="O152" s="69"/>
    </row>
    <row r="153" spans="1:15" ht="19" customHeight="1" x14ac:dyDescent="0.4">
      <c r="A153" s="153" t="s">
        <v>101</v>
      </c>
      <c r="B153" s="154">
        <v>2121239</v>
      </c>
      <c r="C153" s="154">
        <v>2088585</v>
      </c>
      <c r="D153" s="154">
        <v>2608252</v>
      </c>
      <c r="E153" s="154">
        <v>2017529</v>
      </c>
      <c r="F153" s="154">
        <v>2256936</v>
      </c>
      <c r="G153" s="154">
        <v>2379130</v>
      </c>
      <c r="H153" s="154">
        <v>2367765</v>
      </c>
      <c r="I153" s="154">
        <v>2410763</v>
      </c>
      <c r="J153" s="154">
        <v>2235390</v>
      </c>
      <c r="K153" s="154">
        <v>2368205</v>
      </c>
      <c r="L153" s="154">
        <v>2509079</v>
      </c>
      <c r="M153" s="154">
        <v>2733689</v>
      </c>
      <c r="N153" s="155">
        <f t="shared" ref="N153:N168" si="70">AVERAGE(B153:M153)</f>
        <v>2341380.1666666665</v>
      </c>
      <c r="O153" s="453">
        <f>SUM(B153:M153)</f>
        <v>28096562</v>
      </c>
    </row>
    <row r="154" spans="1:15" ht="19" customHeight="1" x14ac:dyDescent="0.4">
      <c r="A154" s="149" t="s">
        <v>25</v>
      </c>
      <c r="B154" s="77">
        <f t="shared" ref="B154:M154" si="71">B153/B113</f>
        <v>0.86400236891636328</v>
      </c>
      <c r="C154" s="77">
        <f t="shared" si="71"/>
        <v>1.2995727793361094</v>
      </c>
      <c r="D154" s="77">
        <f t="shared" si="71"/>
        <v>1.0338583647827659</v>
      </c>
      <c r="E154" s="77">
        <f t="shared" si="71"/>
        <v>0.79970770954716386</v>
      </c>
      <c r="F154" s="77">
        <f t="shared" si="71"/>
        <v>1.1575912597073472</v>
      </c>
      <c r="G154" s="77">
        <f t="shared" si="71"/>
        <v>1.0594105831070872</v>
      </c>
      <c r="H154" s="77">
        <f t="shared" si="71"/>
        <v>1.0176822650835438</v>
      </c>
      <c r="I154" s="77">
        <f t="shared" si="71"/>
        <v>1.0474510243522632</v>
      </c>
      <c r="J154" s="77">
        <f t="shared" si="71"/>
        <v>1.0367333801443845</v>
      </c>
      <c r="K154" s="77">
        <f t="shared" si="71"/>
        <v>1.069230762284705</v>
      </c>
      <c r="L154" s="77">
        <f t="shared" si="71"/>
        <v>1.0529757273445284</v>
      </c>
      <c r="M154" s="77">
        <f t="shared" si="71"/>
        <v>0.99290468192925818</v>
      </c>
      <c r="N154" s="77">
        <f t="shared" si="70"/>
        <v>1.0359267422112932</v>
      </c>
      <c r="O154" s="454"/>
    </row>
    <row r="155" spans="1:15" ht="19" customHeight="1" x14ac:dyDescent="0.4">
      <c r="A155" s="148" t="s">
        <v>118</v>
      </c>
      <c r="B155" s="78">
        <v>146325</v>
      </c>
      <c r="C155" s="78">
        <v>162124</v>
      </c>
      <c r="D155" s="78">
        <v>198475</v>
      </c>
      <c r="E155" s="78">
        <v>237078</v>
      </c>
      <c r="F155" s="78">
        <v>180757</v>
      </c>
      <c r="G155" s="78">
        <v>219660</v>
      </c>
      <c r="H155" s="78">
        <v>244665</v>
      </c>
      <c r="I155" s="78">
        <v>254544</v>
      </c>
      <c r="J155" s="78">
        <v>236106</v>
      </c>
      <c r="K155" s="78">
        <v>216585</v>
      </c>
      <c r="L155" s="78">
        <v>226696</v>
      </c>
      <c r="M155" s="78">
        <v>328307</v>
      </c>
      <c r="N155" s="74">
        <f t="shared" si="70"/>
        <v>220943.5</v>
      </c>
      <c r="O155" s="455">
        <f>SUM(B155:M155)</f>
        <v>2651322</v>
      </c>
    </row>
    <row r="156" spans="1:15" ht="19" customHeight="1" x14ac:dyDescent="0.4">
      <c r="A156" s="149" t="s">
        <v>25</v>
      </c>
      <c r="B156" s="124">
        <f t="shared" ref="B156:M156" si="72">B155/B115</f>
        <v>1.3129088119442625</v>
      </c>
      <c r="C156" s="124">
        <f t="shared" si="72"/>
        <v>3.075014699467026</v>
      </c>
      <c r="D156" s="124">
        <f t="shared" si="72"/>
        <v>2.5801440382715408</v>
      </c>
      <c r="E156" s="124">
        <f t="shared" si="72"/>
        <v>3.1520880698815366</v>
      </c>
      <c r="F156" s="124">
        <f t="shared" si="72"/>
        <v>1.1808934591162097</v>
      </c>
      <c r="G156" s="124">
        <f t="shared" si="72"/>
        <v>1.7391510890477662</v>
      </c>
      <c r="H156" s="124">
        <f t="shared" si="72"/>
        <v>1.6653507129973113</v>
      </c>
      <c r="I156" s="124">
        <f t="shared" si="72"/>
        <v>0.9635832286004149</v>
      </c>
      <c r="J156" s="124">
        <f t="shared" si="72"/>
        <v>1.2758348643683131</v>
      </c>
      <c r="K156" s="124">
        <f t="shared" si="72"/>
        <v>1.1349333193596562</v>
      </c>
      <c r="L156" s="124">
        <f t="shared" si="72"/>
        <v>1.0489357764205072</v>
      </c>
      <c r="M156" s="124">
        <f t="shared" si="72"/>
        <v>1.2244276118762845</v>
      </c>
      <c r="N156" s="77">
        <f t="shared" si="70"/>
        <v>1.6961054734459022</v>
      </c>
      <c r="O156" s="454"/>
    </row>
    <row r="157" spans="1:15" ht="19" customHeight="1" x14ac:dyDescent="0.4">
      <c r="A157" s="156" t="s">
        <v>103</v>
      </c>
      <c r="B157" s="113">
        <v>4317</v>
      </c>
      <c r="C157" s="103">
        <v>5199</v>
      </c>
      <c r="D157" s="78">
        <v>6665</v>
      </c>
      <c r="E157" s="74">
        <v>5694</v>
      </c>
      <c r="F157" s="74">
        <v>5386</v>
      </c>
      <c r="G157" s="78">
        <v>4565</v>
      </c>
      <c r="H157" s="78">
        <v>6356</v>
      </c>
      <c r="I157" s="78">
        <v>6487</v>
      </c>
      <c r="J157" s="78">
        <v>5647</v>
      </c>
      <c r="K157" s="78">
        <v>6691</v>
      </c>
      <c r="L157" s="78">
        <v>7420</v>
      </c>
      <c r="M157" s="78">
        <v>5620</v>
      </c>
      <c r="N157" s="74">
        <f t="shared" si="70"/>
        <v>5837.25</v>
      </c>
      <c r="O157" s="456">
        <f>SUM(B157:M157)</f>
        <v>70047</v>
      </c>
    </row>
    <row r="158" spans="1:15" ht="19" customHeight="1" x14ac:dyDescent="0.4">
      <c r="A158" s="157" t="s">
        <v>25</v>
      </c>
      <c r="B158" s="77">
        <f t="shared" ref="B158:M158" si="73">B157/B117</f>
        <v>0.78022772456172063</v>
      </c>
      <c r="C158" s="77">
        <f t="shared" si="73"/>
        <v>1.1056997022543598</v>
      </c>
      <c r="D158" s="77">
        <f t="shared" si="73"/>
        <v>0.86367759492030582</v>
      </c>
      <c r="E158" s="77">
        <f t="shared" si="73"/>
        <v>0.9502670226969292</v>
      </c>
      <c r="F158" s="77">
        <f t="shared" si="73"/>
        <v>0.90642881184786273</v>
      </c>
      <c r="G158" s="77">
        <f t="shared" si="73"/>
        <v>0.71083774525070076</v>
      </c>
      <c r="H158" s="77">
        <f t="shared" si="73"/>
        <v>1.1619744058500914</v>
      </c>
      <c r="I158" s="77">
        <f t="shared" si="73"/>
        <v>1.0991189427312775</v>
      </c>
      <c r="J158" s="77">
        <f t="shared" si="73"/>
        <v>1.1312099358974359</v>
      </c>
      <c r="K158" s="77">
        <f t="shared" si="73"/>
        <v>1.0540327662255828</v>
      </c>
      <c r="L158" s="77">
        <f t="shared" si="73"/>
        <v>1.477204857654788</v>
      </c>
      <c r="M158" s="77">
        <f t="shared" si="73"/>
        <v>1.468897020386827</v>
      </c>
      <c r="N158" s="77">
        <f t="shared" si="70"/>
        <v>1.0591313775231568</v>
      </c>
      <c r="O158" s="454"/>
    </row>
    <row r="159" spans="1:15" ht="19" customHeight="1" x14ac:dyDescent="0.4">
      <c r="A159" s="148" t="s">
        <v>104</v>
      </c>
      <c r="B159" s="106">
        <v>79582</v>
      </c>
      <c r="C159" s="78">
        <v>83449</v>
      </c>
      <c r="D159" s="78">
        <v>137220</v>
      </c>
      <c r="E159" s="78">
        <v>97866</v>
      </c>
      <c r="F159" s="78">
        <v>142896</v>
      </c>
      <c r="G159" s="78">
        <v>138357</v>
      </c>
      <c r="H159" s="78">
        <v>196200</v>
      </c>
      <c r="I159" s="78">
        <v>113994</v>
      </c>
      <c r="J159" s="78">
        <v>120724</v>
      </c>
      <c r="K159" s="78">
        <v>154168</v>
      </c>
      <c r="L159" s="78">
        <v>179283</v>
      </c>
      <c r="M159" s="78">
        <v>133212</v>
      </c>
      <c r="N159" s="74">
        <f t="shared" si="70"/>
        <v>131412.58333333334</v>
      </c>
      <c r="O159" s="456">
        <f>SUM(B159:M159)</f>
        <v>1576951</v>
      </c>
    </row>
    <row r="160" spans="1:15" ht="19" customHeight="1" x14ac:dyDescent="0.4">
      <c r="A160" s="149" t="s">
        <v>25</v>
      </c>
      <c r="B160" s="77">
        <f t="shared" ref="B160:M160" si="74">B159/B119</f>
        <v>0.59298392024201596</v>
      </c>
      <c r="C160" s="77">
        <f t="shared" si="74"/>
        <v>0.79065602971272642</v>
      </c>
      <c r="D160" s="77">
        <f t="shared" si="74"/>
        <v>1.2548811603215393</v>
      </c>
      <c r="E160" s="77">
        <f t="shared" si="74"/>
        <v>0.71691451175738041</v>
      </c>
      <c r="F160" s="77">
        <f t="shared" si="74"/>
        <v>1.3886205723725766</v>
      </c>
      <c r="G160" s="77">
        <f t="shared" si="74"/>
        <v>1.4050675332588605</v>
      </c>
      <c r="H160" s="77">
        <f t="shared" si="74"/>
        <v>1.5543795157814679</v>
      </c>
      <c r="I160" s="77">
        <f t="shared" si="74"/>
        <v>1.0851507391788593</v>
      </c>
      <c r="J160" s="77">
        <f t="shared" si="74"/>
        <v>1.2592994387999916</v>
      </c>
      <c r="K160" s="77">
        <f t="shared" si="74"/>
        <v>1.8281946684375296</v>
      </c>
      <c r="L160" s="77">
        <f t="shared" si="74"/>
        <v>1.5427900212551739</v>
      </c>
      <c r="M160" s="77">
        <f t="shared" si="74"/>
        <v>1.0274898185857091</v>
      </c>
      <c r="N160" s="77">
        <f t="shared" si="70"/>
        <v>1.2038689941419858</v>
      </c>
      <c r="O160" s="454"/>
    </row>
    <row r="161" spans="1:20" ht="19" customHeight="1" x14ac:dyDescent="0.4">
      <c r="A161" s="148" t="s">
        <v>105</v>
      </c>
      <c r="B161" s="78">
        <v>20369</v>
      </c>
      <c r="C161" s="78">
        <v>19702</v>
      </c>
      <c r="D161" s="78">
        <v>20926</v>
      </c>
      <c r="E161" s="78">
        <v>17927</v>
      </c>
      <c r="F161" s="78">
        <v>22269</v>
      </c>
      <c r="G161" s="78">
        <v>18960</v>
      </c>
      <c r="H161" s="78">
        <v>19987</v>
      </c>
      <c r="I161" s="78">
        <v>19774</v>
      </c>
      <c r="J161" s="78">
        <v>16845</v>
      </c>
      <c r="K161" s="78">
        <v>16900</v>
      </c>
      <c r="L161" s="78">
        <v>17632</v>
      </c>
      <c r="M161" s="78">
        <v>15069</v>
      </c>
      <c r="N161" s="74">
        <f t="shared" si="70"/>
        <v>18863.333333333332</v>
      </c>
      <c r="O161" s="456">
        <f>SUM(B161:M161)</f>
        <v>226360</v>
      </c>
    </row>
    <row r="162" spans="1:20" ht="19" customHeight="1" x14ac:dyDescent="0.4">
      <c r="A162" s="149" t="s">
        <v>25</v>
      </c>
      <c r="B162" s="79">
        <f t="shared" ref="B162:M162" si="75">B161/B121</f>
        <v>1.425402379286214</v>
      </c>
      <c r="C162" s="79">
        <f t="shared" si="75"/>
        <v>1.432247746437918</v>
      </c>
      <c r="D162" s="79">
        <f t="shared" si="75"/>
        <v>1.0842487046632123</v>
      </c>
      <c r="E162" s="79">
        <f t="shared" si="75"/>
        <v>1.0011727912431587</v>
      </c>
      <c r="F162" s="79">
        <f t="shared" si="75"/>
        <v>1.2699743370402052</v>
      </c>
      <c r="G162" s="79">
        <f t="shared" si="75"/>
        <v>0.94258016405667411</v>
      </c>
      <c r="H162" s="79">
        <f t="shared" si="75"/>
        <v>1.0977645960344922</v>
      </c>
      <c r="I162" s="79">
        <f t="shared" si="75"/>
        <v>0.91006995581737848</v>
      </c>
      <c r="J162" s="79">
        <f t="shared" si="75"/>
        <v>0.85213476325374338</v>
      </c>
      <c r="K162" s="79">
        <f t="shared" si="75"/>
        <v>0.90186242595656119</v>
      </c>
      <c r="L162" s="79">
        <f t="shared" si="75"/>
        <v>0.80825120330048128</v>
      </c>
      <c r="M162" s="79">
        <f t="shared" si="75"/>
        <v>0.81843363024114713</v>
      </c>
      <c r="N162" s="77">
        <f t="shared" si="70"/>
        <v>1.0453452247775989</v>
      </c>
      <c r="O162" s="454"/>
    </row>
    <row r="163" spans="1:20" ht="19" customHeight="1" x14ac:dyDescent="0.4">
      <c r="A163" s="148" t="s">
        <v>106</v>
      </c>
      <c r="B163" s="78">
        <v>12314</v>
      </c>
      <c r="C163" s="78">
        <v>15954</v>
      </c>
      <c r="D163" s="78">
        <v>20004</v>
      </c>
      <c r="E163" s="78">
        <v>13385</v>
      </c>
      <c r="F163" s="78">
        <v>17036</v>
      </c>
      <c r="G163" s="78">
        <v>17336</v>
      </c>
      <c r="H163" s="78">
        <v>18479</v>
      </c>
      <c r="I163" s="78">
        <v>18884</v>
      </c>
      <c r="J163" s="78">
        <v>17050</v>
      </c>
      <c r="K163" s="78">
        <v>16369</v>
      </c>
      <c r="L163" s="78">
        <v>18350</v>
      </c>
      <c r="M163" s="78">
        <v>15572</v>
      </c>
      <c r="N163" s="74">
        <f t="shared" si="70"/>
        <v>16727.75</v>
      </c>
      <c r="O163" s="456">
        <f>SUM(B163:M163)</f>
        <v>200733</v>
      </c>
    </row>
    <row r="164" spans="1:20" ht="19" customHeight="1" x14ac:dyDescent="0.4">
      <c r="A164" s="149" t="s">
        <v>25</v>
      </c>
      <c r="B164" s="79">
        <f t="shared" ref="B164:M164" si="76">B163/B123</f>
        <v>1.4181734423586319</v>
      </c>
      <c r="C164" s="79">
        <f t="shared" si="76"/>
        <v>1.7307441961379908</v>
      </c>
      <c r="D164" s="79">
        <f t="shared" si="76"/>
        <v>1.6487266133684992</v>
      </c>
      <c r="E164" s="79">
        <f t="shared" si="76"/>
        <v>1.2377473645274644</v>
      </c>
      <c r="F164" s="79">
        <f t="shared" si="76"/>
        <v>1.5460568109628823</v>
      </c>
      <c r="G164" s="79">
        <f t="shared" si="76"/>
        <v>1.4846279010019696</v>
      </c>
      <c r="H164" s="79">
        <f t="shared" si="76"/>
        <v>1.5108331289346741</v>
      </c>
      <c r="I164" s="79">
        <f t="shared" si="76"/>
        <v>1.3991257316440691</v>
      </c>
      <c r="J164" s="79">
        <f t="shared" si="76"/>
        <v>1.3070141816788041</v>
      </c>
      <c r="K164" s="79">
        <f t="shared" si="76"/>
        <v>1.2610939907550076</v>
      </c>
      <c r="L164" s="79">
        <f t="shared" si="76"/>
        <v>1.3605694372358568</v>
      </c>
      <c r="M164" s="79">
        <f t="shared" si="76"/>
        <v>1.1876143990237951</v>
      </c>
      <c r="N164" s="77">
        <f t="shared" si="70"/>
        <v>1.4243605998024702</v>
      </c>
      <c r="O164" s="454"/>
    </row>
    <row r="165" spans="1:20" ht="19" customHeight="1" x14ac:dyDescent="0.4">
      <c r="A165" s="148" t="s">
        <v>107</v>
      </c>
      <c r="B165" s="78">
        <v>9214</v>
      </c>
      <c r="C165" s="78">
        <v>6584</v>
      </c>
      <c r="D165" s="78">
        <v>7787</v>
      </c>
      <c r="E165" s="78">
        <v>6609</v>
      </c>
      <c r="F165" s="78">
        <v>6202</v>
      </c>
      <c r="G165" s="78">
        <v>6436</v>
      </c>
      <c r="H165" s="78">
        <v>9075</v>
      </c>
      <c r="I165" s="78">
        <v>8181</v>
      </c>
      <c r="J165" s="78">
        <v>7332</v>
      </c>
      <c r="K165" s="78">
        <v>7048</v>
      </c>
      <c r="L165" s="78">
        <v>8512</v>
      </c>
      <c r="M165" s="78">
        <v>10664</v>
      </c>
      <c r="N165" s="74">
        <f t="shared" si="70"/>
        <v>7803.666666666667</v>
      </c>
      <c r="O165" s="456">
        <f>SUM(B165:M165)</f>
        <v>93644</v>
      </c>
    </row>
    <row r="166" spans="1:20" ht="19" customHeight="1" x14ac:dyDescent="0.4">
      <c r="A166" s="149" t="s">
        <v>25</v>
      </c>
      <c r="B166" s="79">
        <f t="shared" ref="B166:M166" si="77">B165/B125</f>
        <v>0.8478881015919757</v>
      </c>
      <c r="C166" s="79">
        <f t="shared" si="77"/>
        <v>0.83979591836734691</v>
      </c>
      <c r="D166" s="79">
        <f t="shared" si="77"/>
        <v>1.1241518694961743</v>
      </c>
      <c r="E166" s="79">
        <f t="shared" si="77"/>
        <v>0.89395374002434735</v>
      </c>
      <c r="F166" s="79">
        <f t="shared" si="77"/>
        <v>1.0341837585459397</v>
      </c>
      <c r="G166" s="79">
        <f t="shared" si="77"/>
        <v>1.1742382776865536</v>
      </c>
      <c r="H166" s="79">
        <f t="shared" si="77"/>
        <v>1.0730755587087619</v>
      </c>
      <c r="I166" s="79">
        <f t="shared" si="77"/>
        <v>1.0212208213706153</v>
      </c>
      <c r="J166" s="79">
        <f t="shared" si="77"/>
        <v>0.95868200836820083</v>
      </c>
      <c r="K166" s="79">
        <f t="shared" si="77"/>
        <v>0.88298672012027057</v>
      </c>
      <c r="L166" s="79">
        <f t="shared" si="77"/>
        <v>1.0093679592078739</v>
      </c>
      <c r="M166" s="79">
        <f t="shared" si="77"/>
        <v>1.1600130534102033</v>
      </c>
      <c r="N166" s="77">
        <f t="shared" si="70"/>
        <v>1.0016298155748551</v>
      </c>
      <c r="O166" s="454"/>
    </row>
    <row r="167" spans="1:20" ht="19" customHeight="1" x14ac:dyDescent="0.4">
      <c r="A167" s="148" t="s">
        <v>119</v>
      </c>
      <c r="B167" s="78">
        <v>1525</v>
      </c>
      <c r="C167" s="78">
        <v>1132</v>
      </c>
      <c r="D167" s="78">
        <v>920</v>
      </c>
      <c r="E167" s="78">
        <v>1067</v>
      </c>
      <c r="F167" s="78">
        <v>1159</v>
      </c>
      <c r="G167" s="78">
        <v>1201</v>
      </c>
      <c r="H167" s="78">
        <v>1239</v>
      </c>
      <c r="I167" s="78">
        <v>1129</v>
      </c>
      <c r="J167" s="78">
        <v>1587</v>
      </c>
      <c r="K167" s="78">
        <v>1278</v>
      </c>
      <c r="L167" s="78">
        <v>1530</v>
      </c>
      <c r="M167" s="78">
        <v>1477</v>
      </c>
      <c r="N167" s="74">
        <f t="shared" si="70"/>
        <v>1270.3333333333333</v>
      </c>
      <c r="O167" s="456">
        <f>SUM(B167:M167)</f>
        <v>15244</v>
      </c>
    </row>
    <row r="168" spans="1:20" ht="19" customHeight="1" thickBot="1" x14ac:dyDescent="0.45">
      <c r="A168" s="158" t="s">
        <v>25</v>
      </c>
      <c r="B168" s="159" t="e">
        <f t="shared" ref="B168:M168" si="78">B167/B127</f>
        <v>#DIV/0!</v>
      </c>
      <c r="C168" s="159" t="e">
        <f t="shared" si="78"/>
        <v>#DIV/0!</v>
      </c>
      <c r="D168" s="159" t="e">
        <f t="shared" si="78"/>
        <v>#DIV/0!</v>
      </c>
      <c r="E168" s="159" t="e">
        <f t="shared" si="78"/>
        <v>#DIV/0!</v>
      </c>
      <c r="F168" s="159" t="e">
        <f t="shared" si="78"/>
        <v>#DIV/0!</v>
      </c>
      <c r="G168" s="159" t="e">
        <f t="shared" si="78"/>
        <v>#DIV/0!</v>
      </c>
      <c r="H168" s="159" t="e">
        <f t="shared" si="78"/>
        <v>#DIV/0!</v>
      </c>
      <c r="I168" s="159">
        <f t="shared" si="78"/>
        <v>0.41876854599406527</v>
      </c>
      <c r="J168" s="159">
        <f t="shared" si="78"/>
        <v>0.37297297297297299</v>
      </c>
      <c r="K168" s="159">
        <f t="shared" si="78"/>
        <v>0.31431382193802265</v>
      </c>
      <c r="L168" s="159">
        <f t="shared" si="78"/>
        <v>0.40231396266105707</v>
      </c>
      <c r="M168" s="159">
        <f t="shared" si="78"/>
        <v>0.42357327215371382</v>
      </c>
      <c r="N168" s="160" t="e">
        <f t="shared" si="70"/>
        <v>#DIV/0!</v>
      </c>
      <c r="O168" s="457"/>
    </row>
    <row r="169" spans="1:20" ht="19" customHeight="1" thickTop="1" x14ac:dyDescent="0.4">
      <c r="A169" s="179" t="s">
        <v>108</v>
      </c>
      <c r="B169" s="183">
        <f t="shared" ref="B169:M169" si="79">B153+B155+B157+B159+B161+B163+B165+B167</f>
        <v>2394885</v>
      </c>
      <c r="C169" s="183">
        <f t="shared" si="79"/>
        <v>2382729</v>
      </c>
      <c r="D169" s="183">
        <f t="shared" si="79"/>
        <v>3000249</v>
      </c>
      <c r="E169" s="183">
        <f t="shared" si="79"/>
        <v>2397155</v>
      </c>
      <c r="F169" s="183">
        <f t="shared" si="79"/>
        <v>2632641</v>
      </c>
      <c r="G169" s="183">
        <f t="shared" si="79"/>
        <v>2785645</v>
      </c>
      <c r="H169" s="183">
        <f t="shared" si="79"/>
        <v>2863766</v>
      </c>
      <c r="I169" s="183">
        <f t="shared" si="79"/>
        <v>2833756</v>
      </c>
      <c r="J169" s="183">
        <f t="shared" si="79"/>
        <v>2640681</v>
      </c>
      <c r="K169" s="183">
        <f t="shared" si="79"/>
        <v>2787244</v>
      </c>
      <c r="L169" s="183">
        <f t="shared" si="79"/>
        <v>2968502</v>
      </c>
      <c r="M169" s="183">
        <f t="shared" si="79"/>
        <v>3243610</v>
      </c>
      <c r="N169" s="183">
        <f>AVERAGEA(B169:M169)</f>
        <v>2744238.5833333335</v>
      </c>
      <c r="O169" s="458">
        <f>SUM(B169:M169)</f>
        <v>32930863</v>
      </c>
    </row>
    <row r="170" spans="1:20" ht="19" customHeight="1" thickBot="1" x14ac:dyDescent="0.45">
      <c r="A170" s="181" t="s">
        <v>112</v>
      </c>
      <c r="B170" s="182">
        <f t="shared" ref="B170:M170" si="80">B169/B129</f>
        <v>0.87399426530046953</v>
      </c>
      <c r="C170" s="182">
        <f t="shared" si="80"/>
        <v>1.3230657748977603</v>
      </c>
      <c r="D170" s="182">
        <f t="shared" si="80"/>
        <v>1.0889472677495469</v>
      </c>
      <c r="E170" s="182">
        <f t="shared" si="80"/>
        <v>0.86332289033483023</v>
      </c>
      <c r="F170" s="182">
        <f t="shared" si="80"/>
        <v>1.1720687274085557</v>
      </c>
      <c r="G170" s="182">
        <f t="shared" si="80"/>
        <v>1.1079740145789143</v>
      </c>
      <c r="H170" s="182">
        <f t="shared" si="80"/>
        <v>1.0830659169806012</v>
      </c>
      <c r="I170" s="182">
        <f t="shared" si="80"/>
        <v>1.0418592133616529</v>
      </c>
      <c r="J170" s="182">
        <f t="shared" si="80"/>
        <v>1.0636905780916108</v>
      </c>
      <c r="K170" s="182">
        <f t="shared" si="80"/>
        <v>1.0990363080029022</v>
      </c>
      <c r="L170" s="182">
        <f t="shared" si="80"/>
        <v>1.0740145104924834</v>
      </c>
      <c r="M170" s="182">
        <f t="shared" si="80"/>
        <v>1.0150409351015444</v>
      </c>
      <c r="N170" s="184">
        <f>AVERAGE(B170:M170)</f>
        <v>1.067173366858406</v>
      </c>
      <c r="O170" s="459"/>
    </row>
    <row r="171" spans="1:20" ht="8.5" customHeight="1" x14ac:dyDescent="0.4"/>
    <row r="172" spans="1:20" ht="19" customHeight="1" thickBot="1" x14ac:dyDescent="0.45">
      <c r="A172" s="1" t="s">
        <v>109</v>
      </c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69"/>
      <c r="O172" s="69"/>
    </row>
    <row r="173" spans="1:20" ht="19" customHeight="1" x14ac:dyDescent="0.4">
      <c r="A173" s="146" t="s">
        <v>122</v>
      </c>
      <c r="B173" s="137" t="s">
        <v>4</v>
      </c>
      <c r="C173" s="137" t="s">
        <v>5</v>
      </c>
      <c r="D173" s="137" t="s">
        <v>6</v>
      </c>
      <c r="E173" s="137" t="s">
        <v>7</v>
      </c>
      <c r="F173" s="137" t="s">
        <v>8</v>
      </c>
      <c r="G173" s="137" t="s">
        <v>9</v>
      </c>
      <c r="H173" s="137" t="s">
        <v>10</v>
      </c>
      <c r="I173" s="137" t="s">
        <v>11</v>
      </c>
      <c r="J173" s="137" t="s">
        <v>12</v>
      </c>
      <c r="K173" s="137" t="s">
        <v>13</v>
      </c>
      <c r="L173" s="137" t="s">
        <v>14</v>
      </c>
      <c r="M173" s="137" t="s">
        <v>15</v>
      </c>
      <c r="N173" s="137" t="s">
        <v>111</v>
      </c>
      <c r="O173" s="147" t="s">
        <v>67</v>
      </c>
    </row>
    <row r="174" spans="1:20" ht="19" customHeight="1" x14ac:dyDescent="0.4">
      <c r="A174" s="148" t="s">
        <v>93</v>
      </c>
      <c r="B174" s="74">
        <v>424348</v>
      </c>
      <c r="C174" s="74">
        <v>284935</v>
      </c>
      <c r="D174" s="74">
        <v>370073</v>
      </c>
      <c r="E174" s="74">
        <v>340074</v>
      </c>
      <c r="F174" s="75">
        <v>360262</v>
      </c>
      <c r="G174" s="75">
        <v>337248</v>
      </c>
      <c r="H174" s="75">
        <v>384020</v>
      </c>
      <c r="I174" s="75">
        <v>380565</v>
      </c>
      <c r="J174" s="75">
        <v>344760</v>
      </c>
      <c r="K174" s="75">
        <v>358030</v>
      </c>
      <c r="L174" s="75">
        <v>381098</v>
      </c>
      <c r="M174" s="75">
        <v>405393</v>
      </c>
      <c r="N174" s="74">
        <f>AVERAGE(B174:M174)</f>
        <v>364233.83333333331</v>
      </c>
      <c r="O174" s="455">
        <f>SUM(B174:M174)</f>
        <v>4370806</v>
      </c>
    </row>
    <row r="175" spans="1:20" ht="19" customHeight="1" x14ac:dyDescent="0.4">
      <c r="A175" s="149" t="s">
        <v>112</v>
      </c>
      <c r="B175" s="77">
        <f t="shared" ref="B175:M175" si="81">B174/B134</f>
        <v>1.4301583342882371</v>
      </c>
      <c r="C175" s="77">
        <f t="shared" si="81"/>
        <v>0.83430691344360408</v>
      </c>
      <c r="D175" s="77">
        <f t="shared" si="81"/>
        <v>0.91561206489171931</v>
      </c>
      <c r="E175" s="77">
        <f t="shared" si="81"/>
        <v>1.1008588067344951</v>
      </c>
      <c r="F175" s="77">
        <f t="shared" si="81"/>
        <v>1.0080332185197725</v>
      </c>
      <c r="G175" s="77">
        <f t="shared" si="81"/>
        <v>0.99732664600534671</v>
      </c>
      <c r="H175" s="77">
        <f t="shared" si="81"/>
        <v>1.0434588860569634</v>
      </c>
      <c r="I175" s="77">
        <f t="shared" si="81"/>
        <v>0.99072960434857316</v>
      </c>
      <c r="J175" s="77">
        <f t="shared" si="81"/>
        <v>1.0052132535600573</v>
      </c>
      <c r="K175" s="77">
        <f t="shared" si="81"/>
        <v>0.99000127196208443</v>
      </c>
      <c r="L175" s="77">
        <f t="shared" si="81"/>
        <v>0.99911649429129468</v>
      </c>
      <c r="M175" s="77">
        <f t="shared" si="81"/>
        <v>1.0431953104293026</v>
      </c>
      <c r="N175" s="77">
        <f>AVERAGEIF(B175:M175,"&lt;&gt;0",B175:M175)</f>
        <v>1.0298342337109543</v>
      </c>
      <c r="O175" s="454"/>
      <c r="P175" s="188"/>
      <c r="R175" s="188"/>
      <c r="T175" s="188"/>
    </row>
    <row r="176" spans="1:20" ht="19" customHeight="1" x14ac:dyDescent="0.4">
      <c r="A176" s="148" t="s">
        <v>116</v>
      </c>
      <c r="B176" s="78">
        <v>16184</v>
      </c>
      <c r="C176" s="78">
        <v>9191</v>
      </c>
      <c r="D176" s="78">
        <v>12968</v>
      </c>
      <c r="E176" s="78">
        <v>11405</v>
      </c>
      <c r="F176" s="78">
        <v>16180</v>
      </c>
      <c r="G176" s="78">
        <v>12543</v>
      </c>
      <c r="H176" s="78">
        <v>19362</v>
      </c>
      <c r="I176" s="78">
        <v>13076</v>
      </c>
      <c r="J176" s="78">
        <v>13297</v>
      </c>
      <c r="K176" s="78">
        <v>15499</v>
      </c>
      <c r="L176" s="78">
        <v>18701</v>
      </c>
      <c r="M176" s="78">
        <v>19000</v>
      </c>
      <c r="N176" s="74">
        <f>AVERAGE(B176:M176)</f>
        <v>14783.833333333334</v>
      </c>
      <c r="O176" s="455">
        <f>SUM(B176:M176)</f>
        <v>177406</v>
      </c>
      <c r="P176" s="188"/>
    </row>
    <row r="177" spans="1:16" ht="19" customHeight="1" x14ac:dyDescent="0.4">
      <c r="A177" s="149" t="s">
        <v>112</v>
      </c>
      <c r="B177" s="77">
        <f t="shared" ref="B177:M177" si="82">B176/B136</f>
        <v>1.6681096681096681</v>
      </c>
      <c r="C177" s="77">
        <f t="shared" si="82"/>
        <v>1.2305529522024368</v>
      </c>
      <c r="D177" s="77">
        <f t="shared" si="82"/>
        <v>1.2457252641690681</v>
      </c>
      <c r="E177" s="77">
        <f t="shared" si="82"/>
        <v>1.3693120422619762</v>
      </c>
      <c r="F177" s="77">
        <f t="shared" si="82"/>
        <v>1.6048403094624082</v>
      </c>
      <c r="G177" s="77">
        <f t="shared" si="82"/>
        <v>0.89663306883980265</v>
      </c>
      <c r="H177" s="77">
        <f t="shared" si="82"/>
        <v>1.149080118694362</v>
      </c>
      <c r="I177" s="77">
        <f t="shared" si="82"/>
        <v>1.0942259414225941</v>
      </c>
      <c r="J177" s="77">
        <f t="shared" si="82"/>
        <v>1.2224878183322607</v>
      </c>
      <c r="K177" s="77">
        <f t="shared" si="82"/>
        <v>1.135125238025487</v>
      </c>
      <c r="L177" s="77">
        <f t="shared" si="82"/>
        <v>1.4073600240818784</v>
      </c>
      <c r="M177" s="77">
        <f t="shared" si="82"/>
        <v>1.1392936379444745</v>
      </c>
      <c r="N177" s="77">
        <f>AVERAGEIF(B177:M177,"&lt;&gt;0",B177:M177)</f>
        <v>1.2635621736288682</v>
      </c>
      <c r="O177" s="454"/>
      <c r="P177" s="188"/>
    </row>
    <row r="178" spans="1:16" ht="19" customHeight="1" x14ac:dyDescent="0.4">
      <c r="A178" s="148" t="s">
        <v>95</v>
      </c>
      <c r="B178" s="78">
        <v>1702</v>
      </c>
      <c r="C178" s="78">
        <v>1231</v>
      </c>
      <c r="D178" s="78">
        <v>1524</v>
      </c>
      <c r="E178" s="74">
        <v>1751</v>
      </c>
      <c r="F178" s="75">
        <v>1319</v>
      </c>
      <c r="G178" s="75">
        <v>1425</v>
      </c>
      <c r="H178" s="75">
        <v>1501</v>
      </c>
      <c r="I178" s="75">
        <v>1494</v>
      </c>
      <c r="J178" s="75">
        <v>1710</v>
      </c>
      <c r="K178" s="75">
        <v>1378</v>
      </c>
      <c r="L178" s="75">
        <v>1502</v>
      </c>
      <c r="M178" s="75">
        <v>1748</v>
      </c>
      <c r="N178" s="74">
        <f>AVERAGE(B178:M178)</f>
        <v>1523.75</v>
      </c>
      <c r="O178" s="456">
        <f>SUM(B178:M178)</f>
        <v>18285</v>
      </c>
    </row>
    <row r="179" spans="1:16" ht="19" customHeight="1" x14ac:dyDescent="0.4">
      <c r="A179" s="149" t="s">
        <v>112</v>
      </c>
      <c r="B179" s="77">
        <f>B178/B138</f>
        <v>1.2450621799561084</v>
      </c>
      <c r="C179" s="77">
        <f>C178/C142</f>
        <v>0.62806122448979596</v>
      </c>
      <c r="D179" s="77">
        <f>D178/D142</f>
        <v>0.72467902995720401</v>
      </c>
      <c r="E179" s="77">
        <f>E178/E142</f>
        <v>0.9328716036228023</v>
      </c>
      <c r="F179" s="77">
        <f>F178/F142</f>
        <v>0.72392974753018657</v>
      </c>
      <c r="G179" s="77">
        <f>G178/G142</f>
        <v>0.86206896551724133</v>
      </c>
      <c r="H179" s="77">
        <f t="shared" ref="H179:M179" si="83">H178/H138</f>
        <v>0.98620236530880423</v>
      </c>
      <c r="I179" s="77">
        <f t="shared" si="83"/>
        <v>0.9455696202531646</v>
      </c>
      <c r="J179" s="77">
        <f t="shared" si="83"/>
        <v>1.2136266855926188</v>
      </c>
      <c r="K179" s="77">
        <f t="shared" si="83"/>
        <v>1.1360263808738664</v>
      </c>
      <c r="L179" s="77">
        <f t="shared" si="83"/>
        <v>0.9158536585365854</v>
      </c>
      <c r="M179" s="77">
        <f t="shared" si="83"/>
        <v>1.4292722812755518</v>
      </c>
      <c r="N179" s="77">
        <f>AVERAGEIF(B179:M179,"&lt;&gt;0",B179:M179)</f>
        <v>0.97860197857616082</v>
      </c>
      <c r="O179" s="454"/>
    </row>
    <row r="180" spans="1:16" ht="19" customHeight="1" x14ac:dyDescent="0.4">
      <c r="A180" s="148" t="s">
        <v>96</v>
      </c>
      <c r="B180" s="78">
        <v>12264</v>
      </c>
      <c r="C180" s="78">
        <v>6995</v>
      </c>
      <c r="D180" s="78">
        <v>7455</v>
      </c>
      <c r="E180" s="78">
        <v>10223</v>
      </c>
      <c r="F180" s="78">
        <v>11098</v>
      </c>
      <c r="G180" s="78">
        <v>10060</v>
      </c>
      <c r="H180" s="78">
        <v>13285</v>
      </c>
      <c r="I180" s="78">
        <v>10674</v>
      </c>
      <c r="J180" s="78">
        <v>10354</v>
      </c>
      <c r="K180" s="78">
        <v>10636</v>
      </c>
      <c r="L180" s="78">
        <v>11996</v>
      </c>
      <c r="M180" s="78">
        <v>12011</v>
      </c>
      <c r="N180" s="74">
        <f>AVERAGE(B180:M180)</f>
        <v>10587.583333333334</v>
      </c>
      <c r="O180" s="456">
        <f>SUM(B180:M180)</f>
        <v>127051</v>
      </c>
    </row>
    <row r="181" spans="1:16" ht="19" customHeight="1" x14ac:dyDescent="0.4">
      <c r="A181" s="149" t="s">
        <v>112</v>
      </c>
      <c r="B181" s="77">
        <f t="shared" ref="B181:M181" si="84">B180/B140</f>
        <v>1.5851105079488175</v>
      </c>
      <c r="C181" s="77">
        <f t="shared" si="84"/>
        <v>0.82091303837577745</v>
      </c>
      <c r="D181" s="77">
        <f t="shared" si="84"/>
        <v>0.66544675533339281</v>
      </c>
      <c r="E181" s="77">
        <f t="shared" si="84"/>
        <v>1.1874782204669532</v>
      </c>
      <c r="F181" s="77">
        <f t="shared" si="84"/>
        <v>1.0389440179741622</v>
      </c>
      <c r="G181" s="77">
        <f t="shared" si="84"/>
        <v>0.94177120389440183</v>
      </c>
      <c r="H181" s="77">
        <f t="shared" si="84"/>
        <v>1.0920674064940403</v>
      </c>
      <c r="I181" s="77">
        <f t="shared" si="84"/>
        <v>1.0427901524032825</v>
      </c>
      <c r="J181" s="77">
        <f t="shared" si="84"/>
        <v>1.0540568054565815</v>
      </c>
      <c r="K181" s="77">
        <f t="shared" si="84"/>
        <v>1.0055781412498819</v>
      </c>
      <c r="L181" s="77">
        <f t="shared" si="84"/>
        <v>1.0520961234871076</v>
      </c>
      <c r="M181" s="77">
        <f t="shared" si="84"/>
        <v>1.1143997030989052</v>
      </c>
      <c r="N181" s="77">
        <f>AVERAGEIF(B181:M181,"&lt;&gt;0",B181:M181)</f>
        <v>1.050054339681942</v>
      </c>
      <c r="O181" s="454"/>
    </row>
    <row r="182" spans="1:16" ht="19" customHeight="1" x14ac:dyDescent="0.4">
      <c r="A182" s="148" t="s">
        <v>97</v>
      </c>
      <c r="B182" s="78">
        <v>1901</v>
      </c>
      <c r="C182" s="78">
        <v>1564</v>
      </c>
      <c r="D182" s="78">
        <v>1714</v>
      </c>
      <c r="E182" s="78">
        <v>1652</v>
      </c>
      <c r="F182" s="75">
        <v>1844</v>
      </c>
      <c r="G182" s="75">
        <v>1753</v>
      </c>
      <c r="H182" s="75">
        <v>1907</v>
      </c>
      <c r="I182" s="75">
        <v>1835</v>
      </c>
      <c r="J182" s="75">
        <v>1687</v>
      </c>
      <c r="K182" s="75">
        <v>1765</v>
      </c>
      <c r="L182" s="78">
        <v>1742</v>
      </c>
      <c r="M182" s="78">
        <v>1794</v>
      </c>
      <c r="N182" s="74">
        <f>AVERAGE(B182:M182)</f>
        <v>1763.1666666666667</v>
      </c>
      <c r="O182" s="456">
        <f>SUM(B182:M182)</f>
        <v>21158</v>
      </c>
    </row>
    <row r="183" spans="1:16" ht="19" customHeight="1" x14ac:dyDescent="0.4">
      <c r="A183" s="149" t="s">
        <v>112</v>
      </c>
      <c r="B183" s="77">
        <f t="shared" ref="B183:M183" si="85">B182/B142</f>
        <v>0.9679226069246436</v>
      </c>
      <c r="C183" s="77">
        <f t="shared" si="85"/>
        <v>0.79795918367346941</v>
      </c>
      <c r="D183" s="77">
        <f t="shared" si="85"/>
        <v>0.81502615311459814</v>
      </c>
      <c r="E183" s="77">
        <f t="shared" si="85"/>
        <v>0.88012786361214701</v>
      </c>
      <c r="F183" s="77">
        <f t="shared" si="85"/>
        <v>1.0120746432491767</v>
      </c>
      <c r="G183" s="77">
        <f t="shared" si="85"/>
        <v>1.0604960677555959</v>
      </c>
      <c r="H183" s="77">
        <f t="shared" si="85"/>
        <v>1.0269251480883146</v>
      </c>
      <c r="I183" s="77">
        <f t="shared" si="85"/>
        <v>0.9683377308707124</v>
      </c>
      <c r="J183" s="77">
        <f t="shared" si="85"/>
        <v>1.0745222929936307</v>
      </c>
      <c r="K183" s="77">
        <f t="shared" si="85"/>
        <v>1.0172910662824208</v>
      </c>
      <c r="L183" s="77">
        <f t="shared" si="85"/>
        <v>1.0181180596142607</v>
      </c>
      <c r="M183" s="77">
        <f t="shared" si="85"/>
        <v>1.0800722456351595</v>
      </c>
      <c r="N183" s="77">
        <f>AVERAGEIF(B183:M183,"&lt;&gt;0",B183:M183)</f>
        <v>0.97657275515117759</v>
      </c>
      <c r="O183" s="454"/>
    </row>
    <row r="184" spans="1:16" ht="19" customHeight="1" x14ac:dyDescent="0.4">
      <c r="A184" s="148" t="s">
        <v>98</v>
      </c>
      <c r="B184" s="78">
        <v>11922</v>
      </c>
      <c r="C184" s="78">
        <v>8063</v>
      </c>
      <c r="D184" s="78">
        <v>10659</v>
      </c>
      <c r="E184" s="78">
        <v>8535</v>
      </c>
      <c r="F184" s="78">
        <v>9608</v>
      </c>
      <c r="G184" s="78">
        <v>8888</v>
      </c>
      <c r="H184" s="78">
        <v>9980</v>
      </c>
      <c r="I184" s="78">
        <v>10494</v>
      </c>
      <c r="J184" s="78">
        <v>9616</v>
      </c>
      <c r="K184" s="78">
        <v>9901</v>
      </c>
      <c r="L184" s="78">
        <v>10364</v>
      </c>
      <c r="M184" s="78">
        <v>11075</v>
      </c>
      <c r="N184" s="74">
        <f>AVERAGE(B184:M184)</f>
        <v>9925.4166666666661</v>
      </c>
      <c r="O184" s="456">
        <f>SUM(B184:M184)</f>
        <v>119105</v>
      </c>
    </row>
    <row r="185" spans="1:16" ht="19" customHeight="1" x14ac:dyDescent="0.4">
      <c r="A185" s="149" t="s">
        <v>25</v>
      </c>
      <c r="B185" s="77">
        <f t="shared" ref="B185:M185" si="86">B184/B144</f>
        <v>1.853544776119403</v>
      </c>
      <c r="C185" s="77">
        <f t="shared" si="86"/>
        <v>0.87054631828978624</v>
      </c>
      <c r="D185" s="77">
        <f t="shared" si="86"/>
        <v>0.98257743362831862</v>
      </c>
      <c r="E185" s="77">
        <f t="shared" si="86"/>
        <v>1.1106050748210801</v>
      </c>
      <c r="F185" s="77">
        <f t="shared" si="86"/>
        <v>0.95091053048297702</v>
      </c>
      <c r="G185" s="77">
        <f t="shared" si="86"/>
        <v>0.88667198723064644</v>
      </c>
      <c r="H185" s="77">
        <f t="shared" si="86"/>
        <v>0.95740598618572526</v>
      </c>
      <c r="I185" s="77">
        <f t="shared" si="86"/>
        <v>0.92222515159504348</v>
      </c>
      <c r="J185" s="77">
        <f t="shared" si="86"/>
        <v>1.0011452368558043</v>
      </c>
      <c r="K185" s="77">
        <f t="shared" si="86"/>
        <v>1.015278917145201</v>
      </c>
      <c r="L185" s="77">
        <f t="shared" si="86"/>
        <v>0.95423994107356602</v>
      </c>
      <c r="M185" s="77">
        <f t="shared" si="86"/>
        <v>1.1902203116603975</v>
      </c>
      <c r="N185" s="77">
        <f>AVERAGEIF(B185:M185,"&lt;&gt;0",B185:M185)</f>
        <v>1.057947638757329</v>
      </c>
      <c r="O185" s="454"/>
    </row>
    <row r="186" spans="1:16" ht="19" customHeight="1" x14ac:dyDescent="0.4">
      <c r="A186" s="148" t="s">
        <v>99</v>
      </c>
      <c r="B186" s="78">
        <v>1914</v>
      </c>
      <c r="C186" s="78">
        <v>1348</v>
      </c>
      <c r="D186" s="78">
        <v>1416</v>
      </c>
      <c r="E186" s="78">
        <v>1265</v>
      </c>
      <c r="F186" s="75">
        <v>1300</v>
      </c>
      <c r="G186" s="75">
        <v>1558</v>
      </c>
      <c r="H186" s="75">
        <v>1564</v>
      </c>
      <c r="I186" s="75">
        <v>1595</v>
      </c>
      <c r="J186" s="75">
        <v>1811</v>
      </c>
      <c r="K186" s="75">
        <v>1573</v>
      </c>
      <c r="L186" s="75">
        <v>1726</v>
      </c>
      <c r="M186" s="75">
        <v>1873</v>
      </c>
      <c r="N186" s="74">
        <f>AVERAGE(B186:M186)</f>
        <v>1578.5833333333333</v>
      </c>
      <c r="O186" s="456">
        <f>SUM(B186:M186)</f>
        <v>18943</v>
      </c>
    </row>
    <row r="187" spans="1:16" ht="19" customHeight="1" x14ac:dyDescent="0.4">
      <c r="A187" s="149" t="s">
        <v>112</v>
      </c>
      <c r="B187" s="77">
        <f t="shared" ref="B187:M187" si="87">B186/B146</f>
        <v>1.1635258358662615</v>
      </c>
      <c r="C187" s="77">
        <f t="shared" si="87"/>
        <v>1.1433418150975403</v>
      </c>
      <c r="D187" s="77">
        <f t="shared" si="87"/>
        <v>0.946524064171123</v>
      </c>
      <c r="E187" s="77">
        <f t="shared" si="87"/>
        <v>0.96197718631178708</v>
      </c>
      <c r="F187" s="77">
        <f t="shared" si="87"/>
        <v>0.98484848484848486</v>
      </c>
      <c r="G187" s="77">
        <f t="shared" si="87"/>
        <v>1.1758490566037736</v>
      </c>
      <c r="H187" s="77">
        <f t="shared" si="87"/>
        <v>0.89988492520138086</v>
      </c>
      <c r="I187" s="77">
        <f t="shared" si="87"/>
        <v>0.9719683120048751</v>
      </c>
      <c r="J187" s="77">
        <f t="shared" si="87"/>
        <v>1.1985440105890139</v>
      </c>
      <c r="K187" s="77">
        <f t="shared" si="87"/>
        <v>0.91559953434225849</v>
      </c>
      <c r="L187" s="77">
        <f t="shared" si="87"/>
        <v>1.0347721822541966</v>
      </c>
      <c r="M187" s="77">
        <f t="shared" si="87"/>
        <v>0.98527091004734346</v>
      </c>
      <c r="N187" s="77">
        <f>AVERAGEIF(B187:M187,"&lt;&gt;0",B187:M187)</f>
        <v>1.0318421931115032</v>
      </c>
      <c r="O187" s="454"/>
    </row>
    <row r="188" spans="1:16" ht="19" customHeight="1" x14ac:dyDescent="0.4">
      <c r="A188" s="148" t="s">
        <v>121</v>
      </c>
      <c r="B188" s="78">
        <v>240</v>
      </c>
      <c r="C188" s="78">
        <v>209</v>
      </c>
      <c r="D188" s="78">
        <v>141</v>
      </c>
      <c r="E188" s="78">
        <v>166</v>
      </c>
      <c r="F188" s="78">
        <v>179</v>
      </c>
      <c r="G188" s="78">
        <v>182</v>
      </c>
      <c r="H188" s="78">
        <v>193</v>
      </c>
      <c r="I188" s="75">
        <v>225</v>
      </c>
      <c r="J188" s="75">
        <v>241</v>
      </c>
      <c r="K188" s="75">
        <v>206</v>
      </c>
      <c r="L188" s="75">
        <v>292</v>
      </c>
      <c r="M188" s="75">
        <v>270</v>
      </c>
      <c r="N188" s="74">
        <f>AVERAGE(B188:M188)</f>
        <v>212</v>
      </c>
      <c r="O188" s="456">
        <f>SUM(B188:M188)</f>
        <v>2544</v>
      </c>
    </row>
    <row r="189" spans="1:16" ht="19" customHeight="1" thickBot="1" x14ac:dyDescent="0.45">
      <c r="A189" s="158" t="s">
        <v>25</v>
      </c>
      <c r="B189" s="160">
        <f t="shared" ref="B189:M189" si="88">B188/B148</f>
        <v>0.87912087912087911</v>
      </c>
      <c r="C189" s="160">
        <f t="shared" si="88"/>
        <v>0.93721973094170408</v>
      </c>
      <c r="D189" s="160">
        <f t="shared" si="88"/>
        <v>0.77472527472527475</v>
      </c>
      <c r="E189" s="160">
        <f t="shared" si="88"/>
        <v>0.92737430167597767</v>
      </c>
      <c r="F189" s="160">
        <f t="shared" si="88"/>
        <v>1.1329113924050633</v>
      </c>
      <c r="G189" s="160">
        <f t="shared" si="88"/>
        <v>0.8125</v>
      </c>
      <c r="H189" s="160">
        <f t="shared" si="88"/>
        <v>0.83913043478260874</v>
      </c>
      <c r="I189" s="159">
        <f t="shared" si="88"/>
        <v>1.0765550239234449</v>
      </c>
      <c r="J189" s="159">
        <f t="shared" si="88"/>
        <v>0.82534246575342463</v>
      </c>
      <c r="K189" s="159">
        <f t="shared" si="88"/>
        <v>0.95370370370370372</v>
      </c>
      <c r="L189" s="159">
        <f t="shared" si="88"/>
        <v>1.0465949820788532</v>
      </c>
      <c r="M189" s="159">
        <f t="shared" si="88"/>
        <v>1.0975609756097562</v>
      </c>
      <c r="N189" s="160">
        <f>AVERAGEIF(B189:M189,"&lt;&gt;0",B189:M189)</f>
        <v>0.94189493039339078</v>
      </c>
      <c r="O189" s="457"/>
    </row>
    <row r="190" spans="1:16" ht="19" customHeight="1" thickTop="1" x14ac:dyDescent="0.4">
      <c r="A190" s="179" t="s">
        <v>100</v>
      </c>
      <c r="B190" s="180">
        <f t="shared" ref="B190:N190" si="89">B174+B176+B178+B180+B182+B184+B186+B188</f>
        <v>470475</v>
      </c>
      <c r="C190" s="180">
        <f t="shared" si="89"/>
        <v>313536</v>
      </c>
      <c r="D190" s="180">
        <f t="shared" si="89"/>
        <v>405950</v>
      </c>
      <c r="E190" s="180">
        <f t="shared" si="89"/>
        <v>375071</v>
      </c>
      <c r="F190" s="180">
        <f t="shared" si="89"/>
        <v>401790</v>
      </c>
      <c r="G190" s="180">
        <f t="shared" si="89"/>
        <v>373657</v>
      </c>
      <c r="H190" s="180">
        <f t="shared" si="89"/>
        <v>431812</v>
      </c>
      <c r="I190" s="180">
        <f t="shared" si="89"/>
        <v>419958</v>
      </c>
      <c r="J190" s="180">
        <f t="shared" si="89"/>
        <v>383476</v>
      </c>
      <c r="K190" s="180">
        <f t="shared" si="89"/>
        <v>398988</v>
      </c>
      <c r="L190" s="180">
        <f t="shared" si="89"/>
        <v>427421</v>
      </c>
      <c r="M190" s="180">
        <f t="shared" si="89"/>
        <v>453164</v>
      </c>
      <c r="N190" s="180">
        <f t="shared" si="89"/>
        <v>404608.16666666663</v>
      </c>
      <c r="O190" s="458">
        <f>SUM(B190:M190)</f>
        <v>4855298</v>
      </c>
    </row>
    <row r="191" spans="1:16" ht="19" customHeight="1" thickBot="1" x14ac:dyDescent="0.45">
      <c r="A191" s="181" t="s">
        <v>112</v>
      </c>
      <c r="B191" s="190">
        <f t="shared" ref="B191:M191" si="90">B190/B150</f>
        <v>1.4439100891865182</v>
      </c>
      <c r="C191" s="190">
        <f t="shared" si="90"/>
        <v>0.84377548191944285</v>
      </c>
      <c r="D191" s="190">
        <f t="shared" si="90"/>
        <v>0.91835788244928618</v>
      </c>
      <c r="E191" s="190">
        <f t="shared" si="90"/>
        <v>1.108316711729681</v>
      </c>
      <c r="F191" s="190">
        <f t="shared" si="90"/>
        <v>1.0225069093463224</v>
      </c>
      <c r="G191" s="190">
        <f t="shared" si="90"/>
        <v>0.99059660024814156</v>
      </c>
      <c r="H191" s="190">
        <f t="shared" si="90"/>
        <v>1.0460257938238229</v>
      </c>
      <c r="I191" s="190">
        <f t="shared" si="90"/>
        <v>0.99277095901809864</v>
      </c>
      <c r="J191" s="190">
        <f t="shared" si="90"/>
        <v>1.0143284513792821</v>
      </c>
      <c r="K191" s="190">
        <f t="shared" si="90"/>
        <v>0.99619735787531427</v>
      </c>
      <c r="L191" s="190">
        <f t="shared" si="90"/>
        <v>1.0121647990451923</v>
      </c>
      <c r="M191" s="190">
        <f t="shared" si="90"/>
        <v>1.052895227208305</v>
      </c>
      <c r="N191" s="190">
        <f>AVERAGEIF(B191:M191,"&lt;&gt;0",B191:M191)</f>
        <v>1.0368205219357838</v>
      </c>
      <c r="O191" s="459"/>
    </row>
    <row r="192" spans="1:16" ht="19" customHeight="1" thickBot="1" x14ac:dyDescent="0.4">
      <c r="A192" s="161" t="s">
        <v>113</v>
      </c>
      <c r="B192" s="150"/>
      <c r="C192" s="151"/>
      <c r="D192" s="151"/>
      <c r="E192" s="151"/>
      <c r="F192" s="152"/>
      <c r="G192" s="152"/>
      <c r="H192" s="151"/>
      <c r="I192" s="151"/>
      <c r="J192" s="151"/>
      <c r="K192" s="151"/>
      <c r="L192" s="151"/>
      <c r="M192" s="151"/>
      <c r="N192" s="69"/>
      <c r="O192" s="69"/>
    </row>
    <row r="193" spans="1:15" ht="19" customHeight="1" x14ac:dyDescent="0.4">
      <c r="A193" s="153" t="s">
        <v>101</v>
      </c>
      <c r="B193" s="154">
        <v>2753673</v>
      </c>
      <c r="C193" s="154">
        <v>1874868</v>
      </c>
      <c r="D193" s="154">
        <v>2456497</v>
      </c>
      <c r="E193" s="154">
        <v>2243526</v>
      </c>
      <c r="F193" s="154">
        <v>2422505</v>
      </c>
      <c r="G193" s="154">
        <v>2348098</v>
      </c>
      <c r="H193" s="154">
        <v>2549582</v>
      </c>
      <c r="I193" s="154">
        <v>2440104</v>
      </c>
      <c r="J193" s="154">
        <v>2271015</v>
      </c>
      <c r="K193" s="154">
        <v>2336004</v>
      </c>
      <c r="L193" s="154">
        <v>2475542</v>
      </c>
      <c r="M193" s="154">
        <v>2786422</v>
      </c>
      <c r="N193" s="155">
        <f>AVERAGE(B193:M193)</f>
        <v>2413153</v>
      </c>
      <c r="O193" s="453">
        <f>SUM(B193:M193)</f>
        <v>28957836</v>
      </c>
    </row>
    <row r="194" spans="1:15" ht="19" customHeight="1" x14ac:dyDescent="0.4">
      <c r="A194" s="149" t="s">
        <v>25</v>
      </c>
      <c r="B194" s="77">
        <f t="shared" ref="B194:M194" si="91">B193/B153</f>
        <v>1.2981436792365217</v>
      </c>
      <c r="C194" s="77">
        <f t="shared" si="91"/>
        <v>0.89767378392548069</v>
      </c>
      <c r="D194" s="77">
        <f t="shared" si="91"/>
        <v>0.9418173550715192</v>
      </c>
      <c r="E194" s="77">
        <f t="shared" si="91"/>
        <v>1.1120167293753893</v>
      </c>
      <c r="F194" s="77">
        <f t="shared" si="91"/>
        <v>1.0733600775564749</v>
      </c>
      <c r="G194" s="77">
        <f t="shared" si="91"/>
        <v>0.98695657656370184</v>
      </c>
      <c r="H194" s="77">
        <f t="shared" si="91"/>
        <v>1.0767884481779231</v>
      </c>
      <c r="I194" s="77">
        <f t="shared" si="91"/>
        <v>1.0121708355404493</v>
      </c>
      <c r="J194" s="77">
        <f t="shared" si="91"/>
        <v>1.0159368163944547</v>
      </c>
      <c r="K194" s="77">
        <f t="shared" si="91"/>
        <v>0.98640278185376684</v>
      </c>
      <c r="L194" s="77">
        <f t="shared" si="91"/>
        <v>0.98663374090652389</v>
      </c>
      <c r="M194" s="77">
        <f t="shared" si="91"/>
        <v>1.0192900509165455</v>
      </c>
      <c r="N194" s="77">
        <f>AVERAGEIF(B194:M194,"&lt;&gt;0",B194:M194)</f>
        <v>1.0339325729598958</v>
      </c>
      <c r="O194" s="454"/>
    </row>
    <row r="195" spans="1:15" ht="19" customHeight="1" x14ac:dyDescent="0.4">
      <c r="A195" s="148" t="s">
        <v>118</v>
      </c>
      <c r="B195" s="78">
        <v>323290</v>
      </c>
      <c r="C195" s="78">
        <v>169753</v>
      </c>
      <c r="D195" s="78">
        <v>259715</v>
      </c>
      <c r="E195" s="78">
        <v>209435</v>
      </c>
      <c r="F195" s="78">
        <v>255922</v>
      </c>
      <c r="G195" s="78">
        <v>243968</v>
      </c>
      <c r="H195" s="78">
        <v>310262</v>
      </c>
      <c r="I195" s="78">
        <v>215236</v>
      </c>
      <c r="J195" s="78">
        <v>257663</v>
      </c>
      <c r="K195" s="78">
        <v>253596</v>
      </c>
      <c r="L195" s="78">
        <v>247808</v>
      </c>
      <c r="M195" s="78">
        <v>330378</v>
      </c>
      <c r="N195" s="74">
        <f>AVERAGE(B195:M195)</f>
        <v>256418.83333333334</v>
      </c>
      <c r="O195" s="455">
        <f>SUM(B195:M195)</f>
        <v>3077026</v>
      </c>
    </row>
    <row r="196" spans="1:15" ht="19" customHeight="1" x14ac:dyDescent="0.4">
      <c r="A196" s="149" t="s">
        <v>25</v>
      </c>
      <c r="B196" s="124">
        <f t="shared" ref="B196:M196" si="92">B195/B155</f>
        <v>2.2093968904835126</v>
      </c>
      <c r="C196" s="124">
        <f t="shared" si="92"/>
        <v>1.0470565739804101</v>
      </c>
      <c r="D196" s="124">
        <f t="shared" si="92"/>
        <v>1.3085527144476634</v>
      </c>
      <c r="E196" s="124">
        <f t="shared" si="92"/>
        <v>0.8834012434726124</v>
      </c>
      <c r="F196" s="124">
        <f t="shared" si="92"/>
        <v>1.4158345181652716</v>
      </c>
      <c r="G196" s="124">
        <f t="shared" si="92"/>
        <v>1.110661932076846</v>
      </c>
      <c r="H196" s="124">
        <f t="shared" si="92"/>
        <v>1.2681094557864836</v>
      </c>
      <c r="I196" s="124">
        <f t="shared" si="92"/>
        <v>0.84557483185618199</v>
      </c>
      <c r="J196" s="124">
        <f t="shared" si="92"/>
        <v>1.0913022117184654</v>
      </c>
      <c r="K196" s="124">
        <f t="shared" si="92"/>
        <v>1.1708844102777201</v>
      </c>
      <c r="L196" s="124">
        <f t="shared" si="92"/>
        <v>1.0931291244662455</v>
      </c>
      <c r="M196" s="124">
        <f t="shared" si="92"/>
        <v>1.0063081201436461</v>
      </c>
      <c r="N196" s="77">
        <f>AVERAGEIF(B196:M196,"&lt;&gt;0",B196:M196)</f>
        <v>1.2041843355729218</v>
      </c>
      <c r="O196" s="454"/>
    </row>
    <row r="197" spans="1:15" ht="19" customHeight="1" x14ac:dyDescent="0.4">
      <c r="A197" s="156" t="s">
        <v>103</v>
      </c>
      <c r="B197" s="113">
        <v>7825</v>
      </c>
      <c r="C197" s="103">
        <v>5456</v>
      </c>
      <c r="D197" s="78">
        <v>7006</v>
      </c>
      <c r="E197" s="74">
        <v>5075</v>
      </c>
      <c r="F197" s="74">
        <v>5146</v>
      </c>
      <c r="G197" s="78">
        <v>7080</v>
      </c>
      <c r="H197" s="78">
        <v>6111</v>
      </c>
      <c r="I197" s="78">
        <v>5580</v>
      </c>
      <c r="J197" s="78">
        <v>7929</v>
      </c>
      <c r="K197" s="78">
        <v>5498</v>
      </c>
      <c r="L197" s="78">
        <v>5298</v>
      </c>
      <c r="M197" s="78">
        <v>7887</v>
      </c>
      <c r="N197" s="74">
        <f>AVERAGE(B197:M197)</f>
        <v>6324.25</v>
      </c>
      <c r="O197" s="456">
        <f>SUM(B197:M197)</f>
        <v>75891</v>
      </c>
    </row>
    <row r="198" spans="1:15" ht="19" customHeight="1" x14ac:dyDescent="0.4">
      <c r="A198" s="157" t="s">
        <v>25</v>
      </c>
      <c r="B198" s="77">
        <f t="shared" ref="B198:M198" si="93">B197/B157</f>
        <v>1.8126013435255965</v>
      </c>
      <c r="C198" s="77">
        <f t="shared" si="93"/>
        <v>1.0494325831890747</v>
      </c>
      <c r="D198" s="77">
        <f t="shared" si="93"/>
        <v>1.0511627906976744</v>
      </c>
      <c r="E198" s="77">
        <f t="shared" si="93"/>
        <v>0.89128907622058307</v>
      </c>
      <c r="F198" s="77">
        <f t="shared" si="93"/>
        <v>0.95544002970664688</v>
      </c>
      <c r="G198" s="77">
        <f t="shared" si="93"/>
        <v>1.5509309967141292</v>
      </c>
      <c r="H198" s="77">
        <f t="shared" si="93"/>
        <v>0.96145374449339205</v>
      </c>
      <c r="I198" s="77">
        <f t="shared" si="93"/>
        <v>0.86018190226607061</v>
      </c>
      <c r="J198" s="77">
        <f t="shared" si="93"/>
        <v>1.4041083761289179</v>
      </c>
      <c r="K198" s="77">
        <f t="shared" si="93"/>
        <v>0.82170079210880287</v>
      </c>
      <c r="L198" s="77">
        <f t="shared" si="93"/>
        <v>0.71401617250673854</v>
      </c>
      <c r="M198" s="77">
        <f t="shared" si="93"/>
        <v>1.4033807829181495</v>
      </c>
      <c r="N198" s="77">
        <f>AVERAGEIF(B198:M198,"&lt;&gt;0",B198:M198)</f>
        <v>1.1229748825396482</v>
      </c>
      <c r="O198" s="454"/>
    </row>
    <row r="199" spans="1:15" ht="19" customHeight="1" x14ac:dyDescent="0.4">
      <c r="A199" s="148" t="s">
        <v>104</v>
      </c>
      <c r="B199" s="106">
        <v>168215</v>
      </c>
      <c r="C199" s="78">
        <v>113729</v>
      </c>
      <c r="D199" s="78">
        <v>103777</v>
      </c>
      <c r="E199" s="78">
        <v>126608</v>
      </c>
      <c r="F199" s="78">
        <v>159721</v>
      </c>
      <c r="G199" s="78">
        <v>135811</v>
      </c>
      <c r="H199" s="78">
        <v>201654</v>
      </c>
      <c r="I199" s="78">
        <v>148881</v>
      </c>
      <c r="J199" s="78">
        <v>107787</v>
      </c>
      <c r="K199" s="78">
        <v>90020</v>
      </c>
      <c r="L199" s="78">
        <v>146340</v>
      </c>
      <c r="M199" s="78">
        <v>153131</v>
      </c>
      <c r="N199" s="74">
        <f>AVERAGE(B199:M199)</f>
        <v>137972.83333333334</v>
      </c>
      <c r="O199" s="456">
        <f>SUM(B199:M199)</f>
        <v>1655674</v>
      </c>
    </row>
    <row r="200" spans="1:15" ht="19" customHeight="1" x14ac:dyDescent="0.4">
      <c r="A200" s="149" t="s">
        <v>25</v>
      </c>
      <c r="B200" s="77">
        <f t="shared" ref="B200:M200" si="94">B199/B159</f>
        <v>2.1137317483853133</v>
      </c>
      <c r="C200" s="77">
        <f t="shared" si="94"/>
        <v>1.3628563553787343</v>
      </c>
      <c r="D200" s="77">
        <f t="shared" si="94"/>
        <v>0.75628188310741873</v>
      </c>
      <c r="E200" s="77">
        <f t="shared" si="94"/>
        <v>1.2936872866981384</v>
      </c>
      <c r="F200" s="77">
        <f t="shared" si="94"/>
        <v>1.1177429739110962</v>
      </c>
      <c r="G200" s="77">
        <f t="shared" si="94"/>
        <v>0.98159832896058752</v>
      </c>
      <c r="H200" s="77">
        <f t="shared" si="94"/>
        <v>1.0277981651376147</v>
      </c>
      <c r="I200" s="77">
        <f t="shared" si="94"/>
        <v>1.3060424232854362</v>
      </c>
      <c r="J200" s="77">
        <f t="shared" si="94"/>
        <v>0.89283820946953385</v>
      </c>
      <c r="K200" s="77">
        <f t="shared" si="94"/>
        <v>0.58390846349436976</v>
      </c>
      <c r="L200" s="77">
        <f t="shared" si="94"/>
        <v>0.81625140141563901</v>
      </c>
      <c r="M200" s="77">
        <f t="shared" si="94"/>
        <v>1.1495285709996097</v>
      </c>
      <c r="N200" s="77">
        <f>AVERAGEIF(B200:M200,"&lt;&gt;0",B200:M200)</f>
        <v>1.1168554841869578</v>
      </c>
      <c r="O200" s="454"/>
    </row>
    <row r="201" spans="1:15" ht="19" customHeight="1" x14ac:dyDescent="0.4">
      <c r="A201" s="148" t="s">
        <v>105</v>
      </c>
      <c r="B201" s="78">
        <v>21698</v>
      </c>
      <c r="C201" s="78">
        <v>15311</v>
      </c>
      <c r="D201" s="78">
        <v>17559</v>
      </c>
      <c r="E201" s="78">
        <v>18099</v>
      </c>
      <c r="F201" s="78">
        <v>21129</v>
      </c>
      <c r="G201" s="78">
        <v>20893</v>
      </c>
      <c r="H201" s="78">
        <v>20385</v>
      </c>
      <c r="I201" s="78">
        <v>18152</v>
      </c>
      <c r="J201" s="78">
        <v>16156</v>
      </c>
      <c r="K201" s="78">
        <v>15671</v>
      </c>
      <c r="L201" s="78">
        <v>14842</v>
      </c>
      <c r="M201" s="78">
        <v>17818</v>
      </c>
      <c r="N201" s="74">
        <f>AVERAGE(B201:M201)</f>
        <v>18142.75</v>
      </c>
      <c r="O201" s="456">
        <f>SUM(B201:M201)</f>
        <v>217713</v>
      </c>
    </row>
    <row r="202" spans="1:15" ht="19" customHeight="1" x14ac:dyDescent="0.4">
      <c r="A202" s="149" t="s">
        <v>25</v>
      </c>
      <c r="B202" s="77">
        <f t="shared" ref="B202:M202" si="95">B201/B161</f>
        <v>1.0652462074721389</v>
      </c>
      <c r="C202" s="77">
        <f t="shared" si="95"/>
        <v>0.77712922545934426</v>
      </c>
      <c r="D202" s="77">
        <f t="shared" si="95"/>
        <v>0.83909968460288631</v>
      </c>
      <c r="E202" s="77">
        <f t="shared" si="95"/>
        <v>1.0095944664472583</v>
      </c>
      <c r="F202" s="77">
        <f t="shared" si="95"/>
        <v>0.94880775966590325</v>
      </c>
      <c r="G202" s="77">
        <f t="shared" si="95"/>
        <v>1.101951476793249</v>
      </c>
      <c r="H202" s="77">
        <f t="shared" si="95"/>
        <v>1.0199129434132186</v>
      </c>
      <c r="I202" s="79">
        <f t="shared" si="95"/>
        <v>0.91797309598462629</v>
      </c>
      <c r="J202" s="79">
        <f t="shared" si="95"/>
        <v>0.95909765509053135</v>
      </c>
      <c r="K202" s="79">
        <f t="shared" si="95"/>
        <v>0.92727810650887577</v>
      </c>
      <c r="L202" s="79">
        <f t="shared" si="95"/>
        <v>0.84176497277676954</v>
      </c>
      <c r="M202" s="79">
        <f t="shared" si="95"/>
        <v>1.1824275001659035</v>
      </c>
      <c r="N202" s="77">
        <f>AVERAGEIF(B202:M202,"&lt;&gt;0",B202:M202)</f>
        <v>0.96585692453172545</v>
      </c>
      <c r="O202" s="454"/>
    </row>
    <row r="203" spans="1:15" ht="19" customHeight="1" x14ac:dyDescent="0.4">
      <c r="A203" s="148" t="s">
        <v>106</v>
      </c>
      <c r="B203" s="78">
        <v>20762</v>
      </c>
      <c r="C203" s="78">
        <v>13747</v>
      </c>
      <c r="D203" s="78">
        <v>18190</v>
      </c>
      <c r="E203" s="78">
        <v>15464</v>
      </c>
      <c r="F203" s="78">
        <v>15822</v>
      </c>
      <c r="G203" s="78">
        <v>14863</v>
      </c>
      <c r="H203" s="78">
        <v>16276</v>
      </c>
      <c r="I203" s="78">
        <v>16997</v>
      </c>
      <c r="J203" s="78">
        <v>15624</v>
      </c>
      <c r="K203" s="78">
        <v>16532</v>
      </c>
      <c r="L203" s="78">
        <v>16877</v>
      </c>
      <c r="M203" s="78">
        <v>17616</v>
      </c>
      <c r="N203" s="74">
        <f>AVERAGE(B203:M203)</f>
        <v>16564.166666666668</v>
      </c>
      <c r="O203" s="456">
        <f>SUM(B203:M203)</f>
        <v>198770</v>
      </c>
    </row>
    <row r="204" spans="1:15" ht="19" customHeight="1" x14ac:dyDescent="0.4">
      <c r="A204" s="149" t="s">
        <v>25</v>
      </c>
      <c r="B204" s="77">
        <f t="shared" ref="B204:M204" si="96">B203/B163</f>
        <v>1.6860484001949001</v>
      </c>
      <c r="C204" s="77">
        <f t="shared" si="96"/>
        <v>0.86166478626049892</v>
      </c>
      <c r="D204" s="77">
        <f t="shared" si="96"/>
        <v>0.90931813637272541</v>
      </c>
      <c r="E204" s="77">
        <f t="shared" si="96"/>
        <v>1.1553231228987673</v>
      </c>
      <c r="F204" s="77">
        <f t="shared" si="96"/>
        <v>0.92873914064334351</v>
      </c>
      <c r="G204" s="77">
        <f t="shared" si="96"/>
        <v>0.857348869404707</v>
      </c>
      <c r="H204" s="77">
        <f t="shared" si="96"/>
        <v>0.88078359218572433</v>
      </c>
      <c r="I204" s="79">
        <f t="shared" si="96"/>
        <v>0.90007413683541626</v>
      </c>
      <c r="J204" s="79">
        <f t="shared" si="96"/>
        <v>0.91636363636363638</v>
      </c>
      <c r="K204" s="79">
        <f t="shared" si="96"/>
        <v>1.0099578471501007</v>
      </c>
      <c r="L204" s="79">
        <f t="shared" si="96"/>
        <v>0.91972752043596728</v>
      </c>
      <c r="M204" s="79">
        <f t="shared" si="96"/>
        <v>1.131261238119702</v>
      </c>
      <c r="N204" s="77">
        <f>AVERAGEIF(B204:M204,"&lt;&gt;0",B204:M204)</f>
        <v>1.0130508689054576</v>
      </c>
      <c r="O204" s="454"/>
    </row>
    <row r="205" spans="1:15" ht="19" customHeight="1" x14ac:dyDescent="0.4">
      <c r="A205" s="148" t="s">
        <v>107</v>
      </c>
      <c r="B205" s="78">
        <v>10442</v>
      </c>
      <c r="C205" s="78">
        <v>7693</v>
      </c>
      <c r="D205" s="78">
        <v>7629</v>
      </c>
      <c r="E205" s="78">
        <v>5920</v>
      </c>
      <c r="F205" s="78">
        <v>6140</v>
      </c>
      <c r="G205" s="78">
        <v>7277</v>
      </c>
      <c r="H205" s="78">
        <v>7561</v>
      </c>
      <c r="I205" s="78">
        <v>7237</v>
      </c>
      <c r="J205" s="78">
        <v>8633</v>
      </c>
      <c r="K205" s="78">
        <v>7728</v>
      </c>
      <c r="L205" s="78">
        <v>8540</v>
      </c>
      <c r="M205" s="78">
        <v>9823</v>
      </c>
      <c r="N205" s="74">
        <f>AVERAGE(B205:M205)</f>
        <v>7885.25</v>
      </c>
      <c r="O205" s="456">
        <f>SUM(B205:M205)</f>
        <v>94623</v>
      </c>
    </row>
    <row r="206" spans="1:15" ht="19" customHeight="1" x14ac:dyDescent="0.4">
      <c r="A206" s="149" t="s">
        <v>25</v>
      </c>
      <c r="B206" s="77">
        <f t="shared" ref="B206:M206" si="97">B205/B165</f>
        <v>1.1332754504015627</v>
      </c>
      <c r="C206" s="77">
        <f t="shared" si="97"/>
        <v>1.1684386391251518</v>
      </c>
      <c r="D206" s="77">
        <f t="shared" si="97"/>
        <v>0.97970977269808657</v>
      </c>
      <c r="E206" s="77">
        <f t="shared" si="97"/>
        <v>0.89574822212134964</v>
      </c>
      <c r="F206" s="77">
        <f t="shared" si="97"/>
        <v>0.9900032247662045</v>
      </c>
      <c r="G206" s="77">
        <f t="shared" si="97"/>
        <v>1.1306712243629584</v>
      </c>
      <c r="H206" s="77">
        <f t="shared" si="97"/>
        <v>0.83316804407713496</v>
      </c>
      <c r="I206" s="79">
        <f t="shared" si="97"/>
        <v>0.88461068329055126</v>
      </c>
      <c r="J206" s="79">
        <f t="shared" si="97"/>
        <v>1.1774413529732679</v>
      </c>
      <c r="K206" s="79">
        <f t="shared" si="97"/>
        <v>1.0964812712826333</v>
      </c>
      <c r="L206" s="79">
        <f t="shared" si="97"/>
        <v>1.0032894736842106</v>
      </c>
      <c r="M206" s="79">
        <f t="shared" si="97"/>
        <v>0.92113653413353336</v>
      </c>
      <c r="N206" s="77">
        <f>AVERAGEIF(B206:M206,"&lt;&gt;0",B206:M206)</f>
        <v>1.0178311577430537</v>
      </c>
      <c r="O206" s="454"/>
    </row>
    <row r="207" spans="1:15" ht="19" customHeight="1" x14ac:dyDescent="0.4">
      <c r="A207" s="148" t="s">
        <v>119</v>
      </c>
      <c r="B207" s="78">
        <v>1412</v>
      </c>
      <c r="C207" s="78">
        <v>1348</v>
      </c>
      <c r="D207" s="78">
        <v>867</v>
      </c>
      <c r="E207" s="78">
        <v>1051</v>
      </c>
      <c r="F207" s="78">
        <v>1005</v>
      </c>
      <c r="G207" s="78">
        <v>1027</v>
      </c>
      <c r="H207" s="78">
        <v>1161</v>
      </c>
      <c r="I207" s="78">
        <v>1339</v>
      </c>
      <c r="J207" s="78">
        <v>1299</v>
      </c>
      <c r="K207" s="78">
        <v>1267</v>
      </c>
      <c r="L207" s="78">
        <v>1813</v>
      </c>
      <c r="M207" s="78">
        <v>1839</v>
      </c>
      <c r="N207" s="74">
        <f>AVERAGE(B207:M207)</f>
        <v>1285.6666666666667</v>
      </c>
      <c r="O207" s="456">
        <f>SUM(B207:M207)</f>
        <v>15428</v>
      </c>
    </row>
    <row r="208" spans="1:15" ht="19" customHeight="1" thickBot="1" x14ac:dyDescent="0.45">
      <c r="A208" s="158" t="s">
        <v>25</v>
      </c>
      <c r="B208" s="160">
        <f t="shared" ref="B208:M208" si="98">B207/B167</f>
        <v>0.92590163934426228</v>
      </c>
      <c r="C208" s="160">
        <f t="shared" si="98"/>
        <v>1.1908127208480566</v>
      </c>
      <c r="D208" s="160">
        <f t="shared" si="98"/>
        <v>0.94239130434782614</v>
      </c>
      <c r="E208" s="160">
        <f t="shared" si="98"/>
        <v>0.98500468603561386</v>
      </c>
      <c r="F208" s="160">
        <f t="shared" si="98"/>
        <v>0.86712683347713548</v>
      </c>
      <c r="G208" s="160">
        <f t="shared" si="98"/>
        <v>0.85512073272273104</v>
      </c>
      <c r="H208" s="160">
        <f t="shared" si="98"/>
        <v>0.93704600484261502</v>
      </c>
      <c r="I208" s="159">
        <f t="shared" si="98"/>
        <v>1.1860053144375553</v>
      </c>
      <c r="J208" s="159">
        <f t="shared" si="98"/>
        <v>0.81852551984877131</v>
      </c>
      <c r="K208" s="159">
        <f t="shared" si="98"/>
        <v>0.99139280125195617</v>
      </c>
      <c r="L208" s="159">
        <f t="shared" si="98"/>
        <v>1.1849673202614379</v>
      </c>
      <c r="M208" s="159">
        <f t="shared" si="98"/>
        <v>1.2450914014895058</v>
      </c>
      <c r="N208" s="160">
        <f>AVERAGEIF(B208:M208,"&lt;&gt;0",B208:M208)</f>
        <v>1.0107821899089553</v>
      </c>
      <c r="O208" s="457"/>
    </row>
    <row r="209" spans="1:20" ht="19" customHeight="1" thickTop="1" x14ac:dyDescent="0.4">
      <c r="A209" s="179" t="s">
        <v>108</v>
      </c>
      <c r="B209" s="183">
        <f t="shared" ref="B209:M209" si="99">B193+B195+B197+B199+B201+B203+B205+B207</f>
        <v>3307317</v>
      </c>
      <c r="C209" s="183">
        <f t="shared" si="99"/>
        <v>2201905</v>
      </c>
      <c r="D209" s="183">
        <f t="shared" si="99"/>
        <v>2871240</v>
      </c>
      <c r="E209" s="183">
        <f t="shared" si="99"/>
        <v>2625178</v>
      </c>
      <c r="F209" s="183">
        <f t="shared" si="99"/>
        <v>2887390</v>
      </c>
      <c r="G209" s="183">
        <f t="shared" si="99"/>
        <v>2779017</v>
      </c>
      <c r="H209" s="183">
        <f t="shared" si="99"/>
        <v>3112992</v>
      </c>
      <c r="I209" s="183">
        <f t="shared" si="99"/>
        <v>2853526</v>
      </c>
      <c r="J209" s="183">
        <f t="shared" si="99"/>
        <v>2686106</v>
      </c>
      <c r="K209" s="183">
        <f t="shared" si="99"/>
        <v>2726316</v>
      </c>
      <c r="L209" s="183">
        <f t="shared" si="99"/>
        <v>2917060</v>
      </c>
      <c r="M209" s="183">
        <f t="shared" si="99"/>
        <v>3324914</v>
      </c>
      <c r="N209" s="183">
        <f>AVERAGEIF(B209:M209,"&lt;&gt;0",B209:M209)</f>
        <v>2857746.75</v>
      </c>
      <c r="O209" s="458">
        <f>SUM(B209:M209)</f>
        <v>34292961</v>
      </c>
    </row>
    <row r="210" spans="1:20" ht="19" customHeight="1" thickBot="1" x14ac:dyDescent="0.45">
      <c r="A210" s="181" t="s">
        <v>112</v>
      </c>
      <c r="B210" s="190">
        <f t="shared" ref="B210:M210" si="100">B209/B169</f>
        <v>1.3809919891769333</v>
      </c>
      <c r="C210" s="190">
        <f t="shared" si="100"/>
        <v>0.92411054719189634</v>
      </c>
      <c r="D210" s="190">
        <f t="shared" si="100"/>
        <v>0.95700056895277696</v>
      </c>
      <c r="E210" s="190">
        <f t="shared" si="100"/>
        <v>1.0951223429440315</v>
      </c>
      <c r="F210" s="182">
        <f t="shared" si="100"/>
        <v>1.096765567352328</v>
      </c>
      <c r="G210" s="182">
        <f t="shared" si="100"/>
        <v>0.99762065877023098</v>
      </c>
      <c r="H210" s="182">
        <f t="shared" si="100"/>
        <v>1.0870273618724435</v>
      </c>
      <c r="I210" s="182">
        <f t="shared" si="100"/>
        <v>1.006976606313317</v>
      </c>
      <c r="J210" s="182">
        <f t="shared" si="100"/>
        <v>1.0172020020593173</v>
      </c>
      <c r="K210" s="182">
        <f t="shared" si="100"/>
        <v>0.97814041397165086</v>
      </c>
      <c r="L210" s="182">
        <f t="shared" si="100"/>
        <v>0.98267072078779127</v>
      </c>
      <c r="M210" s="182">
        <f t="shared" si="100"/>
        <v>1.0250658987979442</v>
      </c>
      <c r="N210" s="184">
        <f>AVERAGEIF(B210:M210,"&lt;&gt;0",B210:M210)</f>
        <v>1.0457245565158886</v>
      </c>
      <c r="O210" s="459"/>
    </row>
    <row r="212" spans="1:20" ht="17" x14ac:dyDescent="0.4">
      <c r="A212" s="1" t="s">
        <v>123</v>
      </c>
      <c r="B212" s="70">
        <v>25</v>
      </c>
      <c r="C212" s="70">
        <v>18</v>
      </c>
      <c r="D212" s="70">
        <v>26</v>
      </c>
      <c r="E212" s="70">
        <v>24</v>
      </c>
      <c r="F212" s="70">
        <v>26</v>
      </c>
      <c r="G212" s="70">
        <v>23</v>
      </c>
      <c r="H212" s="70">
        <v>25</v>
      </c>
      <c r="I212" s="70">
        <v>27</v>
      </c>
      <c r="J212" s="70">
        <v>24</v>
      </c>
      <c r="K212" s="70">
        <v>23</v>
      </c>
      <c r="L212" s="70">
        <v>26</v>
      </c>
      <c r="M212" s="70">
        <v>25</v>
      </c>
      <c r="N212" s="69"/>
      <c r="O212" s="69"/>
    </row>
    <row r="213" spans="1:20" ht="19" customHeight="1" thickBot="1" x14ac:dyDescent="0.45"/>
    <row r="214" spans="1:20" ht="18" customHeight="1" x14ac:dyDescent="0.4">
      <c r="A214" s="146" t="s">
        <v>124</v>
      </c>
      <c r="B214" s="137" t="s">
        <v>4</v>
      </c>
      <c r="C214" s="137" t="s">
        <v>5</v>
      </c>
      <c r="D214" s="137" t="s">
        <v>6</v>
      </c>
      <c r="E214" s="137" t="s">
        <v>7</v>
      </c>
      <c r="F214" s="137" t="s">
        <v>8</v>
      </c>
      <c r="G214" s="137" t="s">
        <v>9</v>
      </c>
      <c r="H214" s="137" t="s">
        <v>10</v>
      </c>
      <c r="I214" s="137" t="s">
        <v>11</v>
      </c>
      <c r="J214" s="137" t="s">
        <v>12</v>
      </c>
      <c r="K214" s="137" t="s">
        <v>13</v>
      </c>
      <c r="L214" s="137" t="s">
        <v>14</v>
      </c>
      <c r="M214" s="137" t="s">
        <v>15</v>
      </c>
      <c r="N214" s="137" t="s">
        <v>111</v>
      </c>
      <c r="O214" s="147" t="s">
        <v>67</v>
      </c>
    </row>
    <row r="215" spans="1:20" ht="17.5" customHeight="1" x14ac:dyDescent="0.4">
      <c r="A215" s="148" t="s">
        <v>93</v>
      </c>
      <c r="B215" s="74">
        <v>339138</v>
      </c>
      <c r="C215" s="74">
        <v>341523</v>
      </c>
      <c r="D215" s="74">
        <v>376721</v>
      </c>
      <c r="E215" s="74">
        <v>341179</v>
      </c>
      <c r="F215" s="75">
        <v>345170</v>
      </c>
      <c r="G215" s="75">
        <v>365956</v>
      </c>
      <c r="H215" s="75">
        <v>393712</v>
      </c>
      <c r="I215" s="75">
        <v>367245</v>
      </c>
      <c r="J215" s="75">
        <v>354252</v>
      </c>
      <c r="K215" s="75">
        <v>362960</v>
      </c>
      <c r="L215" s="75">
        <v>346741</v>
      </c>
      <c r="M215" s="75">
        <v>404546</v>
      </c>
      <c r="N215" s="74">
        <f>AVERAGE(B215:M215)</f>
        <v>361595.25</v>
      </c>
      <c r="O215" s="455">
        <f>SUM(B215:M215)</f>
        <v>4339143</v>
      </c>
      <c r="P215" t="s">
        <v>125</v>
      </c>
    </row>
    <row r="216" spans="1:20" ht="17.5" customHeight="1" x14ac:dyDescent="0.4">
      <c r="A216" s="149" t="s">
        <v>112</v>
      </c>
      <c r="B216" s="77">
        <f t="shared" ref="B216:M216" si="101">B215/B174</f>
        <v>0.79919782819761143</v>
      </c>
      <c r="C216" s="77">
        <f t="shared" si="101"/>
        <v>1.1985996806289154</v>
      </c>
      <c r="D216" s="77">
        <f t="shared" si="101"/>
        <v>1.017964023314319</v>
      </c>
      <c r="E216" s="77">
        <f t="shared" si="101"/>
        <v>1.0032492928009786</v>
      </c>
      <c r="F216" s="77">
        <f t="shared" si="101"/>
        <v>0.95810826565110951</v>
      </c>
      <c r="G216" s="77">
        <f t="shared" si="101"/>
        <v>1.0851243002182369</v>
      </c>
      <c r="H216" s="77">
        <f t="shared" si="101"/>
        <v>1.0252382688401647</v>
      </c>
      <c r="I216" s="77">
        <f t="shared" si="101"/>
        <v>0.96499940877379686</v>
      </c>
      <c r="J216" s="77">
        <f t="shared" si="101"/>
        <v>1.0275321963104769</v>
      </c>
      <c r="K216" s="77">
        <f t="shared" si="101"/>
        <v>1.0137697958271654</v>
      </c>
      <c r="L216" s="77">
        <f t="shared" si="101"/>
        <v>0.90984733585586908</v>
      </c>
      <c r="M216" s="77">
        <f t="shared" si="101"/>
        <v>0.99791066939981699</v>
      </c>
      <c r="N216" s="77">
        <f>AVERAGEIF(B216:M216,"&lt;&gt;0",B216:M216)</f>
        <v>1.0001284221515383</v>
      </c>
      <c r="O216" s="454"/>
      <c r="P216" s="188"/>
      <c r="R216" s="188"/>
      <c r="T216" s="188"/>
    </row>
    <row r="217" spans="1:20" ht="17.5" customHeight="1" x14ac:dyDescent="0.4">
      <c r="A217" s="148" t="s">
        <v>116</v>
      </c>
      <c r="B217" s="78">
        <v>15397</v>
      </c>
      <c r="C217" s="78">
        <f>3305+8014</f>
        <v>11319</v>
      </c>
      <c r="D217" s="78">
        <v>12564</v>
      </c>
      <c r="E217" s="78">
        <v>12206</v>
      </c>
      <c r="F217" s="78">
        <v>14626</v>
      </c>
      <c r="G217" s="78">
        <v>16085</v>
      </c>
      <c r="H217" s="78">
        <v>16558</v>
      </c>
      <c r="I217" s="78">
        <v>12767</v>
      </c>
      <c r="J217" s="78">
        <v>13662</v>
      </c>
      <c r="K217" s="78">
        <v>14606</v>
      </c>
      <c r="L217" s="78">
        <v>18065</v>
      </c>
      <c r="M217" s="78">
        <v>17314</v>
      </c>
      <c r="N217" s="74">
        <f>AVERAGE(B217:M217)</f>
        <v>14597.416666666666</v>
      </c>
      <c r="O217" s="455">
        <f>SUM(B217:M217)</f>
        <v>175169</v>
      </c>
      <c r="P217" s="188"/>
    </row>
    <row r="218" spans="1:20" ht="17.5" customHeight="1" x14ac:dyDescent="0.4">
      <c r="A218" s="149" t="s">
        <v>112</v>
      </c>
      <c r="B218" s="77">
        <f t="shared" ref="B218:M218" si="102">B217/B176</f>
        <v>0.95137172516065249</v>
      </c>
      <c r="C218" s="77">
        <f t="shared" si="102"/>
        <v>1.2315308453922316</v>
      </c>
      <c r="D218" s="77">
        <f t="shared" si="102"/>
        <v>0.96884639111659465</v>
      </c>
      <c r="E218" s="77">
        <f t="shared" si="102"/>
        <v>1.0702323542306007</v>
      </c>
      <c r="F218" s="77">
        <f t="shared" si="102"/>
        <v>0.90395550061804697</v>
      </c>
      <c r="G218" s="77">
        <f t="shared" si="102"/>
        <v>1.2823885832735391</v>
      </c>
      <c r="H218" s="77">
        <f t="shared" si="102"/>
        <v>0.85518024997417619</v>
      </c>
      <c r="I218" s="77">
        <f t="shared" si="102"/>
        <v>0.97636892015907006</v>
      </c>
      <c r="J218" s="77">
        <f t="shared" si="102"/>
        <v>1.0274498007069264</v>
      </c>
      <c r="K218" s="77">
        <f t="shared" si="102"/>
        <v>0.94238337957287566</v>
      </c>
      <c r="L218" s="77">
        <f t="shared" si="102"/>
        <v>0.96599112346933325</v>
      </c>
      <c r="M218" s="77">
        <f t="shared" si="102"/>
        <v>0.91126315789473689</v>
      </c>
      <c r="N218" s="77">
        <f>AVERAGEIF(B218:M218,"&lt;&gt;0",B218:M218)</f>
        <v>1.0072468359640652</v>
      </c>
      <c r="O218" s="454"/>
      <c r="P218" s="188"/>
    </row>
    <row r="219" spans="1:20" ht="17.5" customHeight="1" x14ac:dyDescent="0.4">
      <c r="A219" s="148" t="s">
        <v>95</v>
      </c>
      <c r="B219" s="78">
        <v>1195</v>
      </c>
      <c r="C219" s="78">
        <v>1487</v>
      </c>
      <c r="D219" s="78">
        <v>1550</v>
      </c>
      <c r="E219" s="74">
        <v>1756</v>
      </c>
      <c r="F219" s="75">
        <v>1557</v>
      </c>
      <c r="G219" s="75">
        <v>1454</v>
      </c>
      <c r="H219" s="75">
        <v>1732</v>
      </c>
      <c r="I219" s="75">
        <v>1602</v>
      </c>
      <c r="J219" s="75">
        <v>1661</v>
      </c>
      <c r="K219" s="75">
        <v>1444</v>
      </c>
      <c r="L219" s="75">
        <v>1469</v>
      </c>
      <c r="M219" s="75">
        <v>1737</v>
      </c>
      <c r="N219" s="74">
        <f>AVERAGE(B219:M219)</f>
        <v>1553.6666666666667</v>
      </c>
      <c r="O219" s="456">
        <f>SUM(B219:M219)</f>
        <v>18644</v>
      </c>
      <c r="P219" t="s">
        <v>126</v>
      </c>
    </row>
    <row r="220" spans="1:20" ht="17.5" customHeight="1" x14ac:dyDescent="0.4">
      <c r="A220" s="149" t="s">
        <v>112</v>
      </c>
      <c r="B220" s="77">
        <f>B219/B178</f>
        <v>0.70211515863689777</v>
      </c>
      <c r="C220" s="77">
        <f>C219/C182</f>
        <v>0.95076726342710993</v>
      </c>
      <c r="D220" s="77">
        <f>D219/D182</f>
        <v>0.90431738623103852</v>
      </c>
      <c r="E220" s="77">
        <f>E219/E182</f>
        <v>1.062953995157385</v>
      </c>
      <c r="F220" s="77">
        <f>F219/F182</f>
        <v>0.84436008676789587</v>
      </c>
      <c r="G220" s="77">
        <f>G219/G182</f>
        <v>0.82943525385054195</v>
      </c>
      <c r="H220" s="77">
        <f t="shared" ref="H220:M220" si="103">H219/H178</f>
        <v>1.1538974017321786</v>
      </c>
      <c r="I220" s="77">
        <f t="shared" si="103"/>
        <v>1.072289156626506</v>
      </c>
      <c r="J220" s="77">
        <f t="shared" si="103"/>
        <v>0.97134502923976607</v>
      </c>
      <c r="K220" s="77">
        <f t="shared" si="103"/>
        <v>1.0478955007256894</v>
      </c>
      <c r="L220" s="77">
        <f t="shared" si="103"/>
        <v>0.97802929427430096</v>
      </c>
      <c r="M220" s="77">
        <f t="shared" si="103"/>
        <v>0.99370709382151035</v>
      </c>
      <c r="N220" s="77">
        <f>AVERAGEIF(B220:M220,"&lt;&gt;0",B220:M220)</f>
        <v>0.95925938504090169</v>
      </c>
      <c r="O220" s="454"/>
    </row>
    <row r="221" spans="1:20" ht="17.5" customHeight="1" x14ac:dyDescent="0.4">
      <c r="A221" s="148" t="s">
        <v>96</v>
      </c>
      <c r="B221" s="78">
        <v>11996</v>
      </c>
      <c r="C221" s="78">
        <v>9525</v>
      </c>
      <c r="D221" s="78">
        <v>10699</v>
      </c>
      <c r="E221" s="78">
        <v>10051</v>
      </c>
      <c r="F221" s="78">
        <v>9654</v>
      </c>
      <c r="G221" s="78">
        <v>10362</v>
      </c>
      <c r="H221" s="78">
        <v>11099</v>
      </c>
      <c r="I221" s="78">
        <v>11693</v>
      </c>
      <c r="J221" s="78">
        <v>9802</v>
      </c>
      <c r="K221" s="78">
        <v>10858</v>
      </c>
      <c r="L221" s="78">
        <v>10395</v>
      </c>
      <c r="M221" s="78">
        <v>12081</v>
      </c>
      <c r="N221" s="74">
        <f>AVERAGE(B221:M221)</f>
        <v>10684.583333333334</v>
      </c>
      <c r="O221" s="456">
        <f>SUM(B221:M221)</f>
        <v>128215</v>
      </c>
    </row>
    <row r="222" spans="1:20" ht="17.5" customHeight="1" x14ac:dyDescent="0.4">
      <c r="A222" s="149" t="s">
        <v>112</v>
      </c>
      <c r="B222" s="77">
        <f t="shared" ref="B222:M222" si="104">B221/B180</f>
        <v>0.97814742335290283</v>
      </c>
      <c r="C222" s="77">
        <f t="shared" si="104"/>
        <v>1.3616869192280201</v>
      </c>
      <c r="D222" s="77">
        <f t="shared" si="104"/>
        <v>1.4351441985244802</v>
      </c>
      <c r="E222" s="77">
        <f t="shared" si="104"/>
        <v>0.98317519319182234</v>
      </c>
      <c r="F222" s="77">
        <f t="shared" si="104"/>
        <v>0.86988646602991526</v>
      </c>
      <c r="G222" s="77">
        <f t="shared" si="104"/>
        <v>1.0300198807157057</v>
      </c>
      <c r="H222" s="77">
        <f t="shared" si="104"/>
        <v>0.83545351900639819</v>
      </c>
      <c r="I222" s="77">
        <f t="shared" si="104"/>
        <v>1.0954656173880457</v>
      </c>
      <c r="J222" s="77">
        <f t="shared" si="104"/>
        <v>0.9466872706200502</v>
      </c>
      <c r="K222" s="77">
        <f t="shared" si="104"/>
        <v>1.0208725084618278</v>
      </c>
      <c r="L222" s="77">
        <f t="shared" si="104"/>
        <v>0.86653884628209399</v>
      </c>
      <c r="M222" s="77">
        <f t="shared" si="104"/>
        <v>1.0058279910082424</v>
      </c>
      <c r="N222" s="77">
        <f>AVERAGEIF(B222:M222,"&lt;&gt;0",B222:M222)</f>
        <v>1.0357421528174588</v>
      </c>
      <c r="O222" s="454"/>
    </row>
    <row r="223" spans="1:20" ht="17.5" customHeight="1" x14ac:dyDescent="0.4">
      <c r="A223" s="148" t="s">
        <v>97</v>
      </c>
      <c r="B223" s="78">
        <v>1984</v>
      </c>
      <c r="C223" s="78">
        <v>1872</v>
      </c>
      <c r="D223" s="78">
        <v>1591</v>
      </c>
      <c r="E223" s="78">
        <v>1876</v>
      </c>
      <c r="F223" s="75">
        <v>1707</v>
      </c>
      <c r="G223" s="75">
        <v>1848</v>
      </c>
      <c r="H223" s="75">
        <v>2056</v>
      </c>
      <c r="I223" s="75">
        <v>2086</v>
      </c>
      <c r="J223" s="75">
        <v>2052</v>
      </c>
      <c r="K223" s="75">
        <v>1982</v>
      </c>
      <c r="L223" s="78">
        <v>1817</v>
      </c>
      <c r="M223" s="78">
        <v>2160</v>
      </c>
      <c r="N223" s="74">
        <f>AVERAGE(B223:M223)</f>
        <v>1919.25</v>
      </c>
      <c r="O223" s="456">
        <f>SUM(B223:M223)</f>
        <v>23031</v>
      </c>
    </row>
    <row r="224" spans="1:20" ht="17.5" customHeight="1" x14ac:dyDescent="0.4">
      <c r="A224" s="149" t="s">
        <v>112</v>
      </c>
      <c r="B224" s="77">
        <f t="shared" ref="B224:M224" si="105">B223/B182</f>
        <v>1.0436612309310889</v>
      </c>
      <c r="C224" s="77">
        <f t="shared" si="105"/>
        <v>1.19693094629156</v>
      </c>
      <c r="D224" s="77">
        <f t="shared" si="105"/>
        <v>0.92823803967327889</v>
      </c>
      <c r="E224" s="77">
        <f t="shared" si="105"/>
        <v>1.1355932203389831</v>
      </c>
      <c r="F224" s="77">
        <f t="shared" si="105"/>
        <v>0.925704989154013</v>
      </c>
      <c r="G224" s="77">
        <f t="shared" si="105"/>
        <v>1.0541928123217341</v>
      </c>
      <c r="H224" s="77">
        <f t="shared" si="105"/>
        <v>1.0781331934976404</v>
      </c>
      <c r="I224" s="77">
        <f t="shared" si="105"/>
        <v>1.1367847411444141</v>
      </c>
      <c r="J224" s="77">
        <f t="shared" si="105"/>
        <v>1.2163604030823947</v>
      </c>
      <c r="K224" s="77">
        <f t="shared" si="105"/>
        <v>1.1229461756373937</v>
      </c>
      <c r="L224" s="77">
        <f t="shared" si="105"/>
        <v>1.0430539609644087</v>
      </c>
      <c r="M224" s="77">
        <f t="shared" si="105"/>
        <v>1.2040133779264215</v>
      </c>
      <c r="N224" s="77">
        <f>AVERAGEIF(B224:M224,"&lt;&gt;0",B224:M224)</f>
        <v>1.0904677575802777</v>
      </c>
      <c r="O224" s="454"/>
    </row>
    <row r="225" spans="1:16" ht="17.5" customHeight="1" x14ac:dyDescent="0.4">
      <c r="A225" s="148" t="s">
        <v>98</v>
      </c>
      <c r="B225" s="78">
        <v>8617</v>
      </c>
      <c r="C225" s="78">
        <v>11168</v>
      </c>
      <c r="D225" s="78">
        <v>11737</v>
      </c>
      <c r="E225" s="78">
        <v>11042</v>
      </c>
      <c r="F225" s="78">
        <v>9867</v>
      </c>
      <c r="G225" s="78">
        <v>10671</v>
      </c>
      <c r="H225" s="78">
        <v>11678</v>
      </c>
      <c r="I225" s="78">
        <v>10862</v>
      </c>
      <c r="J225" s="78">
        <v>10416</v>
      </c>
      <c r="K225" s="78">
        <v>10242</v>
      </c>
      <c r="L225" s="78">
        <v>9580</v>
      </c>
      <c r="M225" s="78">
        <v>11189</v>
      </c>
      <c r="N225" s="74">
        <f>AVERAGE(B225:M225)</f>
        <v>10589.083333333334</v>
      </c>
      <c r="O225" s="456">
        <f>SUM(B225:M225)</f>
        <v>127069</v>
      </c>
    </row>
    <row r="226" spans="1:16" ht="17.5" customHeight="1" x14ac:dyDescent="0.4">
      <c r="A226" s="149" t="s">
        <v>25</v>
      </c>
      <c r="B226" s="77">
        <f t="shared" ref="B226:M226" si="106">B225/B184</f>
        <v>0.72278141251467876</v>
      </c>
      <c r="C226" s="77">
        <f t="shared" si="106"/>
        <v>1.3850923973707057</v>
      </c>
      <c r="D226" s="77">
        <f t="shared" si="106"/>
        <v>1.1011351909184726</v>
      </c>
      <c r="E226" s="77">
        <f t="shared" si="106"/>
        <v>1.2937316930287053</v>
      </c>
      <c r="F226" s="77">
        <f t="shared" si="106"/>
        <v>1.0269567027477102</v>
      </c>
      <c r="G226" s="77">
        <f t="shared" si="106"/>
        <v>1.2006075607560756</v>
      </c>
      <c r="H226" s="77">
        <f t="shared" si="106"/>
        <v>1.1701402805611223</v>
      </c>
      <c r="I226" s="77">
        <f t="shared" si="106"/>
        <v>1.0350676577091671</v>
      </c>
      <c r="J226" s="77">
        <f t="shared" si="106"/>
        <v>1.0831946755407653</v>
      </c>
      <c r="K226" s="77">
        <f t="shared" si="106"/>
        <v>1.0344409655590345</v>
      </c>
      <c r="L226" s="77">
        <f t="shared" si="106"/>
        <v>0.92435353145503663</v>
      </c>
      <c r="M226" s="77">
        <f t="shared" si="106"/>
        <v>1.0102934537246049</v>
      </c>
      <c r="N226" s="77">
        <f>AVERAGEIF(B226:M226,"&lt;&gt;0",B226:M226)</f>
        <v>1.0823162934905066</v>
      </c>
      <c r="O226" s="454"/>
    </row>
    <row r="227" spans="1:16" ht="17.5" customHeight="1" x14ac:dyDescent="0.4">
      <c r="A227" s="148" t="s">
        <v>99</v>
      </c>
      <c r="B227" s="78">
        <v>1440</v>
      </c>
      <c r="C227" s="78">
        <v>1498</v>
      </c>
      <c r="D227" s="78">
        <v>1219</v>
      </c>
      <c r="E227" s="78">
        <v>1355</v>
      </c>
      <c r="F227" s="75">
        <v>1346</v>
      </c>
      <c r="G227" s="75">
        <v>1494</v>
      </c>
      <c r="H227" s="75">
        <v>1651</v>
      </c>
      <c r="I227" s="75">
        <v>1680</v>
      </c>
      <c r="J227" s="75">
        <v>1814</v>
      </c>
      <c r="K227" s="75">
        <v>1659</v>
      </c>
      <c r="L227" s="75">
        <v>2036</v>
      </c>
      <c r="M227" s="75">
        <v>2499</v>
      </c>
      <c r="N227" s="74">
        <f>AVERAGE(B227:M227)</f>
        <v>1640.9166666666667</v>
      </c>
      <c r="O227" s="456">
        <f>SUM(B227:M227)</f>
        <v>19691</v>
      </c>
    </row>
    <row r="228" spans="1:16" ht="17.5" customHeight="1" x14ac:dyDescent="0.4">
      <c r="A228" s="149" t="s">
        <v>112</v>
      </c>
      <c r="B228" s="77">
        <f t="shared" ref="B228:M228" si="107">B227/B186</f>
        <v>0.75235109717868343</v>
      </c>
      <c r="C228" s="77">
        <f t="shared" si="107"/>
        <v>1.1112759643916914</v>
      </c>
      <c r="D228" s="77">
        <f t="shared" si="107"/>
        <v>0.86087570621468923</v>
      </c>
      <c r="E228" s="77">
        <f t="shared" si="107"/>
        <v>1.0711462450592886</v>
      </c>
      <c r="F228" s="77">
        <f t="shared" si="107"/>
        <v>1.0353846153846153</v>
      </c>
      <c r="G228" s="77">
        <f t="shared" si="107"/>
        <v>0.95892169448010267</v>
      </c>
      <c r="H228" s="77">
        <f t="shared" si="107"/>
        <v>1.0556265984654731</v>
      </c>
      <c r="I228" s="77">
        <f t="shared" si="107"/>
        <v>1.0532915360501567</v>
      </c>
      <c r="J228" s="77">
        <f t="shared" si="107"/>
        <v>1.0016565433462175</v>
      </c>
      <c r="K228" s="77">
        <f t="shared" si="107"/>
        <v>1.0546726001271456</v>
      </c>
      <c r="L228" s="77">
        <f t="shared" si="107"/>
        <v>1.1796060254924681</v>
      </c>
      <c r="M228" s="77">
        <f t="shared" si="107"/>
        <v>1.3342231713828083</v>
      </c>
      <c r="N228" s="77">
        <f>AVERAGEIF(B228:M228,"&lt;&gt;0",B228:M228)</f>
        <v>1.0390859831311117</v>
      </c>
      <c r="O228" s="454"/>
    </row>
    <row r="229" spans="1:16" ht="17.5" customHeight="1" x14ac:dyDescent="0.4">
      <c r="A229" s="148" t="s">
        <v>121</v>
      </c>
      <c r="B229" s="78">
        <v>309</v>
      </c>
      <c r="C229" s="78">
        <v>218</v>
      </c>
      <c r="D229" s="78">
        <v>211</v>
      </c>
      <c r="E229" s="78">
        <v>161</v>
      </c>
      <c r="F229" s="78">
        <v>149</v>
      </c>
      <c r="G229" s="78">
        <v>244</v>
      </c>
      <c r="H229" s="78">
        <v>207</v>
      </c>
      <c r="I229" s="75">
        <v>267</v>
      </c>
      <c r="J229" s="75">
        <v>266</v>
      </c>
      <c r="K229" s="75">
        <v>250</v>
      </c>
      <c r="L229" s="75">
        <v>274</v>
      </c>
      <c r="M229" s="75">
        <v>282</v>
      </c>
      <c r="N229" s="74">
        <f>AVERAGE(B229:M229)</f>
        <v>236.5</v>
      </c>
      <c r="O229" s="456">
        <f>SUM(B229:M229)</f>
        <v>2838</v>
      </c>
    </row>
    <row r="230" spans="1:16" ht="17.5" customHeight="1" thickBot="1" x14ac:dyDescent="0.45">
      <c r="A230" s="158" t="s">
        <v>25</v>
      </c>
      <c r="B230" s="160">
        <f t="shared" ref="B230:M230" si="108">B229/B188</f>
        <v>1.2875000000000001</v>
      </c>
      <c r="C230" s="160">
        <f t="shared" si="108"/>
        <v>1.0430622009569377</v>
      </c>
      <c r="D230" s="160">
        <f t="shared" si="108"/>
        <v>1.4964539007092199</v>
      </c>
      <c r="E230" s="160">
        <f t="shared" si="108"/>
        <v>0.96987951807228912</v>
      </c>
      <c r="F230" s="160">
        <f t="shared" si="108"/>
        <v>0.83240223463687146</v>
      </c>
      <c r="G230" s="160">
        <f t="shared" si="108"/>
        <v>1.3406593406593406</v>
      </c>
      <c r="H230" s="160">
        <f t="shared" si="108"/>
        <v>1.072538860103627</v>
      </c>
      <c r="I230" s="159">
        <f t="shared" si="108"/>
        <v>1.1866666666666668</v>
      </c>
      <c r="J230" s="159">
        <f t="shared" si="108"/>
        <v>1.103734439834025</v>
      </c>
      <c r="K230" s="159">
        <f t="shared" si="108"/>
        <v>1.2135922330097086</v>
      </c>
      <c r="L230" s="159">
        <f t="shared" si="108"/>
        <v>0.93835616438356162</v>
      </c>
      <c r="M230" s="159">
        <f t="shared" si="108"/>
        <v>1.0444444444444445</v>
      </c>
      <c r="N230" s="160">
        <f>AVERAGEIF(B230:M230,"&lt;&gt;0",B230:M230)</f>
        <v>1.1274408336230575</v>
      </c>
      <c r="O230" s="457"/>
      <c r="P230" t="s">
        <v>127</v>
      </c>
    </row>
    <row r="231" spans="1:16" ht="17.5" customHeight="1" thickTop="1" x14ac:dyDescent="0.4">
      <c r="A231" s="179" t="s">
        <v>100</v>
      </c>
      <c r="B231" s="180">
        <f>B215+B217+B219+B221+B223+B225+B227+B229</f>
        <v>380076</v>
      </c>
      <c r="C231" s="180">
        <f t="shared" ref="C231:M231" si="109">C215+C217+C219+C221+C223+C225+C227+C229</f>
        <v>378610</v>
      </c>
      <c r="D231" s="180">
        <f t="shared" si="109"/>
        <v>416292</v>
      </c>
      <c r="E231" s="180">
        <f t="shared" si="109"/>
        <v>379626</v>
      </c>
      <c r="F231" s="180">
        <f t="shared" si="109"/>
        <v>384076</v>
      </c>
      <c r="G231" s="180">
        <f t="shared" si="109"/>
        <v>408114</v>
      </c>
      <c r="H231" s="180">
        <f t="shared" si="109"/>
        <v>438693</v>
      </c>
      <c r="I231" s="180">
        <f t="shared" si="109"/>
        <v>408202</v>
      </c>
      <c r="J231" s="180">
        <f t="shared" si="109"/>
        <v>393925</v>
      </c>
      <c r="K231" s="180">
        <f t="shared" si="109"/>
        <v>404001</v>
      </c>
      <c r="L231" s="180">
        <f t="shared" si="109"/>
        <v>390377</v>
      </c>
      <c r="M231" s="180">
        <f t="shared" si="109"/>
        <v>451808</v>
      </c>
      <c r="N231" s="180">
        <f>N215+N217+N219+N221+N223+N225+N227+N229</f>
        <v>402816.66666666669</v>
      </c>
      <c r="O231" s="458">
        <f>SUM(B231:M231)</f>
        <v>4833800</v>
      </c>
    </row>
    <row r="232" spans="1:16" ht="17.5" customHeight="1" thickBot="1" x14ac:dyDescent="0.45">
      <c r="A232" s="181" t="s">
        <v>112</v>
      </c>
      <c r="B232" s="190">
        <f t="shared" ref="B232:M232" si="110">B231/B190</f>
        <v>0.80785589032360916</v>
      </c>
      <c r="C232" s="190">
        <f t="shared" si="110"/>
        <v>1.2075487344355991</v>
      </c>
      <c r="D232" s="190">
        <f t="shared" si="110"/>
        <v>1.0254760438477646</v>
      </c>
      <c r="E232" s="190">
        <f t="shared" si="110"/>
        <v>1.0121443673331183</v>
      </c>
      <c r="F232" s="190">
        <f t="shared" si="110"/>
        <v>0.95591229249110232</v>
      </c>
      <c r="G232" s="190">
        <f t="shared" si="110"/>
        <v>1.092215588092823</v>
      </c>
      <c r="H232" s="190">
        <f t="shared" si="110"/>
        <v>1.0159351754930386</v>
      </c>
      <c r="I232" s="190">
        <f t="shared" si="110"/>
        <v>0.97200672448197201</v>
      </c>
      <c r="J232" s="190">
        <f t="shared" si="110"/>
        <v>1.027248119830185</v>
      </c>
      <c r="K232" s="190">
        <f t="shared" si="110"/>
        <v>1.0125642876477488</v>
      </c>
      <c r="L232" s="190">
        <f t="shared" si="110"/>
        <v>0.91333135246045472</v>
      </c>
      <c r="M232" s="190">
        <f t="shared" si="110"/>
        <v>0.99700770581952669</v>
      </c>
      <c r="N232" s="190">
        <f>AVERAGEIF(B232:M232,"&lt;&gt;0",B232:M232)</f>
        <v>1.0032705235214119</v>
      </c>
      <c r="O232" s="459"/>
    </row>
    <row r="233" spans="1:16" ht="17.5" customHeight="1" thickBot="1" x14ac:dyDescent="0.4">
      <c r="A233" s="161" t="s">
        <v>113</v>
      </c>
      <c r="B233" s="150"/>
      <c r="C233" s="151"/>
      <c r="D233" s="151"/>
      <c r="E233" s="151"/>
      <c r="F233" s="152"/>
      <c r="G233" s="152"/>
      <c r="H233" s="151"/>
      <c r="I233" s="151"/>
      <c r="J233" s="151"/>
      <c r="K233" s="151"/>
      <c r="L233" s="151"/>
      <c r="M233" s="151"/>
      <c r="N233" s="69"/>
      <c r="O233" s="69"/>
    </row>
    <row r="234" spans="1:16" ht="17.5" customHeight="1" x14ac:dyDescent="0.4">
      <c r="A234" s="153" t="s">
        <v>101</v>
      </c>
      <c r="B234" s="154">
        <v>2533491</v>
      </c>
      <c r="C234" s="154">
        <v>2080755</v>
      </c>
      <c r="D234" s="154">
        <v>2480308</v>
      </c>
      <c r="E234" s="154">
        <v>2305800</v>
      </c>
      <c r="F234" s="154">
        <v>2427856</v>
      </c>
      <c r="G234" s="154">
        <v>2457339</v>
      </c>
      <c r="H234" s="154">
        <v>2652432</v>
      </c>
      <c r="I234" s="154">
        <v>2365728</v>
      </c>
      <c r="J234" s="154">
        <v>2396457</v>
      </c>
      <c r="K234" s="154">
        <v>2496738</v>
      </c>
      <c r="L234" s="154">
        <v>2382162</v>
      </c>
      <c r="M234" s="154">
        <v>2769707</v>
      </c>
      <c r="N234" s="155">
        <f t="shared" ref="N234" si="111">AVERAGE(B234:M234)</f>
        <v>2445731.0833333335</v>
      </c>
      <c r="O234" s="453">
        <f>SUM(B234:M234)</f>
        <v>29348773</v>
      </c>
      <c r="P234" t="s">
        <v>125</v>
      </c>
    </row>
    <row r="235" spans="1:16" ht="17.5" customHeight="1" x14ac:dyDescent="0.4">
      <c r="A235" s="149" t="s">
        <v>25</v>
      </c>
      <c r="B235" s="77">
        <f t="shared" ref="B235:M235" si="112">B234/B193</f>
        <v>0.92004061484424626</v>
      </c>
      <c r="C235" s="77">
        <f t="shared" si="112"/>
        <v>1.1098141309148164</v>
      </c>
      <c r="D235" s="77">
        <f t="shared" si="112"/>
        <v>1.0096930710682732</v>
      </c>
      <c r="E235" s="77">
        <f t="shared" si="112"/>
        <v>1.0277572000502779</v>
      </c>
      <c r="F235" s="77">
        <f t="shared" si="112"/>
        <v>1.0022088705699266</v>
      </c>
      <c r="G235" s="77">
        <f t="shared" si="112"/>
        <v>1.0465231859999029</v>
      </c>
      <c r="H235" s="77">
        <f t="shared" si="112"/>
        <v>1.0403399459205469</v>
      </c>
      <c r="I235" s="77">
        <f t="shared" si="112"/>
        <v>0.96951933196289997</v>
      </c>
      <c r="J235" s="77">
        <f t="shared" si="112"/>
        <v>1.0552360948738779</v>
      </c>
      <c r="K235" s="77">
        <f t="shared" si="112"/>
        <v>1.0688072451930732</v>
      </c>
      <c r="L235" s="77">
        <f t="shared" si="112"/>
        <v>0.96227896759578302</v>
      </c>
      <c r="M235" s="77">
        <f t="shared" si="112"/>
        <v>0.99400126757540674</v>
      </c>
      <c r="N235" s="77">
        <f>AVERAGEIF(B235:M235,"&lt;&gt;0",B235:M235)</f>
        <v>1.0171849938807525</v>
      </c>
      <c r="O235" s="454"/>
    </row>
    <row r="236" spans="1:16" ht="17.5" customHeight="1" x14ac:dyDescent="0.4">
      <c r="A236" s="148" t="s">
        <v>118</v>
      </c>
      <c r="B236" s="78">
        <v>280073</v>
      </c>
      <c r="C236" s="78">
        <f>104871+150876</f>
        <v>255747</v>
      </c>
      <c r="D236" s="78">
        <v>262012</v>
      </c>
      <c r="E236" s="78">
        <v>259675</v>
      </c>
      <c r="F236" s="78">
        <v>281018</v>
      </c>
      <c r="G236" s="78">
        <v>238873</v>
      </c>
      <c r="H236" s="78">
        <v>248413</v>
      </c>
      <c r="I236" s="78">
        <v>216831</v>
      </c>
      <c r="J236" s="78">
        <v>277934</v>
      </c>
      <c r="K236" s="78">
        <v>254254</v>
      </c>
      <c r="L236" s="78">
        <v>251192</v>
      </c>
      <c r="M236" s="78">
        <v>285658</v>
      </c>
      <c r="N236" s="74">
        <f>AVERAGE(B236:M236)</f>
        <v>259306.66666666666</v>
      </c>
      <c r="O236" s="455">
        <f>SUM(B236:M236)</f>
        <v>3111680</v>
      </c>
    </row>
    <row r="237" spans="1:16" ht="17.5" customHeight="1" x14ac:dyDescent="0.4">
      <c r="A237" s="149" t="s">
        <v>25</v>
      </c>
      <c r="B237" s="124">
        <f t="shared" ref="B237:M237" si="113">B236/B195</f>
        <v>0.86632125955024897</v>
      </c>
      <c r="C237" s="124">
        <f t="shared" si="113"/>
        <v>1.5065830942604843</v>
      </c>
      <c r="D237" s="124">
        <f t="shared" si="113"/>
        <v>1.0088443101091582</v>
      </c>
      <c r="E237" s="124">
        <f t="shared" si="113"/>
        <v>1.2398834960727672</v>
      </c>
      <c r="F237" s="124">
        <f t="shared" si="113"/>
        <v>1.0980611279999375</v>
      </c>
      <c r="G237" s="124">
        <f t="shared" si="113"/>
        <v>0.97911611358866735</v>
      </c>
      <c r="H237" s="124">
        <f t="shared" si="113"/>
        <v>0.80065557496567419</v>
      </c>
      <c r="I237" s="124">
        <f t="shared" si="113"/>
        <v>1.0074104703674107</v>
      </c>
      <c r="J237" s="124">
        <f t="shared" si="113"/>
        <v>1.0786725296220256</v>
      </c>
      <c r="K237" s="124">
        <f t="shared" si="113"/>
        <v>1.0025946781494977</v>
      </c>
      <c r="L237" s="124">
        <f t="shared" si="113"/>
        <v>1.0136557334710743</v>
      </c>
      <c r="M237" s="124">
        <f t="shared" si="113"/>
        <v>0.86463989732972535</v>
      </c>
      <c r="N237" s="77">
        <f>AVERAGEIF(B237:M237,"&lt;&gt;0",B237:M237)</f>
        <v>1.0388698571238892</v>
      </c>
      <c r="O237" s="454"/>
    </row>
    <row r="238" spans="1:16" ht="17.5" customHeight="1" x14ac:dyDescent="0.4">
      <c r="A238" s="156" t="s">
        <v>103</v>
      </c>
      <c r="B238" s="113">
        <v>4961</v>
      </c>
      <c r="C238" s="103">
        <v>5500</v>
      </c>
      <c r="D238" s="78">
        <v>6201</v>
      </c>
      <c r="E238" s="74">
        <v>7320</v>
      </c>
      <c r="F238" s="74">
        <v>5232</v>
      </c>
      <c r="G238" s="78">
        <v>6726</v>
      </c>
      <c r="H238" s="78">
        <v>6438</v>
      </c>
      <c r="I238" s="78">
        <v>6050</v>
      </c>
      <c r="J238" s="78">
        <v>7408</v>
      </c>
      <c r="K238" s="78">
        <v>5034</v>
      </c>
      <c r="L238" s="78">
        <v>5743</v>
      </c>
      <c r="M238" s="78">
        <v>7193</v>
      </c>
      <c r="N238" s="74">
        <f t="shared" ref="N238" si="114">AVERAGE(B238:M238)</f>
        <v>6150.5</v>
      </c>
      <c r="O238" s="456">
        <f>SUM(B238:M238)</f>
        <v>73806</v>
      </c>
      <c r="P238" t="s">
        <v>126</v>
      </c>
    </row>
    <row r="239" spans="1:16" ht="17.5" customHeight="1" x14ac:dyDescent="0.4">
      <c r="A239" s="157" t="s">
        <v>25</v>
      </c>
      <c r="B239" s="77">
        <f t="shared" ref="B239:M239" si="115">B238/B197</f>
        <v>0.6339936102236422</v>
      </c>
      <c r="C239" s="77">
        <f t="shared" si="115"/>
        <v>1.0080645161290323</v>
      </c>
      <c r="D239" s="77">
        <f t="shared" si="115"/>
        <v>0.88509848701113336</v>
      </c>
      <c r="E239" s="77">
        <f t="shared" si="115"/>
        <v>1.4423645320197045</v>
      </c>
      <c r="F239" s="77">
        <f t="shared" si="115"/>
        <v>1.0167120093276332</v>
      </c>
      <c r="G239" s="77">
        <f t="shared" si="115"/>
        <v>0.95</v>
      </c>
      <c r="H239" s="77">
        <f t="shared" si="115"/>
        <v>1.0535100638193422</v>
      </c>
      <c r="I239" s="77">
        <f t="shared" si="115"/>
        <v>1.0842293906810037</v>
      </c>
      <c r="J239" s="77">
        <f t="shared" si="115"/>
        <v>0.93429184008071631</v>
      </c>
      <c r="K239" s="77">
        <f t="shared" si="115"/>
        <v>0.91560567479083299</v>
      </c>
      <c r="L239" s="77">
        <f t="shared" si="115"/>
        <v>1.0839939599849</v>
      </c>
      <c r="M239" s="77">
        <f t="shared" si="115"/>
        <v>0.91200710029161913</v>
      </c>
      <c r="N239" s="77">
        <f>AVERAGEIF(B239:M239,"&lt;&gt;0",B239:M239)</f>
        <v>0.99332259869662998</v>
      </c>
      <c r="O239" s="454"/>
    </row>
    <row r="240" spans="1:16" ht="17.5" customHeight="1" x14ac:dyDescent="0.4">
      <c r="A240" s="148" t="s">
        <v>104</v>
      </c>
      <c r="B240" s="106">
        <v>168358</v>
      </c>
      <c r="C240" s="78">
        <v>123484</v>
      </c>
      <c r="D240" s="78">
        <v>147470</v>
      </c>
      <c r="E240" s="78">
        <v>96324</v>
      </c>
      <c r="F240" s="78">
        <v>93667</v>
      </c>
      <c r="G240" s="78">
        <v>115587</v>
      </c>
      <c r="H240" s="78">
        <v>114222</v>
      </c>
      <c r="I240" s="78">
        <v>100885</v>
      </c>
      <c r="J240" s="78">
        <v>10354</v>
      </c>
      <c r="K240" s="78">
        <v>117922</v>
      </c>
      <c r="L240" s="78">
        <v>122837</v>
      </c>
      <c r="M240" s="78">
        <v>124659</v>
      </c>
      <c r="N240" s="74">
        <f t="shared" ref="N240" si="116">AVERAGE(B240:M240)</f>
        <v>111314.08333333333</v>
      </c>
      <c r="O240" s="456">
        <f>SUM(B240:M240)</f>
        <v>1335769</v>
      </c>
    </row>
    <row r="241" spans="1:16" ht="17.5" customHeight="1" x14ac:dyDescent="0.4">
      <c r="A241" s="149" t="s">
        <v>25</v>
      </c>
      <c r="B241" s="77">
        <f t="shared" ref="B241:M241" si="117">B240/B199</f>
        <v>1.0008501025473353</v>
      </c>
      <c r="C241" s="77">
        <f t="shared" si="117"/>
        <v>1.085774076972452</v>
      </c>
      <c r="D241" s="77">
        <f t="shared" si="117"/>
        <v>1.4210277807221254</v>
      </c>
      <c r="E241" s="77">
        <f t="shared" si="117"/>
        <v>0.76080500442310117</v>
      </c>
      <c r="F241" s="77">
        <f t="shared" si="117"/>
        <v>0.58644135711647183</v>
      </c>
      <c r="G241" s="77">
        <f t="shared" si="117"/>
        <v>0.85108717261488387</v>
      </c>
      <c r="H241" s="77">
        <f t="shared" si="117"/>
        <v>0.56642565979350767</v>
      </c>
      <c r="I241" s="77">
        <f t="shared" si="117"/>
        <v>0.67762172473317617</v>
      </c>
      <c r="J241" s="77">
        <f t="shared" si="117"/>
        <v>9.6059821685360938E-2</v>
      </c>
      <c r="K241" s="77">
        <f t="shared" si="117"/>
        <v>1.3099533437013997</v>
      </c>
      <c r="L241" s="77">
        <f t="shared" si="117"/>
        <v>0.8393945606122728</v>
      </c>
      <c r="M241" s="77">
        <f t="shared" si="117"/>
        <v>0.81406769367404375</v>
      </c>
      <c r="N241" s="77">
        <f>AVERAGEIF(B241:M241,"&lt;&gt;0",B241:M241)</f>
        <v>0.83412569154967764</v>
      </c>
      <c r="O241" s="454"/>
    </row>
    <row r="242" spans="1:16" ht="17.5" customHeight="1" x14ac:dyDescent="0.4">
      <c r="A242" s="148" t="s">
        <v>105</v>
      </c>
      <c r="B242" s="78">
        <v>16705</v>
      </c>
      <c r="C242" s="78">
        <v>16482</v>
      </c>
      <c r="D242" s="78">
        <v>15528</v>
      </c>
      <c r="E242" s="78">
        <v>15607</v>
      </c>
      <c r="F242" s="78">
        <v>14032</v>
      </c>
      <c r="G242" s="78">
        <v>15103</v>
      </c>
      <c r="H242" s="78">
        <v>17685</v>
      </c>
      <c r="I242" s="78">
        <v>16976</v>
      </c>
      <c r="J242" s="78">
        <v>14306</v>
      </c>
      <c r="K242" s="78">
        <v>16167</v>
      </c>
      <c r="L242" s="78">
        <v>16558</v>
      </c>
      <c r="M242" s="78">
        <v>17017</v>
      </c>
      <c r="N242" s="74">
        <f t="shared" ref="N242" si="118">AVERAGE(B242:M242)</f>
        <v>16013.833333333334</v>
      </c>
      <c r="O242" s="456">
        <f>SUM(B242:M242)</f>
        <v>192166</v>
      </c>
    </row>
    <row r="243" spans="1:16" ht="17.5" customHeight="1" x14ac:dyDescent="0.4">
      <c r="A243" s="149" t="s">
        <v>25</v>
      </c>
      <c r="B243" s="77">
        <f t="shared" ref="B243:M243" si="119">B242/B201</f>
        <v>0.7698866254954374</v>
      </c>
      <c r="C243" s="77">
        <f t="shared" si="119"/>
        <v>1.0764809614003004</v>
      </c>
      <c r="D243" s="77">
        <f t="shared" si="119"/>
        <v>0.88433282077567055</v>
      </c>
      <c r="E243" s="77">
        <f t="shared" si="119"/>
        <v>0.86231283496325761</v>
      </c>
      <c r="F243" s="77">
        <f t="shared" si="119"/>
        <v>0.66411093757395046</v>
      </c>
      <c r="G243" s="77">
        <f t="shared" si="119"/>
        <v>0.72287368975254873</v>
      </c>
      <c r="H243" s="77">
        <f t="shared" si="119"/>
        <v>0.86754966887417218</v>
      </c>
      <c r="I243" s="79">
        <f t="shared" si="119"/>
        <v>0.9352137505509035</v>
      </c>
      <c r="J243" s="79">
        <f t="shared" si="119"/>
        <v>0.88549145828175291</v>
      </c>
      <c r="K243" s="79">
        <f t="shared" si="119"/>
        <v>1.0316508199859613</v>
      </c>
      <c r="L243" s="79">
        <f t="shared" si="119"/>
        <v>1.1156178412612856</v>
      </c>
      <c r="M243" s="79">
        <f t="shared" si="119"/>
        <v>0.95504545964754739</v>
      </c>
      <c r="N243" s="77">
        <f>AVERAGEIF(B243:M243,"&lt;&gt;0",B243:M243)</f>
        <v>0.89754723904689893</v>
      </c>
      <c r="O243" s="454"/>
    </row>
    <row r="244" spans="1:16" ht="17.5" customHeight="1" x14ac:dyDescent="0.4">
      <c r="A244" s="148" t="s">
        <v>106</v>
      </c>
      <c r="B244" s="78">
        <v>14854</v>
      </c>
      <c r="C244" s="78">
        <v>18915</v>
      </c>
      <c r="D244" s="78">
        <v>19245</v>
      </c>
      <c r="E244" s="78">
        <v>17602</v>
      </c>
      <c r="F244" s="78">
        <v>15892</v>
      </c>
      <c r="G244" s="78">
        <v>17543</v>
      </c>
      <c r="H244" s="78">
        <v>19298</v>
      </c>
      <c r="I244" s="78">
        <v>18090</v>
      </c>
      <c r="J244" s="78">
        <v>16421</v>
      </c>
      <c r="K244" s="78">
        <v>16970</v>
      </c>
      <c r="L244" s="78">
        <v>15482</v>
      </c>
      <c r="M244" s="78">
        <v>18665</v>
      </c>
      <c r="N244" s="74">
        <f t="shared" ref="N244" si="120">AVERAGE(B244:M244)</f>
        <v>17414.75</v>
      </c>
      <c r="O244" s="456">
        <f>SUM(B244:M244)</f>
        <v>208977</v>
      </c>
    </row>
    <row r="245" spans="1:16" ht="17.5" customHeight="1" x14ac:dyDescent="0.4">
      <c r="A245" s="149" t="s">
        <v>25</v>
      </c>
      <c r="B245" s="77">
        <f t="shared" ref="B245:M245" si="121">B244/B203</f>
        <v>0.71544167228590694</v>
      </c>
      <c r="C245" s="77">
        <f t="shared" si="121"/>
        <v>1.3759365679784681</v>
      </c>
      <c r="D245" s="77">
        <f t="shared" si="121"/>
        <v>1.0579989004947774</v>
      </c>
      <c r="E245" s="77">
        <f t="shared" si="121"/>
        <v>1.1382565959648214</v>
      </c>
      <c r="F245" s="77">
        <f t="shared" si="121"/>
        <v>1.0044242194412842</v>
      </c>
      <c r="G245" s="77">
        <f t="shared" si="121"/>
        <v>1.1803135302428851</v>
      </c>
      <c r="H245" s="77">
        <f t="shared" si="121"/>
        <v>1.1856721553207177</v>
      </c>
      <c r="I245" s="79">
        <f t="shared" si="121"/>
        <v>1.0643054656704125</v>
      </c>
      <c r="J245" s="79">
        <f t="shared" si="121"/>
        <v>1.0510112647209422</v>
      </c>
      <c r="K245" s="79">
        <f t="shared" si="121"/>
        <v>1.026494072102589</v>
      </c>
      <c r="L245" s="79">
        <f t="shared" si="121"/>
        <v>0.91734312970314624</v>
      </c>
      <c r="M245" s="79">
        <f t="shared" si="121"/>
        <v>1.0595481380563125</v>
      </c>
      <c r="N245" s="77">
        <f>AVERAGEIF(B245:M245,"&lt;&gt;0",B245:M245)</f>
        <v>1.0647288093318552</v>
      </c>
      <c r="O245" s="454"/>
    </row>
    <row r="246" spans="1:16" ht="17.5" customHeight="1" x14ac:dyDescent="0.4">
      <c r="A246" s="148" t="s">
        <v>107</v>
      </c>
      <c r="B246" s="78">
        <v>6021</v>
      </c>
      <c r="C246" s="78">
        <v>8103</v>
      </c>
      <c r="D246" s="78">
        <v>5489</v>
      </c>
      <c r="E246" s="78">
        <v>6010</v>
      </c>
      <c r="F246" s="78">
        <v>5739</v>
      </c>
      <c r="G246" s="78">
        <v>6817</v>
      </c>
      <c r="H246" s="78">
        <v>7448</v>
      </c>
      <c r="I246" s="78">
        <v>7336</v>
      </c>
      <c r="J246" s="78">
        <v>7948</v>
      </c>
      <c r="K246" s="78">
        <v>6877</v>
      </c>
      <c r="L246" s="78">
        <v>8313</v>
      </c>
      <c r="M246" s="78">
        <v>10549</v>
      </c>
      <c r="N246" s="74">
        <f t="shared" ref="N246" si="122">AVERAGE(B246:M246)</f>
        <v>7220.833333333333</v>
      </c>
      <c r="O246" s="456">
        <f>SUM(B246:M246)</f>
        <v>86650</v>
      </c>
    </row>
    <row r="247" spans="1:16" ht="17.5" customHeight="1" x14ac:dyDescent="0.4">
      <c r="A247" s="149" t="s">
        <v>25</v>
      </c>
      <c r="B247" s="77">
        <f t="shared" ref="B247:M247" si="123">B246/B205</f>
        <v>0.57661367554108411</v>
      </c>
      <c r="C247" s="77">
        <f t="shared" si="123"/>
        <v>1.0532952034316911</v>
      </c>
      <c r="D247" s="77">
        <f t="shared" si="123"/>
        <v>0.7194914143400184</v>
      </c>
      <c r="E247" s="77">
        <f t="shared" si="123"/>
        <v>1.0152027027027026</v>
      </c>
      <c r="F247" s="77">
        <f t="shared" si="123"/>
        <v>0.93469055374592835</v>
      </c>
      <c r="G247" s="77">
        <f t="shared" si="123"/>
        <v>0.93678713755668541</v>
      </c>
      <c r="H247" s="77">
        <f t="shared" si="123"/>
        <v>0.98505488691971965</v>
      </c>
      <c r="I247" s="79">
        <f t="shared" si="123"/>
        <v>1.0136797015337846</v>
      </c>
      <c r="J247" s="79">
        <f t="shared" si="123"/>
        <v>0.92065330707749338</v>
      </c>
      <c r="K247" s="79">
        <f t="shared" si="123"/>
        <v>0.88988095238095233</v>
      </c>
      <c r="L247" s="79">
        <f t="shared" si="123"/>
        <v>0.97341920374707258</v>
      </c>
      <c r="M247" s="79">
        <f t="shared" si="123"/>
        <v>1.0739081746920494</v>
      </c>
      <c r="N247" s="77">
        <f>AVERAGEIF(B247:M247,"&lt;&gt;0",B247:M247)</f>
        <v>0.92438974280576502</v>
      </c>
      <c r="O247" s="454"/>
    </row>
    <row r="248" spans="1:16" ht="17.5" customHeight="1" x14ac:dyDescent="0.4">
      <c r="A248" s="148" t="s">
        <v>119</v>
      </c>
      <c r="B248" s="78">
        <v>2164</v>
      </c>
      <c r="C248" s="78">
        <v>1553</v>
      </c>
      <c r="D248" s="78">
        <v>1422</v>
      </c>
      <c r="E248" s="78">
        <v>1235</v>
      </c>
      <c r="F248" s="78">
        <v>1080</v>
      </c>
      <c r="G248" s="78">
        <v>1634</v>
      </c>
      <c r="H248" s="78">
        <v>1464</v>
      </c>
      <c r="I248" s="78">
        <v>1807</v>
      </c>
      <c r="J248" s="78">
        <v>1795</v>
      </c>
      <c r="K248" s="78">
        <v>1777</v>
      </c>
      <c r="L248" s="78">
        <v>1853</v>
      </c>
      <c r="M248" s="78">
        <v>2169</v>
      </c>
      <c r="N248" s="74">
        <f>AVERAGE(B248:M248)</f>
        <v>1662.75</v>
      </c>
      <c r="O248" s="456">
        <f>SUM(B248:M248)</f>
        <v>19953</v>
      </c>
      <c r="P248" t="s">
        <v>127</v>
      </c>
    </row>
    <row r="249" spans="1:16" ht="17.5" customHeight="1" thickBot="1" x14ac:dyDescent="0.45">
      <c r="A249" s="158" t="s">
        <v>25</v>
      </c>
      <c r="B249" s="160">
        <f t="shared" ref="B249:M249" si="124">B248/B207</f>
        <v>1.5325779036827196</v>
      </c>
      <c r="C249" s="160">
        <f t="shared" si="124"/>
        <v>1.1520771513353116</v>
      </c>
      <c r="D249" s="160">
        <f t="shared" si="124"/>
        <v>1.6401384083044983</v>
      </c>
      <c r="E249" s="160">
        <f t="shared" si="124"/>
        <v>1.1750713606089438</v>
      </c>
      <c r="F249" s="160">
        <f t="shared" si="124"/>
        <v>1.0746268656716418</v>
      </c>
      <c r="G249" s="160">
        <f t="shared" si="124"/>
        <v>1.5910418695228823</v>
      </c>
      <c r="H249" s="160">
        <f t="shared" si="124"/>
        <v>1.2609819121447028</v>
      </c>
      <c r="I249" s="159">
        <f t="shared" si="124"/>
        <v>1.3495145631067962</v>
      </c>
      <c r="J249" s="159">
        <f t="shared" si="124"/>
        <v>1.3818321785989223</v>
      </c>
      <c r="K249" s="159">
        <f t="shared" si="124"/>
        <v>1.4025256511444357</v>
      </c>
      <c r="L249" s="159">
        <f t="shared" si="124"/>
        <v>1.0220628792057362</v>
      </c>
      <c r="M249" s="159">
        <f t="shared" si="124"/>
        <v>1.1794453507340945</v>
      </c>
      <c r="N249" s="160">
        <f>AVERAGEIF(B249:M249,"&lt;&gt;0",B249:M249)</f>
        <v>1.3134913411717235</v>
      </c>
      <c r="O249" s="457"/>
    </row>
    <row r="250" spans="1:16" ht="17.5" customHeight="1" thickTop="1" x14ac:dyDescent="0.4">
      <c r="A250" s="179" t="s">
        <v>108</v>
      </c>
      <c r="B250" s="183">
        <f>B234+B236+B238+B240+B242+B244+B246+B248</f>
        <v>3026627</v>
      </c>
      <c r="C250" s="183">
        <f t="shared" ref="C250:M250" si="125">C234+C236+C238+C240+C242+C244+C246+C248</f>
        <v>2510539</v>
      </c>
      <c r="D250" s="183">
        <f t="shared" si="125"/>
        <v>2937675</v>
      </c>
      <c r="E250" s="183">
        <f t="shared" si="125"/>
        <v>2709573</v>
      </c>
      <c r="F250" s="183">
        <f t="shared" si="125"/>
        <v>2844516</v>
      </c>
      <c r="G250" s="183">
        <f t="shared" si="125"/>
        <v>2859622</v>
      </c>
      <c r="H250" s="183">
        <f t="shared" si="125"/>
        <v>3067400</v>
      </c>
      <c r="I250" s="183">
        <f t="shared" si="125"/>
        <v>2733703</v>
      </c>
      <c r="J250" s="183">
        <f t="shared" si="125"/>
        <v>2732623</v>
      </c>
      <c r="K250" s="183">
        <f t="shared" si="125"/>
        <v>2915739</v>
      </c>
      <c r="L250" s="183">
        <f t="shared" si="125"/>
        <v>2804140</v>
      </c>
      <c r="M250" s="183">
        <f t="shared" si="125"/>
        <v>3235617</v>
      </c>
      <c r="N250" s="183">
        <f>AVERAGEIF(B250:M250,"&lt;&gt;0",B250:M250)</f>
        <v>2864814.5</v>
      </c>
      <c r="O250" s="458">
        <f>SUM(B250:M250)</f>
        <v>34377774</v>
      </c>
    </row>
    <row r="251" spans="1:16" ht="17.5" customHeight="1" thickBot="1" x14ac:dyDescent="0.45">
      <c r="A251" s="181" t="s">
        <v>112</v>
      </c>
      <c r="B251" s="190">
        <f t="shared" ref="B251:M251" si="126">B250/B209</f>
        <v>0.91513060284212244</v>
      </c>
      <c r="C251" s="190">
        <f t="shared" si="126"/>
        <v>1.1401668101030697</v>
      </c>
      <c r="D251" s="190">
        <f t="shared" si="126"/>
        <v>1.0231380866803192</v>
      </c>
      <c r="E251" s="190">
        <f t="shared" si="126"/>
        <v>1.0321482962298176</v>
      </c>
      <c r="F251" s="190">
        <f t="shared" si="126"/>
        <v>0.98515129580693983</v>
      </c>
      <c r="G251" s="182">
        <f t="shared" si="126"/>
        <v>1.0290048603516999</v>
      </c>
      <c r="H251" s="182">
        <f t="shared" si="126"/>
        <v>0.9853542829535058</v>
      </c>
      <c r="I251" s="182">
        <f t="shared" si="126"/>
        <v>0.95800879333147837</v>
      </c>
      <c r="J251" s="182">
        <f t="shared" si="126"/>
        <v>1.0173176337791583</v>
      </c>
      <c r="K251" s="182">
        <f t="shared" si="126"/>
        <v>1.0694794733992685</v>
      </c>
      <c r="L251" s="182">
        <f t="shared" si="126"/>
        <v>0.96128979177665186</v>
      </c>
      <c r="M251" s="182">
        <f t="shared" si="126"/>
        <v>0.97314306475295298</v>
      </c>
      <c r="N251" s="184">
        <f>AVERAGEIF(B251:M251,"&lt;&gt;0",B251:M251)</f>
        <v>1.0074444160005822</v>
      </c>
      <c r="O251" s="459"/>
    </row>
    <row r="252" spans="1:16" ht="17.5" customHeight="1" thickBot="1" x14ac:dyDescent="0.45">
      <c r="A252" s="181" t="s">
        <v>128</v>
      </c>
      <c r="B252" s="190" t="s">
        <v>129</v>
      </c>
      <c r="C252" s="190" t="s">
        <v>130</v>
      </c>
      <c r="D252" s="190" t="s">
        <v>131</v>
      </c>
      <c r="E252" s="190" t="s">
        <v>132</v>
      </c>
      <c r="F252" s="182" t="s">
        <v>133</v>
      </c>
      <c r="G252" s="182" t="s">
        <v>134</v>
      </c>
      <c r="H252" s="182" t="s">
        <v>135</v>
      </c>
      <c r="I252" s="182" t="s">
        <v>136</v>
      </c>
      <c r="J252" s="182" t="s">
        <v>137</v>
      </c>
      <c r="K252" s="182" t="s">
        <v>138</v>
      </c>
      <c r="L252" s="182" t="s">
        <v>139</v>
      </c>
      <c r="M252" s="182" t="s">
        <v>140</v>
      </c>
      <c r="N252" s="184"/>
      <c r="O252" s="205" t="s">
        <v>141</v>
      </c>
    </row>
    <row r="253" spans="1:16" ht="17" x14ac:dyDescent="0.4">
      <c r="A253" s="1" t="s">
        <v>142</v>
      </c>
      <c r="B253" s="70">
        <v>20</v>
      </c>
      <c r="C253" s="70">
        <v>22</v>
      </c>
      <c r="D253" s="70">
        <v>26</v>
      </c>
      <c r="E253" s="70">
        <v>24</v>
      </c>
      <c r="F253" s="70">
        <v>24</v>
      </c>
      <c r="G253" s="70">
        <v>24</v>
      </c>
      <c r="H253" s="70">
        <v>26</v>
      </c>
      <c r="I253" s="70">
        <v>25</v>
      </c>
      <c r="J253" s="70">
        <v>25</v>
      </c>
      <c r="K253" s="70">
        <v>23</v>
      </c>
      <c r="L253" s="70">
        <v>23</v>
      </c>
      <c r="M253" s="70">
        <v>25</v>
      </c>
      <c r="N253" s="69"/>
      <c r="O253" s="69"/>
    </row>
    <row r="254" spans="1:16" ht="19" customHeight="1" thickBot="1" x14ac:dyDescent="0.45"/>
    <row r="255" spans="1:16" ht="18" customHeight="1" x14ac:dyDescent="0.4">
      <c r="A255" s="146" t="s">
        <v>143</v>
      </c>
      <c r="B255" s="137" t="s">
        <v>4</v>
      </c>
      <c r="C255" s="137" t="s">
        <v>5</v>
      </c>
      <c r="D255" s="137" t="s">
        <v>6</v>
      </c>
      <c r="E255" s="137" t="s">
        <v>7</v>
      </c>
      <c r="F255" s="137" t="s">
        <v>8</v>
      </c>
      <c r="G255" s="137" t="s">
        <v>9</v>
      </c>
      <c r="H255" s="137" t="s">
        <v>10</v>
      </c>
      <c r="I255" s="137" t="s">
        <v>11</v>
      </c>
      <c r="J255" s="137" t="s">
        <v>12</v>
      </c>
      <c r="K255" s="137" t="s">
        <v>13</v>
      </c>
      <c r="L255" s="137" t="s">
        <v>14</v>
      </c>
      <c r="M255" s="137" t="s">
        <v>15</v>
      </c>
      <c r="N255" s="137" t="s">
        <v>111</v>
      </c>
      <c r="O255" s="147" t="s">
        <v>67</v>
      </c>
    </row>
    <row r="256" spans="1:16" ht="17.5" customHeight="1" x14ac:dyDescent="0.4">
      <c r="A256" s="148" t="s">
        <v>93</v>
      </c>
      <c r="B256" s="74">
        <v>420159</v>
      </c>
      <c r="C256" s="74">
        <v>255865</v>
      </c>
      <c r="D256" s="74">
        <v>406864</v>
      </c>
      <c r="E256" s="74">
        <v>341179</v>
      </c>
      <c r="F256" s="75">
        <v>349811</v>
      </c>
      <c r="G256" s="75">
        <v>362576</v>
      </c>
      <c r="H256" s="75">
        <v>384110</v>
      </c>
      <c r="I256" s="75">
        <v>358197</v>
      </c>
      <c r="J256" s="75">
        <v>347029</v>
      </c>
      <c r="K256" s="75"/>
      <c r="L256" s="75"/>
      <c r="M256" s="75"/>
      <c r="N256" s="74">
        <f>AVERAGE(B256:M256)</f>
        <v>358421.11111111112</v>
      </c>
      <c r="O256" s="455">
        <f>SUM(B256:M256)</f>
        <v>3225790</v>
      </c>
      <c r="P256" t="s">
        <v>125</v>
      </c>
    </row>
    <row r="257" spans="1:20" ht="17.5" customHeight="1" x14ac:dyDescent="0.4">
      <c r="A257" s="149" t="s">
        <v>112</v>
      </c>
      <c r="B257" s="77">
        <f>IF(B256="","",B256/B215)</f>
        <v>1.238902747554093</v>
      </c>
      <c r="C257" s="77">
        <f t="shared" ref="C257:M257" si="127">IF(C256="","",C256/C215)</f>
        <v>0.74918819523136071</v>
      </c>
      <c r="D257" s="77">
        <f t="shared" si="127"/>
        <v>1.0800141218567587</v>
      </c>
      <c r="E257" s="77">
        <f t="shared" si="127"/>
        <v>1</v>
      </c>
      <c r="F257" s="77">
        <f t="shared" si="127"/>
        <v>1.0134455485702698</v>
      </c>
      <c r="G257" s="77">
        <f t="shared" si="127"/>
        <v>0.9907639169736252</v>
      </c>
      <c r="H257" s="77">
        <f t="shared" si="127"/>
        <v>0.9756116145812167</v>
      </c>
      <c r="I257" s="77">
        <f t="shared" si="127"/>
        <v>0.97536249642609152</v>
      </c>
      <c r="J257" s="77">
        <f t="shared" si="127"/>
        <v>0.97961055971455346</v>
      </c>
      <c r="K257" s="77" t="str">
        <f t="shared" si="127"/>
        <v/>
      </c>
      <c r="L257" s="77" t="str">
        <f t="shared" si="127"/>
        <v/>
      </c>
      <c r="M257" s="77" t="str">
        <f t="shared" si="127"/>
        <v/>
      </c>
      <c r="N257" s="77">
        <f>AVERAGEIF(B257:M257,"&lt;&gt;0",B257:M257)</f>
        <v>1.0003221334342187</v>
      </c>
      <c r="O257" s="454"/>
      <c r="P257" s="188"/>
      <c r="R257" s="188"/>
      <c r="T257" s="188"/>
    </row>
    <row r="258" spans="1:20" ht="17.5" customHeight="1" x14ac:dyDescent="0.4">
      <c r="A258" s="148" t="s">
        <v>116</v>
      </c>
      <c r="B258" s="78">
        <f>4876+10285</f>
        <v>15161</v>
      </c>
      <c r="C258" s="78">
        <v>9007</v>
      </c>
      <c r="D258" s="78">
        <v>12913</v>
      </c>
      <c r="E258" s="78">
        <v>11542</v>
      </c>
      <c r="F258" s="78">
        <v>13377</v>
      </c>
      <c r="G258" s="78">
        <v>15142</v>
      </c>
      <c r="H258" s="78">
        <v>18333</v>
      </c>
      <c r="I258" s="78">
        <v>14047</v>
      </c>
      <c r="J258" s="78">
        <v>12730</v>
      </c>
      <c r="K258" s="78"/>
      <c r="L258" s="78"/>
      <c r="M258" s="78"/>
      <c r="N258" s="74">
        <f>AVERAGE(B258:M258)</f>
        <v>13583.555555555555</v>
      </c>
      <c r="O258" s="455">
        <f>SUM(B258:M258)</f>
        <v>122252</v>
      </c>
      <c r="P258" s="188"/>
    </row>
    <row r="259" spans="1:20" ht="17.5" customHeight="1" x14ac:dyDescent="0.4">
      <c r="A259" s="149" t="s">
        <v>112</v>
      </c>
      <c r="B259" s="77">
        <f>IF(B258="","",B258/B217)</f>
        <v>0.98467233876729232</v>
      </c>
      <c r="C259" s="77">
        <f t="shared" ref="C259:M259" si="128">IF(C258="","",C258/C217)</f>
        <v>0.79574167329269374</v>
      </c>
      <c r="D259" s="77">
        <f t="shared" si="128"/>
        <v>1.0277777777777777</v>
      </c>
      <c r="E259" s="77">
        <f t="shared" si="128"/>
        <v>0.94560052433229558</v>
      </c>
      <c r="F259" s="77">
        <f t="shared" si="128"/>
        <v>0.91460412963216187</v>
      </c>
      <c r="G259" s="77">
        <f t="shared" si="128"/>
        <v>0.94137395088591858</v>
      </c>
      <c r="H259" s="77">
        <f t="shared" si="128"/>
        <v>1.1071989370696944</v>
      </c>
      <c r="I259" s="77">
        <f t="shared" si="128"/>
        <v>1.1002584788908907</v>
      </c>
      <c r="J259" s="77">
        <f t="shared" si="128"/>
        <v>0.93178158395549704</v>
      </c>
      <c r="K259" s="77" t="str">
        <f t="shared" si="128"/>
        <v/>
      </c>
      <c r="L259" s="77" t="str">
        <f t="shared" si="128"/>
        <v/>
      </c>
      <c r="M259" s="77" t="str">
        <f t="shared" si="128"/>
        <v/>
      </c>
      <c r="N259" s="77">
        <f>AVERAGEIF(B259:M259,"&lt;&gt;0",B259:M259)</f>
        <v>0.97211215495602465</v>
      </c>
      <c r="O259" s="454"/>
      <c r="P259" s="188"/>
    </row>
    <row r="260" spans="1:20" ht="17.5" customHeight="1" x14ac:dyDescent="0.4">
      <c r="A260" s="148" t="s">
        <v>95</v>
      </c>
      <c r="B260" s="78">
        <v>1967</v>
      </c>
      <c r="C260" s="78">
        <v>1164</v>
      </c>
      <c r="D260" s="78">
        <v>1668</v>
      </c>
      <c r="E260" s="74">
        <v>1792</v>
      </c>
      <c r="F260" s="75">
        <v>1635</v>
      </c>
      <c r="G260" s="75">
        <v>1803</v>
      </c>
      <c r="H260" s="75">
        <v>1795</v>
      </c>
      <c r="I260" s="75">
        <v>1777</v>
      </c>
      <c r="J260" s="75">
        <v>1628</v>
      </c>
      <c r="K260" s="75"/>
      <c r="L260" s="75"/>
      <c r="M260" s="75"/>
      <c r="N260" s="74">
        <f>AVERAGE(B260:M260)</f>
        <v>1692.1111111111111</v>
      </c>
      <c r="O260" s="456">
        <f>SUM(B260:M260)</f>
        <v>15229</v>
      </c>
      <c r="P260" t="s">
        <v>126</v>
      </c>
    </row>
    <row r="261" spans="1:20" ht="17.5" customHeight="1" x14ac:dyDescent="0.4">
      <c r="A261" s="149" t="s">
        <v>112</v>
      </c>
      <c r="B261" s="77">
        <f>IF(B260="","",B260/B219)</f>
        <v>1.6460251046025105</v>
      </c>
      <c r="C261" s="77">
        <f t="shared" ref="C261:M261" si="129">IF(C260="","",C260/C219)</f>
        <v>0.78278412911903161</v>
      </c>
      <c r="D261" s="77">
        <f t="shared" si="129"/>
        <v>1.0761290322580646</v>
      </c>
      <c r="E261" s="77">
        <f t="shared" si="129"/>
        <v>1.0205011389521641</v>
      </c>
      <c r="F261" s="77">
        <f t="shared" si="129"/>
        <v>1.0500963391136802</v>
      </c>
      <c r="G261" s="77">
        <f t="shared" si="129"/>
        <v>1.2400275103163687</v>
      </c>
      <c r="H261" s="77">
        <f t="shared" si="129"/>
        <v>1.0363741339491916</v>
      </c>
      <c r="I261" s="77">
        <f t="shared" si="129"/>
        <v>1.1092384519350811</v>
      </c>
      <c r="J261" s="77">
        <f t="shared" si="129"/>
        <v>0.98013245033112584</v>
      </c>
      <c r="K261" s="77" t="str">
        <f t="shared" si="129"/>
        <v/>
      </c>
      <c r="L261" s="77" t="str">
        <f t="shared" si="129"/>
        <v/>
      </c>
      <c r="M261" s="77" t="str">
        <f t="shared" si="129"/>
        <v/>
      </c>
      <c r="N261" s="77">
        <f>AVERAGEIF(B261:M261,"&lt;&gt;0",B261:M261)</f>
        <v>1.1045898100641354</v>
      </c>
      <c r="O261" s="454"/>
    </row>
    <row r="262" spans="1:20" ht="17.5" customHeight="1" x14ac:dyDescent="0.4">
      <c r="A262" s="148" t="s">
        <v>96</v>
      </c>
      <c r="B262" s="78">
        <v>9876</v>
      </c>
      <c r="C262" s="78">
        <v>6643</v>
      </c>
      <c r="D262" s="78">
        <v>10999</v>
      </c>
      <c r="E262" s="78">
        <v>9747</v>
      </c>
      <c r="F262" s="78">
        <v>9767</v>
      </c>
      <c r="G262" s="78">
        <v>10715</v>
      </c>
      <c r="H262" s="78">
        <v>11258</v>
      </c>
      <c r="I262" s="78">
        <v>9898</v>
      </c>
      <c r="J262" s="317">
        <v>9576</v>
      </c>
      <c r="K262" s="78"/>
      <c r="L262" s="78"/>
      <c r="M262" s="78"/>
      <c r="N262" s="74">
        <f>AVERAGE(B262:M262)</f>
        <v>9831</v>
      </c>
      <c r="O262" s="456">
        <f>SUM(B262:M262)</f>
        <v>88479</v>
      </c>
    </row>
    <row r="263" spans="1:20" ht="17.5" customHeight="1" x14ac:dyDescent="0.4">
      <c r="A263" s="149" t="s">
        <v>112</v>
      </c>
      <c r="B263" s="77">
        <f>IF(B262="","",B262/B221)</f>
        <v>0.8232744248082694</v>
      </c>
      <c r="C263" s="77">
        <f t="shared" ref="C263" si="130">IF(C262="","",C262/C221)</f>
        <v>0.69742782152230975</v>
      </c>
      <c r="D263" s="77">
        <f t="shared" ref="D263" si="131">IF(D262="","",D262/D221)</f>
        <v>1.0280400037386672</v>
      </c>
      <c r="E263" s="77">
        <f t="shared" ref="E263" si="132">IF(E262="","",E262/E221)</f>
        <v>0.96975425330812859</v>
      </c>
      <c r="F263" s="77">
        <f t="shared" ref="F263" si="133">IF(F262="","",F262/F221)</f>
        <v>1.0117049927491195</v>
      </c>
      <c r="G263" s="77">
        <f t="shared" ref="G263" si="134">IF(G262="","",G262/G221)</f>
        <v>1.0340667824744258</v>
      </c>
      <c r="H263" s="77">
        <f t="shared" ref="H263" si="135">IF(H262="","",H262/H221)</f>
        <v>1.0143256149202631</v>
      </c>
      <c r="I263" s="77">
        <f t="shared" ref="I263:J263" si="136">IF(I262="","",I262/I221)</f>
        <v>0.84648935260412217</v>
      </c>
      <c r="J263" s="77">
        <f t="shared" si="136"/>
        <v>0.9769434809222608</v>
      </c>
      <c r="K263" s="77" t="str">
        <f t="shared" ref="K263" si="137">IF(K262="","",K262/K221)</f>
        <v/>
      </c>
      <c r="L263" s="77" t="str">
        <f t="shared" ref="L263" si="138">IF(L262="","",L262/L221)</f>
        <v/>
      </c>
      <c r="M263" s="77" t="str">
        <f t="shared" ref="M263" si="139">IF(M262="","",M262/M221)</f>
        <v/>
      </c>
      <c r="N263" s="77">
        <f>AVERAGEIF(B263:M263,"&lt;&gt;0",B263:M263)</f>
        <v>0.93355852522750737</v>
      </c>
      <c r="O263" s="454"/>
    </row>
    <row r="264" spans="1:20" ht="17.5" customHeight="1" x14ac:dyDescent="0.4">
      <c r="A264" s="148" t="s">
        <v>97</v>
      </c>
      <c r="B264" s="78">
        <v>2127</v>
      </c>
      <c r="C264" s="78">
        <v>1717</v>
      </c>
      <c r="D264" s="78">
        <v>2026</v>
      </c>
      <c r="E264" s="78">
        <v>1816</v>
      </c>
      <c r="F264" s="75">
        <v>1782</v>
      </c>
      <c r="G264" s="75">
        <v>2014</v>
      </c>
      <c r="H264" s="75">
        <v>1977</v>
      </c>
      <c r="I264" s="75">
        <v>1756</v>
      </c>
      <c r="J264" s="316">
        <v>1752</v>
      </c>
      <c r="K264" s="75"/>
      <c r="L264" s="78"/>
      <c r="M264" s="78"/>
      <c r="N264" s="74">
        <f>AVERAGE(B264:M264)</f>
        <v>1885.2222222222222</v>
      </c>
      <c r="O264" s="456">
        <f>SUM(B264:M264)</f>
        <v>16967</v>
      </c>
    </row>
    <row r="265" spans="1:20" ht="17.5" customHeight="1" x14ac:dyDescent="0.4">
      <c r="A265" s="149" t="s">
        <v>112</v>
      </c>
      <c r="B265" s="77">
        <f>IF(B264="","",B264/B223)</f>
        <v>1.0720766129032258</v>
      </c>
      <c r="C265" s="77">
        <f t="shared" ref="C265" si="140">IF(C264="","",C264/C223)</f>
        <v>0.91720085470085466</v>
      </c>
      <c r="D265" s="77">
        <f t="shared" ref="D265" si="141">IF(D264="","",D264/D223)</f>
        <v>1.2734129478315526</v>
      </c>
      <c r="E265" s="77">
        <f t="shared" ref="E265" si="142">IF(E264="","",E264/E223)</f>
        <v>0.96801705756929635</v>
      </c>
      <c r="F265" s="77">
        <f t="shared" ref="F265" si="143">IF(F264="","",F264/F223)</f>
        <v>1.0439367311072056</v>
      </c>
      <c r="G265" s="77">
        <f t="shared" ref="G265" si="144">IF(G264="","",G264/G223)</f>
        <v>1.0898268398268398</v>
      </c>
      <c r="H265" s="77">
        <f t="shared" ref="H265" si="145">IF(H264="","",H264/H223)</f>
        <v>0.96157587548638135</v>
      </c>
      <c r="I265" s="77">
        <f t="shared" ref="I265:J265" si="146">IF(I264="","",I264/I223)</f>
        <v>0.84180249280920427</v>
      </c>
      <c r="J265" s="77">
        <f t="shared" si="146"/>
        <v>0.85380116959064323</v>
      </c>
      <c r="K265" s="77" t="str">
        <f t="shared" ref="K265" si="147">IF(K264="","",K264/K223)</f>
        <v/>
      </c>
      <c r="L265" s="77" t="str">
        <f t="shared" ref="L265" si="148">IF(L264="","",L264/L223)</f>
        <v/>
      </c>
      <c r="M265" s="77" t="str">
        <f t="shared" ref="M265" si="149">IF(M264="","",M264/M223)</f>
        <v/>
      </c>
      <c r="N265" s="77">
        <f>AVERAGEIF(B265:M265,"&lt;&gt;0",B265:M265)</f>
        <v>1.0024056202028002</v>
      </c>
      <c r="O265" s="454"/>
    </row>
    <row r="266" spans="1:20" ht="17.5" customHeight="1" x14ac:dyDescent="0.4">
      <c r="A266" s="148" t="s">
        <v>98</v>
      </c>
      <c r="B266" s="78">
        <v>11296</v>
      </c>
      <c r="C266" s="78">
        <v>6389</v>
      </c>
      <c r="D266" s="78">
        <v>11960</v>
      </c>
      <c r="E266" s="78">
        <v>9490</v>
      </c>
      <c r="F266" s="78">
        <v>9498</v>
      </c>
      <c r="G266" s="78">
        <v>10194</v>
      </c>
      <c r="H266" s="78">
        <v>10793</v>
      </c>
      <c r="I266" s="78">
        <v>9204</v>
      </c>
      <c r="J266" s="317">
        <v>9267</v>
      </c>
      <c r="K266" s="78"/>
      <c r="L266" s="78"/>
      <c r="M266" s="78"/>
      <c r="N266" s="74">
        <f>AVERAGE(B266:M266)</f>
        <v>9787.8888888888887</v>
      </c>
      <c r="O266" s="456">
        <f>SUM(B266:M266)</f>
        <v>88091</v>
      </c>
    </row>
    <row r="267" spans="1:20" ht="17.5" customHeight="1" x14ac:dyDescent="0.4">
      <c r="A267" s="149" t="s">
        <v>25</v>
      </c>
      <c r="B267" s="77">
        <f>IF(B266="","",B266/B225)</f>
        <v>1.3108970639433677</v>
      </c>
      <c r="C267" s="77">
        <f t="shared" ref="C267" si="150">IF(C266="","",C266/C225)</f>
        <v>0.57208094555873923</v>
      </c>
      <c r="D267" s="77">
        <f t="shared" ref="D267" si="151">IF(D266="","",D266/D225)</f>
        <v>1.0189997443980574</v>
      </c>
      <c r="E267" s="77">
        <f t="shared" ref="E267" si="152">IF(E266="","",E266/E225)</f>
        <v>0.85944575258105416</v>
      </c>
      <c r="F267" s="77">
        <f t="shared" ref="F267" si="153">IF(F266="","",F266/F225)</f>
        <v>0.96260261477652787</v>
      </c>
      <c r="G267" s="77">
        <f t="shared" ref="G267" si="154">IF(G266="","",G266/G225)</f>
        <v>0.95529940961484394</v>
      </c>
      <c r="H267" s="77">
        <f t="shared" ref="H267" si="155">IF(H266="","",H266/H225)</f>
        <v>0.92421647542387397</v>
      </c>
      <c r="I267" s="77">
        <f t="shared" ref="I267:J267" si="156">IF(I266="","",I266/I225)</f>
        <v>0.84735776100165716</v>
      </c>
      <c r="J267" s="77">
        <f t="shared" si="156"/>
        <v>0.88968894009216593</v>
      </c>
      <c r="K267" s="77" t="str">
        <f t="shared" ref="K267" si="157">IF(K266="","",K266/K225)</f>
        <v/>
      </c>
      <c r="L267" s="77" t="str">
        <f t="shared" ref="L267" si="158">IF(L266="","",L266/L225)</f>
        <v/>
      </c>
      <c r="M267" s="77" t="str">
        <f t="shared" ref="M267" si="159">IF(M266="","",M266/M225)</f>
        <v/>
      </c>
      <c r="N267" s="77">
        <f>AVERAGEIF(B267:M267,"&lt;&gt;0",B267:M267)</f>
        <v>0.92673207859892082</v>
      </c>
      <c r="O267" s="454"/>
    </row>
    <row r="268" spans="1:20" ht="17.5" customHeight="1" x14ac:dyDescent="0.4">
      <c r="A268" s="148" t="s">
        <v>99</v>
      </c>
      <c r="B268" s="78">
        <v>2265</v>
      </c>
      <c r="C268" s="78">
        <v>1635</v>
      </c>
      <c r="D268" s="78">
        <v>1837</v>
      </c>
      <c r="E268" s="78">
        <v>1450</v>
      </c>
      <c r="F268" s="75">
        <v>1579</v>
      </c>
      <c r="G268" s="75">
        <v>1644</v>
      </c>
      <c r="H268" s="75">
        <v>1542</v>
      </c>
      <c r="I268" s="75">
        <v>1923</v>
      </c>
      <c r="J268" s="316">
        <v>1653</v>
      </c>
      <c r="K268" s="75"/>
      <c r="L268" s="75"/>
      <c r="M268" s="75"/>
      <c r="N268" s="74">
        <f>AVERAGE(B268:M268)</f>
        <v>1725.3333333333333</v>
      </c>
      <c r="O268" s="456">
        <f>SUM(B268:M268)</f>
        <v>15528</v>
      </c>
    </row>
    <row r="269" spans="1:20" ht="17.5" customHeight="1" x14ac:dyDescent="0.4">
      <c r="A269" s="149" t="s">
        <v>112</v>
      </c>
      <c r="B269" s="77">
        <f>IF(B268="","",B268/B227)</f>
        <v>1.5729166666666667</v>
      </c>
      <c r="C269" s="77">
        <f t="shared" ref="C269" si="160">IF(C268="","",C268/C227)</f>
        <v>1.0914552736982643</v>
      </c>
      <c r="D269" s="77">
        <f t="shared" ref="D269" si="161">IF(D268="","",D268/D227)</f>
        <v>1.5069729286300246</v>
      </c>
      <c r="E269" s="77">
        <f t="shared" ref="E269" si="162">IF(E268="","",E268/E227)</f>
        <v>1.070110701107011</v>
      </c>
      <c r="F269" s="77">
        <f t="shared" ref="F269" si="163">IF(F268="","",F268/F227)</f>
        <v>1.1731054977711739</v>
      </c>
      <c r="G269" s="77">
        <f t="shared" ref="G269" si="164">IF(G268="","",G268/G227)</f>
        <v>1.1004016064257027</v>
      </c>
      <c r="H269" s="77">
        <f t="shared" ref="H269" si="165">IF(H268="","",H268/H227)</f>
        <v>0.93397940642035127</v>
      </c>
      <c r="I269" s="77">
        <f t="shared" ref="I269:J269" si="166">IF(I268="","",I268/I227)</f>
        <v>1.1446428571428571</v>
      </c>
      <c r="J269" s="77">
        <f t="shared" si="166"/>
        <v>0.91124586549062847</v>
      </c>
      <c r="K269" s="77" t="str">
        <f t="shared" ref="K269" si="167">IF(K268="","",K268/K227)</f>
        <v/>
      </c>
      <c r="L269" s="77" t="str">
        <f t="shared" ref="L269" si="168">IF(L268="","",L268/L227)</f>
        <v/>
      </c>
      <c r="M269" s="77" t="str">
        <f t="shared" ref="M269" si="169">IF(M268="","",M268/M227)</f>
        <v/>
      </c>
      <c r="N269" s="77">
        <f>AVERAGEIF(B269:M269,"&lt;&gt;0",B269:M269)</f>
        <v>1.1672034225947421</v>
      </c>
      <c r="O269" s="454"/>
    </row>
    <row r="270" spans="1:20" ht="17.5" customHeight="1" x14ac:dyDescent="0.4">
      <c r="A270" s="148" t="s">
        <v>121</v>
      </c>
      <c r="B270" s="78">
        <v>277</v>
      </c>
      <c r="C270" s="78">
        <v>228</v>
      </c>
      <c r="D270" s="78">
        <v>209</v>
      </c>
      <c r="E270" s="78">
        <v>196</v>
      </c>
      <c r="F270" s="78">
        <v>190</v>
      </c>
      <c r="G270" s="78">
        <v>205</v>
      </c>
      <c r="H270" s="78">
        <v>229</v>
      </c>
      <c r="I270" s="75">
        <v>252</v>
      </c>
      <c r="J270" s="316">
        <v>233</v>
      </c>
      <c r="K270" s="75"/>
      <c r="L270" s="75"/>
      <c r="M270" s="75"/>
      <c r="N270" s="74">
        <f>AVERAGE(B270:M270)</f>
        <v>224.33333333333334</v>
      </c>
      <c r="O270" s="456">
        <f>SUM(B270:M270)</f>
        <v>2019</v>
      </c>
    </row>
    <row r="271" spans="1:20" ht="17.5" customHeight="1" thickBot="1" x14ac:dyDescent="0.45">
      <c r="A271" s="158" t="s">
        <v>25</v>
      </c>
      <c r="B271" s="160">
        <f>IF(B270="","",B270/B229)</f>
        <v>0.8964401294498382</v>
      </c>
      <c r="C271" s="160">
        <f t="shared" ref="C271" si="170">IF(C270="","",C270/C229)</f>
        <v>1.0458715596330275</v>
      </c>
      <c r="D271" s="160">
        <f t="shared" ref="D271" si="171">IF(D270="","",D270/D229)</f>
        <v>0.99052132701421802</v>
      </c>
      <c r="E271" s="160">
        <f t="shared" ref="E271" si="172">IF(E270="","",E270/E229)</f>
        <v>1.2173913043478262</v>
      </c>
      <c r="F271" s="160">
        <f t="shared" ref="F271" si="173">IF(F270="","",F270/F229)</f>
        <v>1.2751677852348993</v>
      </c>
      <c r="G271" s="160">
        <f t="shared" ref="G271" si="174">IF(G270="","",G270/G229)</f>
        <v>0.8401639344262295</v>
      </c>
      <c r="H271" s="160">
        <f t="shared" ref="H271" si="175">IF(H270="","",H270/H229)</f>
        <v>1.106280193236715</v>
      </c>
      <c r="I271" s="160">
        <f t="shared" ref="I271:J271" si="176">IF(I270="","",I270/I229)</f>
        <v>0.9438202247191011</v>
      </c>
      <c r="J271" s="160">
        <f t="shared" si="176"/>
        <v>0.87593984962406013</v>
      </c>
      <c r="K271" s="160" t="str">
        <f t="shared" ref="K271" si="177">IF(K270="","",K270/K229)</f>
        <v/>
      </c>
      <c r="L271" s="160" t="str">
        <f t="shared" ref="L271" si="178">IF(L270="","",L270/L229)</f>
        <v/>
      </c>
      <c r="M271" s="160" t="str">
        <f t="shared" ref="M271" si="179">IF(M270="","",M270/M229)</f>
        <v/>
      </c>
      <c r="N271" s="160">
        <f>AVERAGEIF(B271:M271,"&lt;&gt;0",B271:M271)</f>
        <v>1.0212884786317682</v>
      </c>
      <c r="O271" s="457"/>
      <c r="P271" t="s">
        <v>127</v>
      </c>
    </row>
    <row r="272" spans="1:20" ht="17.5" customHeight="1" thickTop="1" x14ac:dyDescent="0.4">
      <c r="A272" s="179" t="s">
        <v>100</v>
      </c>
      <c r="B272" s="180">
        <f t="shared" ref="B272:C272" si="180">IF((B256+B258+B260+B262+B264+B266+B268+B270)=0,"",B256+B258+B260+B262+B264+B266+B268+B270)</f>
        <v>463128</v>
      </c>
      <c r="C272" s="180">
        <f t="shared" si="180"/>
        <v>282648</v>
      </c>
      <c r="D272" s="180">
        <f>IF((D256+D258+D260+D262+D264+D266+D268+D270)=0,"",D256+D258+D260+D262+D264+D266+D268+D270)</f>
        <v>448476</v>
      </c>
      <c r="E272" s="180">
        <f t="shared" ref="E272:M272" si="181">IF((E256+E258+E260+E262+E264+E266+E268+E270)=0,"",E256+E258+E260+E262+E264+E266+E268+E270)</f>
        <v>377212</v>
      </c>
      <c r="F272" s="180">
        <f t="shared" si="181"/>
        <v>387639</v>
      </c>
      <c r="G272" s="180">
        <f t="shared" si="181"/>
        <v>404293</v>
      </c>
      <c r="H272" s="180">
        <f t="shared" si="181"/>
        <v>430037</v>
      </c>
      <c r="I272" s="180">
        <f t="shared" si="181"/>
        <v>397054</v>
      </c>
      <c r="J272" s="180">
        <f t="shared" si="181"/>
        <v>383868</v>
      </c>
      <c r="K272" s="180" t="str">
        <f t="shared" si="181"/>
        <v/>
      </c>
      <c r="L272" s="180" t="str">
        <f t="shared" si="181"/>
        <v/>
      </c>
      <c r="M272" s="180" t="str">
        <f t="shared" si="181"/>
        <v/>
      </c>
      <c r="N272" s="180">
        <f>N256+N258+N260+N262+N264+N266+N268+N270</f>
        <v>397150.55555555556</v>
      </c>
      <c r="O272" s="458">
        <f>SUM(B272:M272)</f>
        <v>3574355</v>
      </c>
    </row>
    <row r="273" spans="1:16" ht="17.5" customHeight="1" thickBot="1" x14ac:dyDescent="0.45">
      <c r="A273" s="181" t="s">
        <v>112</v>
      </c>
      <c r="B273" s="190">
        <f t="shared" ref="B273:M273" si="182">IF(B272="","",B272/B231)</f>
        <v>1.2185141918984623</v>
      </c>
      <c r="C273" s="190">
        <f t="shared" si="182"/>
        <v>0.74654129579250417</v>
      </c>
      <c r="D273" s="190">
        <f t="shared" si="182"/>
        <v>1.0773111181574471</v>
      </c>
      <c r="E273" s="190">
        <f t="shared" si="182"/>
        <v>0.99364110993451449</v>
      </c>
      <c r="F273" s="190">
        <f t="shared" si="182"/>
        <v>1.0092768097980609</v>
      </c>
      <c r="G273" s="190">
        <f t="shared" si="182"/>
        <v>0.99063741993658638</v>
      </c>
      <c r="H273" s="190">
        <f t="shared" si="182"/>
        <v>0.9802686616836831</v>
      </c>
      <c r="I273" s="190">
        <f t="shared" si="182"/>
        <v>0.97268999171978576</v>
      </c>
      <c r="J273" s="190">
        <f t="shared" si="182"/>
        <v>0.97446975947198067</v>
      </c>
      <c r="K273" s="190" t="str">
        <f t="shared" si="182"/>
        <v/>
      </c>
      <c r="L273" s="190" t="str">
        <f t="shared" si="182"/>
        <v/>
      </c>
      <c r="M273" s="190" t="str">
        <f t="shared" si="182"/>
        <v/>
      </c>
      <c r="N273" s="190">
        <f>AVERAGEIF(B273:M273,"&lt;&gt;0",B273:M273)</f>
        <v>0.99592781759922511</v>
      </c>
      <c r="O273" s="459"/>
    </row>
    <row r="274" spans="1:16" ht="17.5" customHeight="1" thickBot="1" x14ac:dyDescent="0.4">
      <c r="A274" s="161" t="s">
        <v>113</v>
      </c>
      <c r="B274" s="150"/>
      <c r="C274" s="151"/>
      <c r="D274" s="151"/>
      <c r="E274" s="151"/>
      <c r="F274" s="152"/>
      <c r="G274" s="152"/>
      <c r="H274" s="151"/>
      <c r="I274" s="151"/>
      <c r="J274" s="151"/>
      <c r="K274" s="151"/>
      <c r="L274" s="151"/>
      <c r="M274" s="151"/>
      <c r="N274" s="69"/>
      <c r="O274" s="69"/>
    </row>
    <row r="275" spans="1:16" ht="17.5" customHeight="1" x14ac:dyDescent="0.4">
      <c r="A275" s="153" t="s">
        <v>101</v>
      </c>
      <c r="B275" s="154">
        <v>2778149</v>
      </c>
      <c r="C275" s="154">
        <v>1893298</v>
      </c>
      <c r="D275" s="154">
        <v>2635788</v>
      </c>
      <c r="E275" s="154">
        <v>2366095</v>
      </c>
      <c r="F275" s="154">
        <v>2400009</v>
      </c>
      <c r="G275" s="154">
        <v>2495060</v>
      </c>
      <c r="H275" s="154">
        <v>2681418</v>
      </c>
      <c r="I275" s="154">
        <v>2386871</v>
      </c>
      <c r="J275" s="154">
        <v>2268790</v>
      </c>
      <c r="K275" s="154"/>
      <c r="L275" s="154"/>
      <c r="M275" s="154"/>
      <c r="N275" s="155">
        <f t="shared" ref="N275" si="183">AVERAGE(B275:M275)</f>
        <v>2433942</v>
      </c>
      <c r="O275" s="453">
        <f>SUM(B275:M275)</f>
        <v>21905478</v>
      </c>
      <c r="P275" t="s">
        <v>125</v>
      </c>
    </row>
    <row r="276" spans="1:16" ht="17.5" customHeight="1" x14ac:dyDescent="0.4">
      <c r="A276" s="149" t="s">
        <v>25</v>
      </c>
      <c r="B276" s="77">
        <f t="shared" ref="B276:M276" si="184">IF(B275="","",B275/B234)</f>
        <v>1.0965695161340616</v>
      </c>
      <c r="C276" s="77">
        <f t="shared" si="184"/>
        <v>0.909909143556065</v>
      </c>
      <c r="D276" s="77">
        <f t="shared" si="184"/>
        <v>1.0626857632197291</v>
      </c>
      <c r="E276" s="77">
        <f t="shared" si="184"/>
        <v>1.0261492757394397</v>
      </c>
      <c r="F276" s="77">
        <f t="shared" si="184"/>
        <v>0.9885302093699132</v>
      </c>
      <c r="G276" s="77">
        <f t="shared" si="184"/>
        <v>1.0153503444172742</v>
      </c>
      <c r="H276" s="77">
        <f t="shared" si="184"/>
        <v>1.0109280841129951</v>
      </c>
      <c r="I276" s="77">
        <f t="shared" si="184"/>
        <v>1.0089372066442126</v>
      </c>
      <c r="J276" s="77">
        <f t="shared" si="184"/>
        <v>0.94672677206392608</v>
      </c>
      <c r="K276" s="77" t="str">
        <f t="shared" si="184"/>
        <v/>
      </c>
      <c r="L276" s="77" t="str">
        <f t="shared" si="184"/>
        <v/>
      </c>
      <c r="M276" s="77" t="str">
        <f t="shared" si="184"/>
        <v/>
      </c>
      <c r="N276" s="77">
        <f>AVERAGEIF(B276:M276,"&lt;&gt;0",B276:M276)</f>
        <v>1.0073095905841793</v>
      </c>
      <c r="O276" s="454"/>
    </row>
    <row r="277" spans="1:16" ht="17.5" customHeight="1" x14ac:dyDescent="0.4">
      <c r="A277" s="148" t="s">
        <v>118</v>
      </c>
      <c r="B277" s="78">
        <f>151363+135999</f>
        <v>287362</v>
      </c>
      <c r="C277" s="78">
        <v>254269</v>
      </c>
      <c r="D277" s="78">
        <v>290542</v>
      </c>
      <c r="E277" s="78">
        <v>322237</v>
      </c>
      <c r="F277" s="78">
        <v>314196</v>
      </c>
      <c r="G277" s="78">
        <v>290790</v>
      </c>
      <c r="H277" s="78">
        <v>324210</v>
      </c>
      <c r="I277" s="78">
        <v>311795</v>
      </c>
      <c r="J277" s="78">
        <v>283757</v>
      </c>
      <c r="K277" s="78"/>
      <c r="L277" s="78"/>
      <c r="M277" s="78"/>
      <c r="N277" s="74">
        <f>AVERAGE(B277:M277)</f>
        <v>297684.22222222225</v>
      </c>
      <c r="O277" s="455">
        <f>SUM(B277:M277)</f>
        <v>2679158</v>
      </c>
    </row>
    <row r="278" spans="1:16" ht="17.5" customHeight="1" x14ac:dyDescent="0.4">
      <c r="A278" s="149" t="s">
        <v>25</v>
      </c>
      <c r="B278" s="124">
        <f t="shared" ref="B278:M278" si="185">IF(B277="","",B277/B236)</f>
        <v>1.0260253576746063</v>
      </c>
      <c r="C278" s="124">
        <f t="shared" si="185"/>
        <v>0.99422085107547697</v>
      </c>
      <c r="D278" s="124">
        <f t="shared" si="185"/>
        <v>1.1088881425278232</v>
      </c>
      <c r="E278" s="124">
        <f t="shared" si="185"/>
        <v>1.2409242322133436</v>
      </c>
      <c r="F278" s="124">
        <f t="shared" si="185"/>
        <v>1.1180636115835996</v>
      </c>
      <c r="G278" s="124">
        <f t="shared" si="185"/>
        <v>1.2173414324766718</v>
      </c>
      <c r="H278" s="124">
        <f t="shared" si="185"/>
        <v>1.3051249330751611</v>
      </c>
      <c r="I278" s="124">
        <f t="shared" si="185"/>
        <v>1.4379632063680932</v>
      </c>
      <c r="J278" s="124">
        <f t="shared" si="185"/>
        <v>1.0209510171479559</v>
      </c>
      <c r="K278" s="124" t="str">
        <f t="shared" si="185"/>
        <v/>
      </c>
      <c r="L278" s="124" t="str">
        <f t="shared" si="185"/>
        <v/>
      </c>
      <c r="M278" s="124" t="str">
        <f t="shared" si="185"/>
        <v/>
      </c>
      <c r="N278" s="77">
        <f>AVERAGEIF(B278:M278,"&lt;&gt;0",B278:M278)</f>
        <v>1.1632780871269701</v>
      </c>
      <c r="O278" s="454"/>
    </row>
    <row r="279" spans="1:16" ht="17.5" customHeight="1" x14ac:dyDescent="0.4">
      <c r="A279" s="156" t="s">
        <v>103</v>
      </c>
      <c r="B279" s="113">
        <v>7597</v>
      </c>
      <c r="C279" s="103">
        <v>3688</v>
      </c>
      <c r="D279" s="78">
        <v>7123</v>
      </c>
      <c r="E279" s="74">
        <v>7745</v>
      </c>
      <c r="F279" s="74">
        <v>6320</v>
      </c>
      <c r="G279" s="78">
        <v>6930</v>
      </c>
      <c r="H279" s="78">
        <v>7364</v>
      </c>
      <c r="I279" s="78">
        <v>6527</v>
      </c>
      <c r="J279" s="78">
        <v>5461</v>
      </c>
      <c r="K279" s="78"/>
      <c r="L279" s="78"/>
      <c r="M279" s="78"/>
      <c r="N279" s="74">
        <f t="shared" ref="N279" si="186">AVERAGE(B279:M279)</f>
        <v>6528.333333333333</v>
      </c>
      <c r="O279" s="456">
        <f>SUM(B279:M279)</f>
        <v>58755</v>
      </c>
      <c r="P279" t="s">
        <v>126</v>
      </c>
    </row>
    <row r="280" spans="1:16" ht="17.5" customHeight="1" x14ac:dyDescent="0.4">
      <c r="A280" s="157" t="s">
        <v>25</v>
      </c>
      <c r="B280" s="77">
        <f t="shared" ref="B280:M280" si="187">IF(B279="","",B279/B238)</f>
        <v>1.531344486998589</v>
      </c>
      <c r="C280" s="77">
        <f t="shared" si="187"/>
        <v>0.67054545454545456</v>
      </c>
      <c r="D280" s="77">
        <f t="shared" si="187"/>
        <v>1.1486856958555072</v>
      </c>
      <c r="E280" s="77">
        <f t="shared" si="187"/>
        <v>1.0580601092896176</v>
      </c>
      <c r="F280" s="77">
        <f t="shared" si="187"/>
        <v>1.2079510703363914</v>
      </c>
      <c r="G280" s="77">
        <f t="shared" si="187"/>
        <v>1.0303300624442462</v>
      </c>
      <c r="H280" s="77">
        <f t="shared" si="187"/>
        <v>1.1438334886610748</v>
      </c>
      <c r="I280" s="77">
        <f t="shared" si="187"/>
        <v>1.0788429752066115</v>
      </c>
      <c r="J280" s="77">
        <f t="shared" si="187"/>
        <v>0.73717602591792653</v>
      </c>
      <c r="K280" s="77" t="str">
        <f t="shared" si="187"/>
        <v/>
      </c>
      <c r="L280" s="77" t="str">
        <f t="shared" si="187"/>
        <v/>
      </c>
      <c r="M280" s="77" t="str">
        <f t="shared" si="187"/>
        <v/>
      </c>
      <c r="N280" s="77">
        <f>AVERAGEIF(B280:M280,"&lt;&gt;0",B280:M280)</f>
        <v>1.067418818806158</v>
      </c>
      <c r="O280" s="454"/>
    </row>
    <row r="281" spans="1:16" ht="17.5" customHeight="1" x14ac:dyDescent="0.4">
      <c r="A281" s="148" t="s">
        <v>104</v>
      </c>
      <c r="B281" s="106">
        <v>90765</v>
      </c>
      <c r="C281" s="78">
        <v>86369</v>
      </c>
      <c r="D281" s="78">
        <v>115929</v>
      </c>
      <c r="E281" s="78">
        <v>86989</v>
      </c>
      <c r="F281" s="78">
        <v>92057</v>
      </c>
      <c r="G281" s="78">
        <v>138997</v>
      </c>
      <c r="H281" s="78">
        <v>157738</v>
      </c>
      <c r="I281" s="78">
        <v>87234</v>
      </c>
      <c r="J281" s="317">
        <v>137381</v>
      </c>
      <c r="K281" s="78"/>
      <c r="L281" s="78"/>
      <c r="M281" s="78"/>
      <c r="N281" s="74">
        <f t="shared" ref="N281" si="188">AVERAGE(B281:M281)</f>
        <v>110384.33333333333</v>
      </c>
      <c r="O281" s="456">
        <f>SUM(B281:M281)</f>
        <v>993459</v>
      </c>
    </row>
    <row r="282" spans="1:16" ht="17.5" customHeight="1" x14ac:dyDescent="0.4">
      <c r="A282" s="149" t="s">
        <v>25</v>
      </c>
      <c r="B282" s="77">
        <f t="shared" ref="B282:M282" si="189">IF(B281="","",B281/B240)</f>
        <v>0.53911902018318103</v>
      </c>
      <c r="C282" s="77">
        <f t="shared" si="189"/>
        <v>0.69943474458229404</v>
      </c>
      <c r="D282" s="77">
        <f t="shared" si="189"/>
        <v>0.78611921068691937</v>
      </c>
      <c r="E282" s="77">
        <f t="shared" si="189"/>
        <v>0.90308749636642993</v>
      </c>
      <c r="F282" s="77">
        <f t="shared" si="189"/>
        <v>0.98281144906957629</v>
      </c>
      <c r="G282" s="77">
        <f t="shared" si="189"/>
        <v>1.2025314265445075</v>
      </c>
      <c r="H282" s="77">
        <f t="shared" si="189"/>
        <v>1.3809773948976554</v>
      </c>
      <c r="I282" s="77">
        <f t="shared" si="189"/>
        <v>0.86468751548793177</v>
      </c>
      <c r="J282" s="77">
        <f t="shared" si="189"/>
        <v>13.268398686497973</v>
      </c>
      <c r="K282" s="77" t="str">
        <f t="shared" si="189"/>
        <v/>
      </c>
      <c r="L282" s="77" t="str">
        <f t="shared" si="189"/>
        <v/>
      </c>
      <c r="M282" s="77" t="str">
        <f t="shared" si="189"/>
        <v/>
      </c>
      <c r="N282" s="77">
        <f>AVERAGEIF(B282:M282,"&lt;&gt;0",B282:M282)</f>
        <v>2.2919074382573852</v>
      </c>
      <c r="O282" s="454"/>
    </row>
    <row r="283" spans="1:16" ht="17.5" customHeight="1" x14ac:dyDescent="0.4">
      <c r="A283" s="148" t="s">
        <v>105</v>
      </c>
      <c r="B283" s="78">
        <v>18848</v>
      </c>
      <c r="C283" s="78">
        <v>14559</v>
      </c>
      <c r="D283" s="78">
        <v>17840</v>
      </c>
      <c r="E283" s="78">
        <v>16936</v>
      </c>
      <c r="F283" s="78">
        <v>14701</v>
      </c>
      <c r="G283" s="78">
        <v>17306</v>
      </c>
      <c r="H283" s="78">
        <v>16991</v>
      </c>
      <c r="I283" s="78">
        <v>14822</v>
      </c>
      <c r="J283" s="317">
        <v>13849</v>
      </c>
      <c r="K283" s="78"/>
      <c r="L283" s="78"/>
      <c r="M283" s="78"/>
      <c r="N283" s="74">
        <f t="shared" ref="N283" si="190">AVERAGE(B283:M283)</f>
        <v>16205.777777777777</v>
      </c>
      <c r="O283" s="456">
        <f>SUM(B283:M283)</f>
        <v>145852</v>
      </c>
    </row>
    <row r="284" spans="1:16" ht="17.5" customHeight="1" x14ac:dyDescent="0.4">
      <c r="A284" s="149" t="s">
        <v>25</v>
      </c>
      <c r="B284" s="77">
        <f t="shared" ref="B284:M284" si="191">IF(B283="","",B283/B242)</f>
        <v>1.1282849446273571</v>
      </c>
      <c r="C284" s="77">
        <f t="shared" si="191"/>
        <v>0.883327266108482</v>
      </c>
      <c r="D284" s="77">
        <f t="shared" si="191"/>
        <v>1.1488923235445647</v>
      </c>
      <c r="E284" s="77">
        <f t="shared" si="191"/>
        <v>1.0851540975203435</v>
      </c>
      <c r="F284" s="77">
        <f t="shared" si="191"/>
        <v>1.0476767388825541</v>
      </c>
      <c r="G284" s="77">
        <f t="shared" si="191"/>
        <v>1.1458650599218698</v>
      </c>
      <c r="H284" s="77">
        <f t="shared" si="191"/>
        <v>0.96075770426915463</v>
      </c>
      <c r="I284" s="79">
        <f t="shared" si="191"/>
        <v>0.873114985862394</v>
      </c>
      <c r="J284" s="79">
        <f t="shared" si="191"/>
        <v>0.96805536138683068</v>
      </c>
      <c r="K284" s="79" t="str">
        <f t="shared" si="191"/>
        <v/>
      </c>
      <c r="L284" s="79" t="str">
        <f t="shared" si="191"/>
        <v/>
      </c>
      <c r="M284" s="79" t="str">
        <f t="shared" si="191"/>
        <v/>
      </c>
      <c r="N284" s="77">
        <f>AVERAGEIF(B284:M284,"&lt;&gt;0",B284:M284)</f>
        <v>1.0267920535692836</v>
      </c>
      <c r="O284" s="454"/>
    </row>
    <row r="285" spans="1:16" ht="17.5" customHeight="1" x14ac:dyDescent="0.4">
      <c r="A285" s="148" t="s">
        <v>106</v>
      </c>
      <c r="B285" s="78">
        <v>18642</v>
      </c>
      <c r="C285" s="78">
        <v>10865</v>
      </c>
      <c r="D285" s="78">
        <v>20104</v>
      </c>
      <c r="E285" s="78">
        <v>15832</v>
      </c>
      <c r="F285" s="78">
        <v>16659</v>
      </c>
      <c r="G285" s="78">
        <v>16759</v>
      </c>
      <c r="H285" s="78">
        <v>18122</v>
      </c>
      <c r="I285" s="78">
        <v>15463</v>
      </c>
      <c r="J285" s="317">
        <v>15703</v>
      </c>
      <c r="K285" s="78"/>
      <c r="L285" s="78"/>
      <c r="M285" s="78"/>
      <c r="N285" s="74">
        <f t="shared" ref="N285" si="192">AVERAGE(B285:M285)</f>
        <v>16461</v>
      </c>
      <c r="O285" s="456">
        <f>SUM(B285:M285)</f>
        <v>148149</v>
      </c>
    </row>
    <row r="286" spans="1:16" ht="17.5" customHeight="1" x14ac:dyDescent="0.4">
      <c r="A286" s="149" t="s">
        <v>25</v>
      </c>
      <c r="B286" s="77">
        <f t="shared" ref="B286:M286" si="193">IF(B285="","",B285/B244)</f>
        <v>1.2550154840447019</v>
      </c>
      <c r="C286" s="77">
        <f t="shared" si="193"/>
        <v>0.57441184245307952</v>
      </c>
      <c r="D286" s="77">
        <f t="shared" si="193"/>
        <v>1.0446349701221096</v>
      </c>
      <c r="E286" s="77">
        <f t="shared" si="193"/>
        <v>0.89944324508578566</v>
      </c>
      <c r="F286" s="77">
        <f t="shared" si="193"/>
        <v>1.0482632771205638</v>
      </c>
      <c r="G286" s="77">
        <f t="shared" si="193"/>
        <v>0.95530981018069883</v>
      </c>
      <c r="H286" s="77">
        <f t="shared" si="193"/>
        <v>0.9390610425950876</v>
      </c>
      <c r="I286" s="79">
        <f t="shared" si="193"/>
        <v>0.85478164731896078</v>
      </c>
      <c r="J286" s="79">
        <f t="shared" si="193"/>
        <v>0.95627550088301561</v>
      </c>
      <c r="K286" s="79" t="str">
        <f t="shared" si="193"/>
        <v/>
      </c>
      <c r="L286" s="79" t="str">
        <f t="shared" si="193"/>
        <v/>
      </c>
      <c r="M286" s="79" t="str">
        <f t="shared" si="193"/>
        <v/>
      </c>
      <c r="N286" s="77">
        <f>AVERAGEIF(B286:M286,"&lt;&gt;0",B286:M286)</f>
        <v>0.94746631331155606</v>
      </c>
      <c r="O286" s="454"/>
    </row>
    <row r="287" spans="1:16" ht="17.5" customHeight="1" x14ac:dyDescent="0.4">
      <c r="A287" s="148" t="s">
        <v>107</v>
      </c>
      <c r="B287" s="78">
        <v>9719</v>
      </c>
      <c r="C287" s="78">
        <v>7741</v>
      </c>
      <c r="D287" s="78">
        <v>7536</v>
      </c>
      <c r="E287" s="78">
        <v>5325</v>
      </c>
      <c r="F287" s="78">
        <v>6469</v>
      </c>
      <c r="G287" s="78">
        <v>6142</v>
      </c>
      <c r="H287" s="78">
        <v>6279</v>
      </c>
      <c r="I287" s="78">
        <v>7804</v>
      </c>
      <c r="J287" s="317">
        <v>6708</v>
      </c>
      <c r="K287" s="78"/>
      <c r="L287" s="78"/>
      <c r="M287" s="78"/>
      <c r="N287" s="74">
        <f t="shared" ref="N287" si="194">AVERAGE(B287:M287)</f>
        <v>7080.333333333333</v>
      </c>
      <c r="O287" s="456">
        <f>SUM(B287:M287)</f>
        <v>63723</v>
      </c>
    </row>
    <row r="288" spans="1:16" ht="17.5" customHeight="1" x14ac:dyDescent="0.4">
      <c r="A288" s="149" t="s">
        <v>25</v>
      </c>
      <c r="B288" s="77">
        <f t="shared" ref="B288:M288" si="195">IF(B287="","",B287/B246)</f>
        <v>1.6141836904168743</v>
      </c>
      <c r="C288" s="77">
        <f t="shared" si="195"/>
        <v>0.95532518820190049</v>
      </c>
      <c r="D288" s="77">
        <f t="shared" si="195"/>
        <v>1.372927673528876</v>
      </c>
      <c r="E288" s="77">
        <f t="shared" si="195"/>
        <v>0.8860232945091514</v>
      </c>
      <c r="F288" s="77">
        <f t="shared" si="195"/>
        <v>1.1271998606028926</v>
      </c>
      <c r="G288" s="77">
        <f t="shared" si="195"/>
        <v>0.9009828370250843</v>
      </c>
      <c r="H288" s="77">
        <f t="shared" si="195"/>
        <v>0.84304511278195493</v>
      </c>
      <c r="I288" s="79">
        <f t="shared" si="195"/>
        <v>1.063794983642312</v>
      </c>
      <c r="J288" s="79">
        <f t="shared" si="195"/>
        <v>0.84398590840463006</v>
      </c>
      <c r="K288" s="79" t="str">
        <f t="shared" si="195"/>
        <v/>
      </c>
      <c r="L288" s="79" t="str">
        <f t="shared" si="195"/>
        <v/>
      </c>
      <c r="M288" s="79" t="str">
        <f t="shared" si="195"/>
        <v/>
      </c>
      <c r="N288" s="77">
        <f>AVERAGEIF(B288:M288,"&lt;&gt;0",B288:M288)</f>
        <v>1.0674965054570751</v>
      </c>
      <c r="O288" s="454"/>
    </row>
    <row r="289" spans="1:16" ht="17.5" customHeight="1" x14ac:dyDescent="0.4">
      <c r="A289" s="148" t="s">
        <v>119</v>
      </c>
      <c r="B289" s="78">
        <v>2108</v>
      </c>
      <c r="C289" s="78">
        <v>1757</v>
      </c>
      <c r="D289" s="78">
        <v>1497</v>
      </c>
      <c r="E289" s="78">
        <v>1221</v>
      </c>
      <c r="F289" s="78">
        <v>1269</v>
      </c>
      <c r="G289" s="78">
        <v>1378</v>
      </c>
      <c r="H289" s="78">
        <v>1565</v>
      </c>
      <c r="I289" s="78">
        <v>1765</v>
      </c>
      <c r="J289" s="317">
        <v>1570</v>
      </c>
      <c r="K289" s="78"/>
      <c r="L289" s="78"/>
      <c r="M289" s="78"/>
      <c r="N289" s="74">
        <f>AVERAGE(B289:M289)</f>
        <v>1570</v>
      </c>
      <c r="O289" s="456">
        <f>SUM(B289:M289)</f>
        <v>14130</v>
      </c>
      <c r="P289" t="s">
        <v>127</v>
      </c>
    </row>
    <row r="290" spans="1:16" ht="17.5" customHeight="1" thickBot="1" x14ac:dyDescent="0.45">
      <c r="A290" s="158" t="s">
        <v>25</v>
      </c>
      <c r="B290" s="160">
        <f t="shared" ref="B290:M290" si="196">IF(B289="","",B289/B248)</f>
        <v>0.97412199630314233</v>
      </c>
      <c r="C290" s="160">
        <f t="shared" si="196"/>
        <v>1.1313586606567934</v>
      </c>
      <c r="D290" s="160">
        <f t="shared" si="196"/>
        <v>1.0527426160337552</v>
      </c>
      <c r="E290" s="160">
        <f t="shared" si="196"/>
        <v>0.98866396761133601</v>
      </c>
      <c r="F290" s="160">
        <f t="shared" si="196"/>
        <v>1.175</v>
      </c>
      <c r="G290" s="160">
        <f t="shared" si="196"/>
        <v>0.84332925336597309</v>
      </c>
      <c r="H290" s="160">
        <f t="shared" si="196"/>
        <v>1.0689890710382515</v>
      </c>
      <c r="I290" s="159">
        <f t="shared" si="196"/>
        <v>0.97675705589374651</v>
      </c>
      <c r="J290" s="159">
        <f t="shared" si="196"/>
        <v>0.87465181058495822</v>
      </c>
      <c r="K290" s="159" t="str">
        <f t="shared" si="196"/>
        <v/>
      </c>
      <c r="L290" s="159" t="str">
        <f t="shared" si="196"/>
        <v/>
      </c>
      <c r="M290" s="159" t="str">
        <f t="shared" si="196"/>
        <v/>
      </c>
      <c r="N290" s="160">
        <f>AVERAGEIF(B290:M290,"&lt;&gt;0",B290:M290)</f>
        <v>1.0095127146097727</v>
      </c>
      <c r="O290" s="457"/>
    </row>
    <row r="291" spans="1:16" ht="17.5" customHeight="1" thickTop="1" x14ac:dyDescent="0.4">
      <c r="A291" s="179" t="s">
        <v>108</v>
      </c>
      <c r="B291" s="183">
        <f t="shared" ref="B291:M291" si="197">IF((B275+B277+B279+B281+B283+B285+B287+B289)=0,"",B275+B277+B279+B281+B283+B285+B287+B289)</f>
        <v>3213190</v>
      </c>
      <c r="C291" s="183">
        <f t="shared" si="197"/>
        <v>2272546</v>
      </c>
      <c r="D291" s="183">
        <f t="shared" si="197"/>
        <v>3096359</v>
      </c>
      <c r="E291" s="183">
        <f t="shared" si="197"/>
        <v>2822380</v>
      </c>
      <c r="F291" s="183">
        <f t="shared" si="197"/>
        <v>2851680</v>
      </c>
      <c r="G291" s="183">
        <f t="shared" si="197"/>
        <v>2973362</v>
      </c>
      <c r="H291" s="183">
        <f t="shared" si="197"/>
        <v>3213687</v>
      </c>
      <c r="I291" s="183">
        <f t="shared" si="197"/>
        <v>2832281</v>
      </c>
      <c r="J291" s="183">
        <f t="shared" si="197"/>
        <v>2733219</v>
      </c>
      <c r="K291" s="183" t="str">
        <f t="shared" si="197"/>
        <v/>
      </c>
      <c r="L291" s="183" t="str">
        <f t="shared" si="197"/>
        <v/>
      </c>
      <c r="M291" s="183" t="str">
        <f t="shared" si="197"/>
        <v/>
      </c>
      <c r="N291" s="183">
        <f>AVERAGEIF(B291:M291,"&lt;&gt;0",B291:M291)</f>
        <v>2889856</v>
      </c>
      <c r="O291" s="458">
        <f>SUM(B291:M291)</f>
        <v>26008704</v>
      </c>
    </row>
    <row r="292" spans="1:16" ht="17.5" customHeight="1" thickBot="1" x14ac:dyDescent="0.45">
      <c r="A292" s="181" t="s">
        <v>112</v>
      </c>
      <c r="B292" s="190">
        <f t="shared" ref="B292:M292" si="198">IF(B291="","",B291/B250)</f>
        <v>1.0616405655536676</v>
      </c>
      <c r="C292" s="190">
        <f t="shared" si="198"/>
        <v>0.90520242864181755</v>
      </c>
      <c r="D292" s="190">
        <f t="shared" si="198"/>
        <v>1.054016867080259</v>
      </c>
      <c r="E292" s="190">
        <f t="shared" si="198"/>
        <v>1.0416327591100147</v>
      </c>
      <c r="F292" s="190">
        <f t="shared" si="198"/>
        <v>1.0025185303932198</v>
      </c>
      <c r="G292" s="182">
        <f t="shared" si="198"/>
        <v>1.0397744876770427</v>
      </c>
      <c r="H292" s="182">
        <f t="shared" si="198"/>
        <v>1.0476908782682401</v>
      </c>
      <c r="I292" s="182">
        <f t="shared" si="198"/>
        <v>1.0360602450229597</v>
      </c>
      <c r="J292" s="182">
        <f t="shared" si="198"/>
        <v>1.0002181054613095</v>
      </c>
      <c r="K292" s="182" t="str">
        <f t="shared" si="198"/>
        <v/>
      </c>
      <c r="L292" s="182" t="str">
        <f t="shared" si="198"/>
        <v/>
      </c>
      <c r="M292" s="182" t="str">
        <f t="shared" si="198"/>
        <v/>
      </c>
      <c r="N292" s="184">
        <f>AVERAGEIF(B292:M292,"&lt;&gt;0",B292:M292)</f>
        <v>1.02097276302317</v>
      </c>
      <c r="O292" s="459"/>
    </row>
    <row r="293" spans="1:16" ht="17.5" customHeight="1" thickBot="1" x14ac:dyDescent="0.45">
      <c r="A293" s="181" t="s">
        <v>128</v>
      </c>
      <c r="B293" s="237" t="s">
        <v>144</v>
      </c>
      <c r="C293" s="237" t="s">
        <v>145</v>
      </c>
      <c r="D293" s="237" t="s">
        <v>131</v>
      </c>
      <c r="E293" s="237" t="s">
        <v>146</v>
      </c>
      <c r="F293" s="237" t="s">
        <v>137</v>
      </c>
      <c r="G293" s="237" t="s">
        <v>132</v>
      </c>
      <c r="H293" s="237" t="s">
        <v>147</v>
      </c>
      <c r="I293" s="237" t="s">
        <v>135</v>
      </c>
      <c r="J293" s="237" t="s">
        <v>427</v>
      </c>
      <c r="K293" s="237"/>
      <c r="L293" s="237"/>
      <c r="M293" s="237"/>
      <c r="N293" s="238"/>
      <c r="O293" s="205" t="s">
        <v>148</v>
      </c>
    </row>
  </sheetData>
  <mergeCells count="122">
    <mergeCell ref="O184:O185"/>
    <mergeCell ref="O186:O187"/>
    <mergeCell ref="O188:O189"/>
    <mergeCell ref="O190:O191"/>
    <mergeCell ref="O193:O194"/>
    <mergeCell ref="O205:O206"/>
    <mergeCell ref="O207:O208"/>
    <mergeCell ref="O209:O210"/>
    <mergeCell ref="O195:O196"/>
    <mergeCell ref="O197:O198"/>
    <mergeCell ref="O199:O200"/>
    <mergeCell ref="O201:O202"/>
    <mergeCell ref="O203:O204"/>
    <mergeCell ref="O157:O158"/>
    <mergeCell ref="O159:O160"/>
    <mergeCell ref="O161:O162"/>
    <mergeCell ref="O163:O164"/>
    <mergeCell ref="O174:O175"/>
    <mergeCell ref="O176:O177"/>
    <mergeCell ref="O178:O179"/>
    <mergeCell ref="O180:O181"/>
    <mergeCell ref="O182:O183"/>
    <mergeCell ref="O33:O34"/>
    <mergeCell ref="O21:O22"/>
    <mergeCell ref="O23:O24"/>
    <mergeCell ref="O25:O26"/>
    <mergeCell ref="O27:O28"/>
    <mergeCell ref="O29:O30"/>
    <mergeCell ref="O31:O32"/>
    <mergeCell ref="O134:O135"/>
    <mergeCell ref="O136:O137"/>
    <mergeCell ref="O58:O59"/>
    <mergeCell ref="O60:O61"/>
    <mergeCell ref="O62:O63"/>
    <mergeCell ref="O64:O65"/>
    <mergeCell ref="O66:O67"/>
    <mergeCell ref="O50:O51"/>
    <mergeCell ref="O52:O53"/>
    <mergeCell ref="O35:O36"/>
    <mergeCell ref="O38:O39"/>
    <mergeCell ref="O40:O41"/>
    <mergeCell ref="O42:O43"/>
    <mergeCell ref="O44:O45"/>
    <mergeCell ref="O46:O47"/>
    <mergeCell ref="O48:O49"/>
    <mergeCell ref="O89:O90"/>
    <mergeCell ref="O79:O80"/>
    <mergeCell ref="O81:O82"/>
    <mergeCell ref="O83:O84"/>
    <mergeCell ref="O85:O86"/>
    <mergeCell ref="O87:O88"/>
    <mergeCell ref="O68:O69"/>
    <mergeCell ref="O70:O71"/>
    <mergeCell ref="O72:O73"/>
    <mergeCell ref="O75:O76"/>
    <mergeCell ref="O77:O78"/>
    <mergeCell ref="O104:O105"/>
    <mergeCell ref="O106:O107"/>
    <mergeCell ref="O110:O111"/>
    <mergeCell ref="O113:O114"/>
    <mergeCell ref="O115:O116"/>
    <mergeCell ref="O108:O109"/>
    <mergeCell ref="O94:O95"/>
    <mergeCell ref="O96:O97"/>
    <mergeCell ref="O98:O99"/>
    <mergeCell ref="O100:O101"/>
    <mergeCell ref="O102:O103"/>
    <mergeCell ref="O215:O216"/>
    <mergeCell ref="O217:O218"/>
    <mergeCell ref="O219:O220"/>
    <mergeCell ref="O221:O222"/>
    <mergeCell ref="O223:O224"/>
    <mergeCell ref="O129:O130"/>
    <mergeCell ref="O117:O118"/>
    <mergeCell ref="O119:O120"/>
    <mergeCell ref="O121:O122"/>
    <mergeCell ref="O123:O124"/>
    <mergeCell ref="O125:O126"/>
    <mergeCell ref="O127:O128"/>
    <mergeCell ref="O138:O139"/>
    <mergeCell ref="O140:O141"/>
    <mergeCell ref="O142:O143"/>
    <mergeCell ref="O144:O145"/>
    <mergeCell ref="O146:O147"/>
    <mergeCell ref="O148:O149"/>
    <mergeCell ref="O150:O151"/>
    <mergeCell ref="O153:O154"/>
    <mergeCell ref="O165:O166"/>
    <mergeCell ref="O167:O168"/>
    <mergeCell ref="O169:O170"/>
    <mergeCell ref="O155:O156"/>
    <mergeCell ref="O246:O247"/>
    <mergeCell ref="O248:O249"/>
    <mergeCell ref="O250:O251"/>
    <mergeCell ref="O236:O237"/>
    <mergeCell ref="O238:O239"/>
    <mergeCell ref="O240:O241"/>
    <mergeCell ref="O242:O243"/>
    <mergeCell ref="O244:O245"/>
    <mergeCell ref="O225:O226"/>
    <mergeCell ref="O227:O228"/>
    <mergeCell ref="O229:O230"/>
    <mergeCell ref="O231:O232"/>
    <mergeCell ref="O234:O23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</mergeCells>
  <phoneticPr fontId="1" type="noConversion"/>
  <printOptions horizontalCentered="1" verticalCentered="1"/>
  <pageMargins left="0" right="0" top="0" bottom="0" header="0" footer="0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M61"/>
  <sheetViews>
    <sheetView topLeftCell="A25" zoomScale="81" zoomScaleNormal="81" workbookViewId="0">
      <selection activeCell="R58" sqref="R58"/>
    </sheetView>
  </sheetViews>
  <sheetFormatPr defaultColWidth="8.90625" defaultRowHeight="15.5" x14ac:dyDescent="0.4"/>
  <cols>
    <col min="1" max="1" width="14.90625" style="6" bestFit="1" customWidth="1"/>
    <col min="2" max="2" width="16.90625" style="6" bestFit="1" customWidth="1"/>
    <col min="3" max="4" width="12.90625" style="6" bestFit="1" customWidth="1"/>
    <col min="5" max="5" width="14.08984375" style="6" bestFit="1" customWidth="1"/>
    <col min="6" max="11" width="12.90625" style="6" bestFit="1" customWidth="1"/>
    <col min="12" max="13" width="12.08984375" style="6" bestFit="1" customWidth="1"/>
    <col min="14" max="16384" width="8.90625" style="1"/>
  </cols>
  <sheetData>
    <row r="1" spans="1:13" x14ac:dyDescent="0.4">
      <c r="A1" s="108" t="s">
        <v>149</v>
      </c>
      <c r="B1" s="108">
        <v>1</v>
      </c>
      <c r="C1" s="108">
        <v>2</v>
      </c>
      <c r="D1" s="108">
        <v>3</v>
      </c>
      <c r="E1" s="108">
        <v>4</v>
      </c>
      <c r="F1" s="108">
        <v>5</v>
      </c>
      <c r="G1" s="108">
        <v>6</v>
      </c>
      <c r="H1" s="108">
        <v>7</v>
      </c>
      <c r="I1" s="108">
        <v>8</v>
      </c>
      <c r="J1" s="108">
        <v>9</v>
      </c>
      <c r="K1" s="108">
        <v>10</v>
      </c>
      <c r="L1" s="108">
        <v>11</v>
      </c>
      <c r="M1" s="108">
        <v>12</v>
      </c>
    </row>
    <row r="2" spans="1:13" x14ac:dyDescent="0.4">
      <c r="A2" s="108" t="s">
        <v>150</v>
      </c>
      <c r="B2" s="108">
        <f>37193+18064</f>
        <v>55257</v>
      </c>
      <c r="C2" s="108">
        <f>39053+16010</f>
        <v>55063</v>
      </c>
      <c r="D2" s="108">
        <f>41877+17252</f>
        <v>59129</v>
      </c>
      <c r="E2" s="108">
        <f>49005+18465</f>
        <v>67470</v>
      </c>
      <c r="F2" s="108">
        <f>35381+19931</f>
        <v>55312</v>
      </c>
      <c r="G2" s="108">
        <f>43034+19334</f>
        <v>62368</v>
      </c>
      <c r="H2" s="108">
        <f>43142+21923</f>
        <v>65065</v>
      </c>
      <c r="I2" s="108">
        <f>40516+15967</f>
        <v>56483</v>
      </c>
      <c r="J2" s="108">
        <f>44979+17834</f>
        <v>62813</v>
      </c>
      <c r="K2" s="108">
        <f>47684+20511</f>
        <v>68195</v>
      </c>
      <c r="L2" s="108">
        <f>39861+20761</f>
        <v>60622</v>
      </c>
      <c r="M2" s="108">
        <f>31739+21067</f>
        <v>52806</v>
      </c>
    </row>
    <row r="3" spans="1:13" x14ac:dyDescent="0.4">
      <c r="A3" s="108" t="s">
        <v>151</v>
      </c>
      <c r="B3" s="108">
        <f>496198+198457</f>
        <v>694655</v>
      </c>
      <c r="C3" s="108">
        <f>464784+148811</f>
        <v>613595</v>
      </c>
      <c r="D3" s="108">
        <f>492728+140695</f>
        <v>633423</v>
      </c>
      <c r="E3" s="108">
        <f>600634+157025</f>
        <v>757659</v>
      </c>
      <c r="F3" s="108">
        <f>457343+162854</f>
        <v>620197</v>
      </c>
      <c r="G3" s="108">
        <f>476239+169969</f>
        <v>646208</v>
      </c>
      <c r="H3" s="108">
        <f>517338+207767</f>
        <v>725105</v>
      </c>
      <c r="I3" s="108">
        <f>508280+142743</f>
        <v>651023</v>
      </c>
      <c r="J3" s="108">
        <f>439066+152125</f>
        <v>591191</v>
      </c>
      <c r="K3" s="108">
        <f>544603+182309</f>
        <v>726912</v>
      </c>
      <c r="L3" s="108">
        <f>443648+182039</f>
        <v>625687</v>
      </c>
      <c r="M3" s="108">
        <f>400285+17790</f>
        <v>418075</v>
      </c>
    </row>
    <row r="4" spans="1:13" x14ac:dyDescent="0.4">
      <c r="A4" s="108" t="s">
        <v>152</v>
      </c>
      <c r="B4" s="108">
        <v>1</v>
      </c>
      <c r="C4" s="108">
        <v>2</v>
      </c>
      <c r="D4" s="108">
        <v>3</v>
      </c>
      <c r="E4" s="108">
        <v>4</v>
      </c>
      <c r="F4" s="108">
        <v>5</v>
      </c>
      <c r="G4" s="108">
        <v>6</v>
      </c>
      <c r="H4" s="108">
        <v>7</v>
      </c>
      <c r="I4" s="108">
        <v>8</v>
      </c>
      <c r="J4" s="108">
        <v>9</v>
      </c>
      <c r="K4" s="108">
        <v>10</v>
      </c>
      <c r="L4" s="108">
        <v>11</v>
      </c>
      <c r="M4" s="108">
        <v>12</v>
      </c>
    </row>
    <row r="5" spans="1:13" x14ac:dyDescent="0.4">
      <c r="A5" s="108" t="s">
        <v>150</v>
      </c>
      <c r="B5" s="108">
        <f>52126+22640</f>
        <v>74766</v>
      </c>
      <c r="C5" s="108">
        <f>39381+14207</f>
        <v>53588</v>
      </c>
      <c r="D5" s="108">
        <f>50344+22291</f>
        <v>72635</v>
      </c>
      <c r="E5" s="108">
        <f>45585+16098</f>
        <v>61683</v>
      </c>
      <c r="F5" s="108">
        <v>63019</v>
      </c>
      <c r="G5" s="108">
        <v>65339</v>
      </c>
      <c r="H5" s="108">
        <v>66729</v>
      </c>
      <c r="I5" s="108">
        <v>63204</v>
      </c>
      <c r="J5" s="108">
        <v>71271</v>
      </c>
      <c r="K5" s="108">
        <v>73736</v>
      </c>
      <c r="L5" s="108">
        <v>77700</v>
      </c>
      <c r="M5" s="108">
        <v>85071</v>
      </c>
    </row>
    <row r="6" spans="1:13" x14ac:dyDescent="0.4">
      <c r="A6" s="108" t="s">
        <v>151</v>
      </c>
      <c r="B6" s="108">
        <f>713524+302113</f>
        <v>1015637</v>
      </c>
      <c r="C6" s="108">
        <f>488291+138526</f>
        <v>626817</v>
      </c>
      <c r="D6" s="108">
        <f>521735+201209</f>
        <v>722944</v>
      </c>
      <c r="E6" s="108">
        <f>525340+144803</f>
        <v>670143</v>
      </c>
      <c r="F6" s="108">
        <v>700918</v>
      </c>
      <c r="G6" s="108">
        <v>707373</v>
      </c>
      <c r="H6" s="108">
        <v>737207</v>
      </c>
      <c r="I6" s="108">
        <v>814051</v>
      </c>
      <c r="J6" s="108">
        <v>918387</v>
      </c>
      <c r="K6" s="108">
        <v>775117</v>
      </c>
      <c r="L6" s="108">
        <v>1011035</v>
      </c>
      <c r="M6" s="108">
        <v>1201112</v>
      </c>
    </row>
    <row r="7" spans="1:13" x14ac:dyDescent="0.4">
      <c r="A7" s="108" t="s">
        <v>153</v>
      </c>
      <c r="B7" s="108">
        <v>1</v>
      </c>
      <c r="C7" s="108">
        <v>2</v>
      </c>
      <c r="D7" s="108">
        <v>3</v>
      </c>
      <c r="E7" s="108">
        <v>4</v>
      </c>
      <c r="F7" s="108">
        <v>5</v>
      </c>
      <c r="G7" s="108">
        <v>6</v>
      </c>
      <c r="H7" s="108">
        <v>7</v>
      </c>
      <c r="I7" s="108">
        <v>8</v>
      </c>
      <c r="J7" s="108">
        <v>9</v>
      </c>
      <c r="K7" s="108">
        <v>10</v>
      </c>
      <c r="L7" s="108">
        <v>11</v>
      </c>
      <c r="M7" s="108">
        <v>12</v>
      </c>
    </row>
    <row r="8" spans="1:13" x14ac:dyDescent="0.4">
      <c r="A8" s="108" t="s">
        <v>150</v>
      </c>
      <c r="B8" s="108">
        <v>76036</v>
      </c>
      <c r="C8" s="108">
        <v>68333</v>
      </c>
      <c r="D8" s="108">
        <v>77543</v>
      </c>
      <c r="E8" s="108">
        <v>76742</v>
      </c>
      <c r="F8" s="108">
        <v>73888</v>
      </c>
      <c r="G8" s="108">
        <v>86617</v>
      </c>
      <c r="H8" s="108">
        <v>78313</v>
      </c>
      <c r="I8" s="108">
        <v>71403</v>
      </c>
      <c r="J8" s="108">
        <v>74708</v>
      </c>
      <c r="K8" s="108">
        <v>75109</v>
      </c>
      <c r="L8" s="108">
        <v>85130</v>
      </c>
      <c r="M8" s="108">
        <v>71365</v>
      </c>
    </row>
    <row r="9" spans="1:13" x14ac:dyDescent="0.4">
      <c r="A9" s="108" t="s">
        <v>151</v>
      </c>
      <c r="B9" s="108">
        <v>1328744</v>
      </c>
      <c r="C9" s="108">
        <v>939329</v>
      </c>
      <c r="D9" s="108">
        <v>981633</v>
      </c>
      <c r="E9" s="108">
        <v>1697335</v>
      </c>
      <c r="F9" s="108">
        <v>1022205</v>
      </c>
      <c r="G9" s="108">
        <v>1222222</v>
      </c>
      <c r="H9" s="108">
        <v>1051536</v>
      </c>
      <c r="I9" s="108">
        <v>889176</v>
      </c>
      <c r="J9" s="108">
        <v>929383</v>
      </c>
      <c r="K9" s="108">
        <v>1010261</v>
      </c>
      <c r="L9" s="108">
        <v>1208417</v>
      </c>
      <c r="M9" s="108">
        <v>1085894</v>
      </c>
    </row>
    <row r="10" spans="1:13" x14ac:dyDescent="0.4">
      <c r="A10" s="108" t="s">
        <v>154</v>
      </c>
      <c r="B10" s="108">
        <f t="shared" ref="B10:D11" si="0">B8/B5</f>
        <v>1.0169863306850708</v>
      </c>
      <c r="C10" s="50">
        <f t="shared" si="0"/>
        <v>1.2751548854221095</v>
      </c>
      <c r="D10" s="50">
        <f t="shared" si="0"/>
        <v>1.0675707303641495</v>
      </c>
      <c r="E10" s="50">
        <f t="shared" ref="E10:M10" si="1">E8/E5</f>
        <v>1.244135337126923</v>
      </c>
      <c r="F10" s="50">
        <f t="shared" si="1"/>
        <v>1.1724717942207905</v>
      </c>
      <c r="G10" s="50">
        <f t="shared" si="1"/>
        <v>1.3256554278455439</v>
      </c>
      <c r="H10" s="50">
        <f t="shared" si="1"/>
        <v>1.1735976861634372</v>
      </c>
      <c r="I10" s="50">
        <f t="shared" si="1"/>
        <v>1.1297228023542814</v>
      </c>
      <c r="J10" s="50">
        <f t="shared" si="1"/>
        <v>1.0482243829888735</v>
      </c>
      <c r="K10" s="50">
        <f t="shared" si="1"/>
        <v>1.0186204838884669</v>
      </c>
      <c r="L10" s="50">
        <f t="shared" si="1"/>
        <v>1.0956241956241957</v>
      </c>
      <c r="M10" s="50">
        <f t="shared" si="1"/>
        <v>0.83888751748539458</v>
      </c>
    </row>
    <row r="11" spans="1:13" x14ac:dyDescent="0.4">
      <c r="A11" s="108" t="s">
        <v>155</v>
      </c>
      <c r="B11" s="108">
        <f t="shared" si="0"/>
        <v>1.3082863267092475</v>
      </c>
      <c r="C11" s="50">
        <f t="shared" si="0"/>
        <v>1.4985697579995436</v>
      </c>
      <c r="D11" s="50">
        <f t="shared" si="0"/>
        <v>1.3578271622698301</v>
      </c>
      <c r="E11" s="50">
        <f t="shared" ref="E11:M11" si="2">E9/E6</f>
        <v>2.5327952392250608</v>
      </c>
      <c r="F11" s="50">
        <f t="shared" si="2"/>
        <v>1.4583802955552576</v>
      </c>
      <c r="G11" s="50">
        <f t="shared" si="2"/>
        <v>1.727832416560994</v>
      </c>
      <c r="H11" s="50">
        <f t="shared" si="2"/>
        <v>1.4263782085628596</v>
      </c>
      <c r="I11" s="50">
        <f t="shared" si="2"/>
        <v>1.0922853727837691</v>
      </c>
      <c r="J11" s="50">
        <f t="shared" si="2"/>
        <v>1.0119731659964699</v>
      </c>
      <c r="K11" s="50">
        <f t="shared" si="2"/>
        <v>1.3033658144512377</v>
      </c>
      <c r="L11" s="50">
        <f t="shared" si="2"/>
        <v>1.195227662741646</v>
      </c>
      <c r="M11" s="50">
        <f t="shared" si="2"/>
        <v>0.90407389152718476</v>
      </c>
    </row>
    <row r="12" spans="1:13" x14ac:dyDescent="0.4">
      <c r="A12" s="108" t="s">
        <v>156</v>
      </c>
      <c r="B12" s="108">
        <v>1</v>
      </c>
      <c r="C12" s="108">
        <v>2</v>
      </c>
      <c r="D12" s="108">
        <v>3</v>
      </c>
      <c r="E12" s="108">
        <v>4</v>
      </c>
      <c r="F12" s="108">
        <v>5</v>
      </c>
      <c r="G12" s="108">
        <v>6</v>
      </c>
      <c r="H12" s="108">
        <v>7</v>
      </c>
      <c r="I12" s="108">
        <v>8</v>
      </c>
      <c r="J12" s="108">
        <v>9</v>
      </c>
      <c r="K12" s="108">
        <v>10</v>
      </c>
      <c r="L12" s="108">
        <v>11</v>
      </c>
      <c r="M12" s="108">
        <v>12</v>
      </c>
    </row>
    <row r="13" spans="1:13" x14ac:dyDescent="0.4">
      <c r="A13" s="108" t="s">
        <v>150</v>
      </c>
      <c r="B13" s="108">
        <v>89260</v>
      </c>
      <c r="C13" s="108">
        <v>61216</v>
      </c>
      <c r="D13" s="108">
        <v>92239</v>
      </c>
      <c r="E13" s="108">
        <v>70746</v>
      </c>
      <c r="F13" s="108">
        <v>72166</v>
      </c>
      <c r="G13" s="108">
        <v>79384</v>
      </c>
      <c r="H13" s="108">
        <v>88473</v>
      </c>
      <c r="I13" s="108">
        <v>93010</v>
      </c>
      <c r="J13" s="108">
        <v>87130</v>
      </c>
      <c r="K13" s="108">
        <v>77013</v>
      </c>
      <c r="L13" s="108">
        <v>88355</v>
      </c>
      <c r="M13" s="108">
        <v>76531</v>
      </c>
    </row>
    <row r="14" spans="1:13" x14ac:dyDescent="0.4">
      <c r="A14" s="108" t="s">
        <v>151</v>
      </c>
      <c r="B14" s="108">
        <v>1700935</v>
      </c>
      <c r="C14" s="108">
        <v>721085</v>
      </c>
      <c r="D14" s="108">
        <v>1202153</v>
      </c>
      <c r="E14" s="108">
        <v>1060419</v>
      </c>
      <c r="F14" s="108">
        <v>1063603</v>
      </c>
      <c r="G14" s="108">
        <v>1049824</v>
      </c>
      <c r="H14" s="108">
        <v>1103519</v>
      </c>
      <c r="I14" s="108">
        <v>1293402</v>
      </c>
      <c r="J14" s="108">
        <v>1172627</v>
      </c>
      <c r="K14" s="108">
        <v>1258484</v>
      </c>
      <c r="L14" s="108">
        <v>1216748</v>
      </c>
      <c r="M14" s="108">
        <v>1305038</v>
      </c>
    </row>
    <row r="15" spans="1:13" x14ac:dyDescent="0.4">
      <c r="A15" s="52" t="s">
        <v>154</v>
      </c>
      <c r="B15" s="51">
        <f t="shared" ref="B15:D16" si="3">B13/B8</f>
        <v>1.1739176179704351</v>
      </c>
      <c r="C15" s="51">
        <f t="shared" si="3"/>
        <v>0.89584827243059717</v>
      </c>
      <c r="D15" s="51">
        <f t="shared" si="3"/>
        <v>1.1895206530570135</v>
      </c>
      <c r="E15" s="51">
        <f t="shared" ref="E15:M15" si="4">E13/E8</f>
        <v>0.92186807745432753</v>
      </c>
      <c r="F15" s="51">
        <f t="shared" si="4"/>
        <v>0.97669445647466435</v>
      </c>
      <c r="G15" s="51">
        <f t="shared" si="4"/>
        <v>0.91649445259013818</v>
      </c>
      <c r="H15" s="51">
        <f t="shared" si="4"/>
        <v>1.1297358037618275</v>
      </c>
      <c r="I15" s="51">
        <f t="shared" si="4"/>
        <v>1.3026063330672382</v>
      </c>
      <c r="J15" s="51">
        <f t="shared" si="4"/>
        <v>1.1662740268779783</v>
      </c>
      <c r="K15" s="51">
        <f t="shared" si="4"/>
        <v>1.0253498249211146</v>
      </c>
      <c r="L15" s="50">
        <f t="shared" si="4"/>
        <v>1.0378832374016211</v>
      </c>
      <c r="M15" s="50">
        <f t="shared" si="4"/>
        <v>1.072388425698872</v>
      </c>
    </row>
    <row r="16" spans="1:13" x14ac:dyDescent="0.4">
      <c r="A16" s="52" t="s">
        <v>155</v>
      </c>
      <c r="B16" s="51">
        <f t="shared" si="3"/>
        <v>1.2801073796005853</v>
      </c>
      <c r="C16" s="51">
        <f t="shared" si="3"/>
        <v>0.76765968047404054</v>
      </c>
      <c r="D16" s="51">
        <f t="shared" si="3"/>
        <v>1.2246460744494123</v>
      </c>
      <c r="E16" s="51">
        <f t="shared" ref="E16:M16" si="5">E14/E9</f>
        <v>0.62475527812718168</v>
      </c>
      <c r="F16" s="51">
        <f t="shared" si="5"/>
        <v>1.0404987257937497</v>
      </c>
      <c r="G16" s="51">
        <f t="shared" si="5"/>
        <v>0.85894706526310283</v>
      </c>
      <c r="H16" s="51">
        <f t="shared" si="5"/>
        <v>1.0494353022625948</v>
      </c>
      <c r="I16" s="51">
        <f t="shared" si="5"/>
        <v>1.4546074118059866</v>
      </c>
      <c r="J16" s="51">
        <f t="shared" si="5"/>
        <v>1.2617263281123068</v>
      </c>
      <c r="K16" s="51">
        <f t="shared" si="5"/>
        <v>1.2457018532834585</v>
      </c>
      <c r="L16" s="50">
        <f t="shared" si="5"/>
        <v>1.0068941433296619</v>
      </c>
      <c r="M16" s="50">
        <f t="shared" si="5"/>
        <v>1.2018097530698209</v>
      </c>
    </row>
    <row r="17" spans="1:13" x14ac:dyDescent="0.4">
      <c r="A17" s="108" t="s">
        <v>157</v>
      </c>
      <c r="B17" s="108">
        <v>1</v>
      </c>
      <c r="C17" s="108">
        <v>2</v>
      </c>
      <c r="D17" s="108">
        <v>3</v>
      </c>
      <c r="E17" s="108">
        <v>4</v>
      </c>
      <c r="F17" s="108">
        <v>5</v>
      </c>
      <c r="G17" s="108">
        <v>6</v>
      </c>
      <c r="H17" s="108">
        <v>7</v>
      </c>
      <c r="I17" s="108">
        <v>8</v>
      </c>
      <c r="J17" s="108">
        <v>9</v>
      </c>
      <c r="K17" s="108">
        <v>10</v>
      </c>
      <c r="L17" s="108">
        <v>11</v>
      </c>
      <c r="M17" s="108">
        <v>12</v>
      </c>
    </row>
    <row r="18" spans="1:13" x14ac:dyDescent="0.4">
      <c r="A18" s="108" t="s">
        <v>150</v>
      </c>
      <c r="B18" s="108">
        <v>94094</v>
      </c>
      <c r="C18" s="108">
        <v>71263</v>
      </c>
      <c r="D18" s="108">
        <v>91234</v>
      </c>
      <c r="E18" s="108">
        <v>74564</v>
      </c>
      <c r="F18" s="18">
        <v>88863</v>
      </c>
      <c r="G18" s="108">
        <v>71852</v>
      </c>
      <c r="H18" s="108">
        <v>85218</v>
      </c>
      <c r="I18" s="108">
        <v>75614</v>
      </c>
      <c r="J18" s="108">
        <v>87968</v>
      </c>
      <c r="K18" s="108">
        <v>83882</v>
      </c>
      <c r="L18" s="108">
        <v>92459</v>
      </c>
      <c r="M18" s="108">
        <v>76749</v>
      </c>
    </row>
    <row r="19" spans="1:13" x14ac:dyDescent="0.4">
      <c r="A19" s="108" t="s">
        <v>151</v>
      </c>
      <c r="B19" s="108">
        <v>1624123</v>
      </c>
      <c r="C19" s="108">
        <v>1136798</v>
      </c>
      <c r="D19" s="108">
        <v>1242691</v>
      </c>
      <c r="E19" s="108">
        <v>1182218</v>
      </c>
      <c r="F19" s="108">
        <v>1238105</v>
      </c>
      <c r="G19" s="108">
        <v>1211910</v>
      </c>
      <c r="H19" s="108">
        <v>1334803</v>
      </c>
      <c r="I19" s="108">
        <v>1171190</v>
      </c>
      <c r="J19" s="108">
        <v>1227569</v>
      </c>
      <c r="K19" s="108">
        <v>1249781</v>
      </c>
      <c r="L19" s="108">
        <v>1423839</v>
      </c>
      <c r="M19" s="108">
        <v>1267604</v>
      </c>
    </row>
    <row r="20" spans="1:13" x14ac:dyDescent="0.4">
      <c r="A20" s="52" t="s">
        <v>154</v>
      </c>
      <c r="B20" s="51">
        <f>B18/B13</f>
        <v>1.0541563970423482</v>
      </c>
      <c r="C20" s="51">
        <f t="shared" ref="C20:I20" si="6">C18/C13</f>
        <v>1.1641237584945112</v>
      </c>
      <c r="D20" s="51">
        <f t="shared" si="6"/>
        <v>0.98910439185160293</v>
      </c>
      <c r="E20" s="51">
        <f t="shared" si="6"/>
        <v>1.0539677154892149</v>
      </c>
      <c r="F20" s="51">
        <f t="shared" si="6"/>
        <v>1.2313693429038606</v>
      </c>
      <c r="G20" s="51">
        <f t="shared" si="6"/>
        <v>0.905119419530384</v>
      </c>
      <c r="H20" s="51">
        <f t="shared" si="6"/>
        <v>0.96320911464514603</v>
      </c>
      <c r="I20" s="51">
        <f t="shared" si="6"/>
        <v>0.8129663477045479</v>
      </c>
      <c r="J20" s="51">
        <f t="shared" ref="J20:M21" si="7">J18/J13</f>
        <v>1.009617812464134</v>
      </c>
      <c r="K20" s="51">
        <f t="shared" si="7"/>
        <v>1.0891927336943112</v>
      </c>
      <c r="L20" s="51">
        <f t="shared" si="7"/>
        <v>1.0464489842114197</v>
      </c>
      <c r="M20" s="51">
        <f t="shared" si="7"/>
        <v>1.0028485189008376</v>
      </c>
    </row>
    <row r="21" spans="1:13" x14ac:dyDescent="0.4">
      <c r="A21" s="52" t="s">
        <v>155</v>
      </c>
      <c r="B21" s="51">
        <f t="shared" ref="B21:I21" si="8">B19/B14</f>
        <v>0.95484130786890742</v>
      </c>
      <c r="C21" s="51">
        <f t="shared" si="8"/>
        <v>1.5765103975259505</v>
      </c>
      <c r="D21" s="51">
        <f t="shared" si="8"/>
        <v>1.0337211652759675</v>
      </c>
      <c r="E21" s="51">
        <f t="shared" si="8"/>
        <v>1.1148593150443362</v>
      </c>
      <c r="F21" s="51">
        <f t="shared" si="8"/>
        <v>1.1640668557723135</v>
      </c>
      <c r="G21" s="51">
        <f t="shared" si="8"/>
        <v>1.1543934983387691</v>
      </c>
      <c r="H21" s="51">
        <f t="shared" si="8"/>
        <v>1.2095876917388826</v>
      </c>
      <c r="I21" s="51">
        <f t="shared" si="8"/>
        <v>0.90551120224029347</v>
      </c>
      <c r="J21" s="51">
        <f t="shared" si="7"/>
        <v>1.0468537736211088</v>
      </c>
      <c r="K21" s="51">
        <f t="shared" si="7"/>
        <v>0.9930845366329647</v>
      </c>
      <c r="L21" s="51">
        <f t="shared" si="7"/>
        <v>1.17020040304155</v>
      </c>
      <c r="M21" s="51">
        <f t="shared" si="7"/>
        <v>0.97131577777811828</v>
      </c>
    </row>
    <row r="22" spans="1:13" x14ac:dyDescent="0.4">
      <c r="A22" s="108" t="s">
        <v>158</v>
      </c>
      <c r="B22" s="108">
        <v>1</v>
      </c>
      <c r="C22" s="108">
        <v>2</v>
      </c>
      <c r="D22" s="108">
        <v>3</v>
      </c>
      <c r="E22" s="108">
        <v>4</v>
      </c>
      <c r="F22" s="108">
        <v>5</v>
      </c>
      <c r="G22" s="108">
        <v>6</v>
      </c>
      <c r="H22" s="108">
        <v>7</v>
      </c>
      <c r="I22" s="108">
        <v>8</v>
      </c>
      <c r="J22" s="108">
        <v>9</v>
      </c>
      <c r="K22" s="108">
        <v>10</v>
      </c>
      <c r="L22" s="108">
        <v>11</v>
      </c>
      <c r="M22" s="108">
        <v>12</v>
      </c>
    </row>
    <row r="23" spans="1:13" x14ac:dyDescent="0.4">
      <c r="A23" s="108" t="s">
        <v>150</v>
      </c>
      <c r="B23" s="108">
        <v>94541</v>
      </c>
      <c r="C23" s="108">
        <v>64264</v>
      </c>
      <c r="D23" s="108">
        <v>72895</v>
      </c>
      <c r="E23" s="108">
        <v>76434</v>
      </c>
      <c r="F23" s="18">
        <v>78417</v>
      </c>
      <c r="G23" s="18">
        <v>76076</v>
      </c>
      <c r="H23" s="108">
        <v>91269</v>
      </c>
      <c r="I23" s="108">
        <v>83130</v>
      </c>
      <c r="J23" s="108">
        <v>68376</v>
      </c>
      <c r="K23" s="108">
        <v>100460</v>
      </c>
      <c r="L23" s="108">
        <v>91667</v>
      </c>
      <c r="M23" s="108">
        <v>101821</v>
      </c>
    </row>
    <row r="24" spans="1:13" x14ac:dyDescent="0.4">
      <c r="A24" s="108" t="s">
        <v>151</v>
      </c>
      <c r="B24" s="108">
        <v>1514697</v>
      </c>
      <c r="C24" s="108">
        <v>987327</v>
      </c>
      <c r="D24" s="108">
        <v>1129534</v>
      </c>
      <c r="E24" s="108">
        <v>1241515</v>
      </c>
      <c r="F24" s="108">
        <v>1218380</v>
      </c>
      <c r="G24" s="108">
        <v>1234140</v>
      </c>
      <c r="H24" s="108">
        <v>1438773</v>
      </c>
      <c r="I24" s="108">
        <v>1197334</v>
      </c>
      <c r="J24" s="108">
        <v>1000002</v>
      </c>
      <c r="K24" s="108">
        <v>1434620</v>
      </c>
      <c r="L24" s="108">
        <v>1314964</v>
      </c>
      <c r="M24" s="108">
        <v>1534817</v>
      </c>
    </row>
    <row r="25" spans="1:13" x14ac:dyDescent="0.4">
      <c r="A25" s="52" t="s">
        <v>154</v>
      </c>
      <c r="B25" s="51">
        <f t="shared" ref="B25:D26" si="9">B18/B23</f>
        <v>0.99527189261801763</v>
      </c>
      <c r="C25" s="51">
        <f t="shared" si="9"/>
        <v>1.1089101207518983</v>
      </c>
      <c r="D25" s="51">
        <f t="shared" si="9"/>
        <v>1.2515810412236779</v>
      </c>
      <c r="E25" s="51">
        <f t="shared" ref="E25:I26" si="10">E18/E23</f>
        <v>0.97553444802051448</v>
      </c>
      <c r="F25" s="51">
        <f t="shared" si="10"/>
        <v>1.1332109108994224</v>
      </c>
      <c r="G25" s="51">
        <f t="shared" si="10"/>
        <v>0.94447657605552338</v>
      </c>
      <c r="H25" s="51">
        <f t="shared" si="10"/>
        <v>0.93370147585708185</v>
      </c>
      <c r="I25" s="51">
        <f t="shared" si="10"/>
        <v>0.90958739323950444</v>
      </c>
      <c r="J25" s="51">
        <f t="shared" ref="J25:L26" si="11">J23/J18</f>
        <v>0.77728264823572213</v>
      </c>
      <c r="K25" s="51">
        <f t="shared" si="11"/>
        <v>1.1976347726568275</v>
      </c>
      <c r="L25" s="51">
        <f t="shared" si="11"/>
        <v>0.99143404103440447</v>
      </c>
      <c r="M25" s="51">
        <f>M23/M18</f>
        <v>1.3266752661272461</v>
      </c>
    </row>
    <row r="26" spans="1:13" x14ac:dyDescent="0.4">
      <c r="A26" s="52" t="s">
        <v>155</v>
      </c>
      <c r="B26" s="51">
        <f t="shared" si="9"/>
        <v>1.0722428314045647</v>
      </c>
      <c r="C26" s="51">
        <f t="shared" si="9"/>
        <v>1.1513895598925179</v>
      </c>
      <c r="D26" s="51">
        <f t="shared" si="9"/>
        <v>1.1001802513248826</v>
      </c>
      <c r="E26" s="51">
        <f t="shared" si="10"/>
        <v>0.95223819285308675</v>
      </c>
      <c r="F26" s="51">
        <f t="shared" si="10"/>
        <v>1.0161895303599862</v>
      </c>
      <c r="G26" s="51">
        <f t="shared" si="10"/>
        <v>0.98198745685254507</v>
      </c>
      <c r="H26" s="51">
        <f t="shared" si="10"/>
        <v>0.92773703704475963</v>
      </c>
      <c r="I26" s="51">
        <f t="shared" si="10"/>
        <v>0.97816482284809414</v>
      </c>
      <c r="J26" s="51">
        <f t="shared" si="11"/>
        <v>0.81461978919311262</v>
      </c>
      <c r="K26" s="51">
        <f t="shared" si="11"/>
        <v>1.1478971115739478</v>
      </c>
      <c r="L26" s="51">
        <f t="shared" si="11"/>
        <v>0.92353419171690054</v>
      </c>
      <c r="M26" s="51">
        <f>M24/M19</f>
        <v>1.2108016383665561</v>
      </c>
    </row>
    <row r="27" spans="1:13" x14ac:dyDescent="0.4">
      <c r="A27" s="108" t="s">
        <v>159</v>
      </c>
      <c r="B27" s="108">
        <v>1</v>
      </c>
      <c r="C27" s="108">
        <v>2</v>
      </c>
      <c r="D27" s="108">
        <v>3</v>
      </c>
      <c r="E27" s="108">
        <v>4</v>
      </c>
      <c r="F27" s="108">
        <v>5</v>
      </c>
      <c r="G27" s="108">
        <v>6</v>
      </c>
      <c r="H27" s="108">
        <v>7</v>
      </c>
      <c r="I27" s="108">
        <v>8</v>
      </c>
      <c r="J27" s="108">
        <v>9</v>
      </c>
      <c r="K27" s="108">
        <v>10</v>
      </c>
      <c r="L27" s="108">
        <v>11</v>
      </c>
      <c r="M27" s="108">
        <v>12</v>
      </c>
    </row>
    <row r="28" spans="1:13" x14ac:dyDescent="0.4">
      <c r="A28" s="108" t="s">
        <v>150</v>
      </c>
      <c r="B28" s="108">
        <v>80912</v>
      </c>
      <c r="C28" s="108">
        <v>78908</v>
      </c>
      <c r="D28" s="108">
        <v>84677</v>
      </c>
      <c r="E28" s="108">
        <v>72364</v>
      </c>
      <c r="F28" s="18">
        <v>88404</v>
      </c>
      <c r="G28" s="18">
        <v>79028</v>
      </c>
      <c r="H28" s="18">
        <v>100239</v>
      </c>
      <c r="I28" s="18">
        <v>99641</v>
      </c>
      <c r="J28" s="18">
        <v>86113</v>
      </c>
      <c r="K28" s="108">
        <v>91062</v>
      </c>
      <c r="L28" s="108">
        <v>91609</v>
      </c>
      <c r="M28" s="108">
        <v>122534</v>
      </c>
    </row>
    <row r="29" spans="1:13" x14ac:dyDescent="0.4">
      <c r="A29" s="108" t="s">
        <v>151</v>
      </c>
      <c r="B29" s="100">
        <v>1284289</v>
      </c>
      <c r="C29" s="100">
        <v>1215417</v>
      </c>
      <c r="D29" s="100">
        <v>1473277</v>
      </c>
      <c r="E29" s="100">
        <v>1281620</v>
      </c>
      <c r="F29" s="100">
        <v>1564926</v>
      </c>
      <c r="G29" s="100">
        <v>1256306</v>
      </c>
      <c r="H29" s="100">
        <v>1295767</v>
      </c>
      <c r="I29" s="100">
        <v>1277472</v>
      </c>
      <c r="J29" s="100">
        <v>1300368</v>
      </c>
      <c r="K29" s="100">
        <v>1221525</v>
      </c>
      <c r="L29" s="108">
        <v>1488301</v>
      </c>
      <c r="M29" s="108">
        <v>1590219</v>
      </c>
    </row>
    <row r="30" spans="1:13" x14ac:dyDescent="0.4">
      <c r="A30" s="52" t="s">
        <v>154</v>
      </c>
      <c r="B30" s="51">
        <f>B23/B28</f>
        <v>1.1684422582558829</v>
      </c>
      <c r="C30" s="51">
        <f t="shared" ref="C30:I31" si="12">C23/C28</f>
        <v>0.81441678917220051</v>
      </c>
      <c r="D30" s="51">
        <f t="shared" si="12"/>
        <v>0.86085950139943546</v>
      </c>
      <c r="E30" s="51">
        <f t="shared" si="12"/>
        <v>1.0562434359626334</v>
      </c>
      <c r="F30" s="51">
        <f t="shared" si="12"/>
        <v>0.88702999864259535</v>
      </c>
      <c r="G30" s="51">
        <f t="shared" si="12"/>
        <v>0.96264615073138637</v>
      </c>
      <c r="H30" s="51">
        <f t="shared" si="12"/>
        <v>0.9105138718462874</v>
      </c>
      <c r="I30" s="51">
        <f t="shared" si="12"/>
        <v>0.83429511947892931</v>
      </c>
      <c r="J30" s="51">
        <f t="shared" ref="J30:M31" si="13">J28/J23</f>
        <v>1.2594038844038844</v>
      </c>
      <c r="K30" s="51">
        <f t="shared" si="13"/>
        <v>0.9064503284889508</v>
      </c>
      <c r="L30" s="51">
        <f t="shared" si="13"/>
        <v>0.99936727502809086</v>
      </c>
      <c r="M30" s="51">
        <f t="shared" si="13"/>
        <v>1.203425619469461</v>
      </c>
    </row>
    <row r="31" spans="1:13" x14ac:dyDescent="0.4">
      <c r="A31" s="52" t="s">
        <v>155</v>
      </c>
      <c r="B31" s="51">
        <f t="shared" ref="B31:H31" si="14">B24/B29</f>
        <v>1.1794051027455659</v>
      </c>
      <c r="C31" s="51">
        <f t="shared" si="14"/>
        <v>0.81233601307205672</v>
      </c>
      <c r="D31" s="51">
        <f t="shared" si="14"/>
        <v>0.76668135048602537</v>
      </c>
      <c r="E31" s="51">
        <f t="shared" si="14"/>
        <v>0.96870757322763379</v>
      </c>
      <c r="F31" s="51">
        <f t="shared" si="14"/>
        <v>0.77855438531917798</v>
      </c>
      <c r="G31" s="51">
        <f t="shared" si="14"/>
        <v>0.98235620939484491</v>
      </c>
      <c r="H31" s="51">
        <f t="shared" si="14"/>
        <v>1.1103639774743452</v>
      </c>
      <c r="I31" s="51">
        <f t="shared" si="12"/>
        <v>0.93726829237744547</v>
      </c>
      <c r="J31" s="51">
        <f>J29/J24</f>
        <v>1.3003653992692015</v>
      </c>
      <c r="K31" s="51">
        <f>K29/K24</f>
        <v>0.85146240816383434</v>
      </c>
      <c r="L31" s="51">
        <f>L29/L24</f>
        <v>1.1318188178535686</v>
      </c>
      <c r="M31" s="51">
        <f t="shared" si="13"/>
        <v>1.0360968115417017</v>
      </c>
    </row>
    <row r="32" spans="1:13" x14ac:dyDescent="0.4">
      <c r="A32" s="108" t="s">
        <v>160</v>
      </c>
      <c r="B32" s="108">
        <v>1</v>
      </c>
      <c r="C32" s="108">
        <v>2</v>
      </c>
      <c r="D32" s="108">
        <v>3</v>
      </c>
      <c r="E32" s="108">
        <v>4</v>
      </c>
      <c r="F32" s="108">
        <v>5</v>
      </c>
      <c r="G32" s="108">
        <v>6</v>
      </c>
      <c r="H32" s="108">
        <v>7</v>
      </c>
      <c r="I32" s="108">
        <v>8</v>
      </c>
      <c r="J32" s="108">
        <v>9</v>
      </c>
      <c r="K32" s="108">
        <v>10</v>
      </c>
      <c r="L32" s="108">
        <v>11</v>
      </c>
      <c r="M32" s="108">
        <v>12</v>
      </c>
    </row>
    <row r="33" spans="1:13" x14ac:dyDescent="0.4">
      <c r="A33" s="108" t="s">
        <v>150</v>
      </c>
      <c r="B33" s="100">
        <v>109087</v>
      </c>
      <c r="C33" s="100">
        <v>63617</v>
      </c>
      <c r="D33" s="100">
        <v>90797</v>
      </c>
      <c r="E33" s="108">
        <v>71472</v>
      </c>
      <c r="F33" s="18">
        <v>84403</v>
      </c>
      <c r="G33" s="18">
        <v>82486</v>
      </c>
      <c r="H33" s="18">
        <v>77347</v>
      </c>
      <c r="I33" s="18">
        <v>65823</v>
      </c>
      <c r="J33" s="18">
        <v>76526</v>
      </c>
      <c r="K33" s="18">
        <v>83320</v>
      </c>
      <c r="L33" s="108">
        <v>91781</v>
      </c>
      <c r="M33" s="108">
        <v>101214</v>
      </c>
    </row>
    <row r="34" spans="1:13" x14ac:dyDescent="0.4">
      <c r="A34" s="108" t="s">
        <v>151</v>
      </c>
      <c r="B34" s="100">
        <v>1590835</v>
      </c>
      <c r="C34" s="100">
        <v>1178970</v>
      </c>
      <c r="D34" s="100">
        <v>1516056</v>
      </c>
      <c r="E34" s="100">
        <v>1147688</v>
      </c>
      <c r="F34" s="100">
        <v>1412349</v>
      </c>
      <c r="G34" s="100">
        <v>1461802</v>
      </c>
      <c r="H34" s="100">
        <v>1284185</v>
      </c>
      <c r="I34" s="100">
        <v>1218066</v>
      </c>
      <c r="J34" s="100">
        <v>1352983</v>
      </c>
      <c r="K34" s="100">
        <v>1236302</v>
      </c>
      <c r="L34" s="108">
        <v>1447962</v>
      </c>
      <c r="M34" s="108">
        <v>1553156</v>
      </c>
    </row>
    <row r="35" spans="1:13" x14ac:dyDescent="0.4">
      <c r="A35" s="52" t="s">
        <v>154</v>
      </c>
      <c r="B35" s="51">
        <f>B33/B28</f>
        <v>1.3482178168874828</v>
      </c>
      <c r="C35" s="51">
        <f t="shared" ref="C35:I35" si="15">C28/C33</f>
        <v>1.2403602810569503</v>
      </c>
      <c r="D35" s="51">
        <f t="shared" si="15"/>
        <v>0.93259689196779627</v>
      </c>
      <c r="E35" s="51">
        <f t="shared" si="15"/>
        <v>1.012480411909559</v>
      </c>
      <c r="F35" s="51">
        <f t="shared" si="15"/>
        <v>1.0474035283106051</v>
      </c>
      <c r="G35" s="51">
        <f t="shared" si="15"/>
        <v>0.95807773440341393</v>
      </c>
      <c r="H35" s="51">
        <f t="shared" si="15"/>
        <v>1.2959649372309203</v>
      </c>
      <c r="I35" s="51">
        <f t="shared" si="15"/>
        <v>1.5137717818999439</v>
      </c>
      <c r="J35" s="51">
        <f t="shared" ref="J35:M36" si="16">J33/J28</f>
        <v>0.88866953886172817</v>
      </c>
      <c r="K35" s="51">
        <f t="shared" si="16"/>
        <v>0.91498100195471221</v>
      </c>
      <c r="L35" s="51">
        <f t="shared" si="16"/>
        <v>1.001877544782718</v>
      </c>
      <c r="M35" s="51">
        <f t="shared" si="16"/>
        <v>0.82600747547619435</v>
      </c>
    </row>
    <row r="36" spans="1:13" x14ac:dyDescent="0.4">
      <c r="A36" s="52" t="s">
        <v>155</v>
      </c>
      <c r="B36" s="51">
        <f>B34/B29</f>
        <v>1.2386892669796283</v>
      </c>
      <c r="C36" s="51">
        <f t="shared" ref="C36:I36" si="17">C29/C34</f>
        <v>1.0309142726278022</v>
      </c>
      <c r="D36" s="51">
        <f t="shared" si="17"/>
        <v>0.97178270459666394</v>
      </c>
      <c r="E36" s="51">
        <f t="shared" si="17"/>
        <v>1.1166972208474777</v>
      </c>
      <c r="F36" s="51">
        <f t="shared" si="17"/>
        <v>1.108030663809016</v>
      </c>
      <c r="G36" s="51">
        <f t="shared" si="17"/>
        <v>0.85942282196904918</v>
      </c>
      <c r="H36" s="51">
        <f t="shared" si="17"/>
        <v>1.0090189497619113</v>
      </c>
      <c r="I36" s="51">
        <f t="shared" si="17"/>
        <v>1.0487707562644388</v>
      </c>
      <c r="J36" s="51">
        <f t="shared" si="16"/>
        <v>1.0404616231712869</v>
      </c>
      <c r="K36" s="51">
        <f t="shared" si="16"/>
        <v>1.0120971736149484</v>
      </c>
      <c r="L36" s="51">
        <f t="shared" si="16"/>
        <v>0.97289593973262134</v>
      </c>
      <c r="M36" s="51">
        <f t="shared" si="16"/>
        <v>0.97669314729606427</v>
      </c>
    </row>
    <row r="37" spans="1:13" x14ac:dyDescent="0.4">
      <c r="A37" s="108" t="s">
        <v>161</v>
      </c>
      <c r="B37" s="108">
        <v>1</v>
      </c>
      <c r="C37" s="108">
        <v>2</v>
      </c>
      <c r="D37" s="108">
        <v>3</v>
      </c>
      <c r="E37" s="108">
        <v>4</v>
      </c>
      <c r="F37" s="108">
        <v>5</v>
      </c>
      <c r="G37" s="108">
        <v>6</v>
      </c>
      <c r="H37" s="108">
        <v>7</v>
      </c>
      <c r="I37" s="108">
        <v>8</v>
      </c>
      <c r="J37" s="108">
        <v>9</v>
      </c>
      <c r="K37" s="108">
        <v>10</v>
      </c>
      <c r="L37" s="108">
        <v>11</v>
      </c>
      <c r="M37" s="108">
        <v>12</v>
      </c>
    </row>
    <row r="38" spans="1:13" x14ac:dyDescent="0.4">
      <c r="A38" s="108" t="s">
        <v>150</v>
      </c>
      <c r="B38" s="100">
        <v>103232</v>
      </c>
      <c r="C38" s="100">
        <v>63927</v>
      </c>
      <c r="D38" s="100">
        <v>112851</v>
      </c>
      <c r="E38" s="108">
        <v>83070</v>
      </c>
      <c r="F38" s="18">
        <v>88988</v>
      </c>
      <c r="G38" s="18">
        <v>91796</v>
      </c>
      <c r="H38" s="18">
        <v>88671</v>
      </c>
      <c r="I38" s="18">
        <v>95742</v>
      </c>
      <c r="J38" s="18">
        <v>97444</v>
      </c>
      <c r="K38" s="18">
        <v>96411</v>
      </c>
      <c r="L38" s="123">
        <v>101583</v>
      </c>
      <c r="M38" s="123">
        <v>110262</v>
      </c>
    </row>
    <row r="39" spans="1:13" x14ac:dyDescent="0.4">
      <c r="A39" s="108" t="s">
        <v>151</v>
      </c>
      <c r="B39" s="100">
        <v>1491074</v>
      </c>
      <c r="C39" s="100">
        <v>922904</v>
      </c>
      <c r="D39" s="100">
        <v>1789012</v>
      </c>
      <c r="E39" s="100">
        <v>1277563</v>
      </c>
      <c r="F39" s="100">
        <v>1340509</v>
      </c>
      <c r="G39" s="100">
        <v>1294899</v>
      </c>
      <c r="H39" s="100">
        <v>1332450</v>
      </c>
      <c r="I39" s="100">
        <v>1486450</v>
      </c>
      <c r="J39" s="100">
        <v>1444923</v>
      </c>
      <c r="K39" s="100">
        <v>1390571</v>
      </c>
      <c r="L39" s="123">
        <v>1445203</v>
      </c>
      <c r="M39" s="123">
        <v>2001133</v>
      </c>
    </row>
    <row r="40" spans="1:13" x14ac:dyDescent="0.4">
      <c r="A40" s="52" t="s">
        <v>154</v>
      </c>
      <c r="B40" s="51">
        <f>B38/B33</f>
        <v>0.94632724339288821</v>
      </c>
      <c r="C40" s="51">
        <f t="shared" ref="C40:H40" si="18">C33/C38</f>
        <v>0.99515071878861827</v>
      </c>
      <c r="D40" s="51">
        <f t="shared" si="18"/>
        <v>0.80457417302460765</v>
      </c>
      <c r="E40" s="51">
        <f t="shared" si="18"/>
        <v>0.86038280967858438</v>
      </c>
      <c r="F40" s="51">
        <f t="shared" si="18"/>
        <v>0.94847619903807256</v>
      </c>
      <c r="G40" s="51">
        <f t="shared" si="18"/>
        <v>0.89857945879994772</v>
      </c>
      <c r="H40" s="51">
        <f t="shared" si="18"/>
        <v>0.87229195565630246</v>
      </c>
      <c r="I40" s="51">
        <f>I33/I38</f>
        <v>0.68750391677633638</v>
      </c>
      <c r="J40" s="51">
        <f t="shared" ref="J40:M41" si="19">J38/J33</f>
        <v>1.2733450069257508</v>
      </c>
      <c r="K40" s="51">
        <f t="shared" si="19"/>
        <v>1.1571171387421988</v>
      </c>
      <c r="L40" s="51">
        <f t="shared" si="19"/>
        <v>1.1067977032283369</v>
      </c>
      <c r="M40" s="51">
        <f t="shared" si="19"/>
        <v>1.0893947477621673</v>
      </c>
    </row>
    <row r="41" spans="1:13" ht="16" thickBot="1" x14ac:dyDescent="0.45">
      <c r="A41" s="134" t="s">
        <v>155</v>
      </c>
      <c r="B41" s="135">
        <f>B39/B34</f>
        <v>0.93729016522769493</v>
      </c>
      <c r="C41" s="135">
        <f t="shared" ref="C41:I41" si="20">C34/C39</f>
        <v>1.2774568102424522</v>
      </c>
      <c r="D41" s="135">
        <f t="shared" si="20"/>
        <v>0.84742640071726738</v>
      </c>
      <c r="E41" s="135">
        <f t="shared" si="20"/>
        <v>0.89834160820249176</v>
      </c>
      <c r="F41" s="135">
        <f t="shared" si="20"/>
        <v>1.053591583495523</v>
      </c>
      <c r="G41" s="135">
        <f t="shared" si="20"/>
        <v>1.1288926781162083</v>
      </c>
      <c r="H41" s="135">
        <f t="shared" si="20"/>
        <v>0.96377725242973467</v>
      </c>
      <c r="I41" s="135">
        <f t="shared" si="20"/>
        <v>0.81944633186450944</v>
      </c>
      <c r="J41" s="135">
        <f t="shared" si="19"/>
        <v>1.0679535515228202</v>
      </c>
      <c r="K41" s="135">
        <f t="shared" si="19"/>
        <v>1.1247826178393305</v>
      </c>
      <c r="L41" s="135">
        <f t="shared" si="19"/>
        <v>0.99809456325511303</v>
      </c>
      <c r="M41" s="135">
        <f t="shared" si="19"/>
        <v>1.2884301383763126</v>
      </c>
    </row>
    <row r="42" spans="1:13" x14ac:dyDescent="0.4">
      <c r="A42" s="136" t="s">
        <v>162</v>
      </c>
      <c r="B42" s="137" t="s">
        <v>4</v>
      </c>
      <c r="C42" s="137" t="s">
        <v>5</v>
      </c>
      <c r="D42" s="137" t="s">
        <v>6</v>
      </c>
      <c r="E42" s="137" t="s">
        <v>7</v>
      </c>
      <c r="F42" s="137" t="s">
        <v>8</v>
      </c>
      <c r="G42" s="137" t="s">
        <v>9</v>
      </c>
      <c r="H42" s="137" t="s">
        <v>10</v>
      </c>
      <c r="I42" s="137" t="s">
        <v>11</v>
      </c>
      <c r="J42" s="137" t="s">
        <v>12</v>
      </c>
      <c r="K42" s="137" t="s">
        <v>13</v>
      </c>
      <c r="L42" s="137" t="s">
        <v>14</v>
      </c>
      <c r="M42" s="138" t="s">
        <v>15</v>
      </c>
    </row>
    <row r="43" spans="1:13" x14ac:dyDescent="0.4">
      <c r="A43" s="139" t="s">
        <v>150</v>
      </c>
      <c r="B43" s="131">
        <v>97801</v>
      </c>
      <c r="C43" s="131">
        <v>82118</v>
      </c>
      <c r="D43" s="131">
        <v>91810</v>
      </c>
      <c r="E43" s="132">
        <v>79141</v>
      </c>
      <c r="F43" s="131">
        <v>94039</v>
      </c>
      <c r="G43" s="131">
        <v>87429</v>
      </c>
      <c r="H43" s="131">
        <v>104766</v>
      </c>
      <c r="I43" s="131">
        <v>92629</v>
      </c>
      <c r="J43" s="131">
        <v>93624</v>
      </c>
      <c r="K43" s="131">
        <v>159425</v>
      </c>
      <c r="L43" s="131">
        <v>112185</v>
      </c>
      <c r="M43" s="131">
        <v>114246</v>
      </c>
    </row>
    <row r="44" spans="1:13" x14ac:dyDescent="0.4">
      <c r="A44" s="139" t="s">
        <v>151</v>
      </c>
      <c r="B44" s="131">
        <v>1377016</v>
      </c>
      <c r="C44" s="131">
        <v>1335533</v>
      </c>
      <c r="D44" s="131">
        <v>1576602</v>
      </c>
      <c r="E44" s="131">
        <v>1341499</v>
      </c>
      <c r="F44" s="131">
        <v>1465817</v>
      </c>
      <c r="G44" s="131">
        <v>1472506</v>
      </c>
      <c r="H44" s="131">
        <v>1607581</v>
      </c>
      <c r="I44" s="131">
        <v>1390958</v>
      </c>
      <c r="J44" s="131">
        <v>1458345</v>
      </c>
      <c r="K44" s="131">
        <v>1661539</v>
      </c>
      <c r="L44" s="130">
        <v>1733671</v>
      </c>
      <c r="M44" s="140">
        <v>1702049</v>
      </c>
    </row>
    <row r="45" spans="1:13" x14ac:dyDescent="0.4">
      <c r="A45" s="141" t="s">
        <v>154</v>
      </c>
      <c r="B45" s="51">
        <f>B43/B38</f>
        <v>0.94739034407935518</v>
      </c>
      <c r="C45" s="51">
        <f t="shared" ref="C45:M45" si="21">C43/C38</f>
        <v>1.2845589500524035</v>
      </c>
      <c r="D45" s="51">
        <f t="shared" si="21"/>
        <v>0.81355061098262316</v>
      </c>
      <c r="E45" s="51">
        <f t="shared" si="21"/>
        <v>0.95270254002648369</v>
      </c>
      <c r="F45" s="51">
        <f t="shared" si="21"/>
        <v>1.0567604620847755</v>
      </c>
      <c r="G45" s="51">
        <f t="shared" si="21"/>
        <v>0.9524271210074513</v>
      </c>
      <c r="H45" s="51">
        <f>H43/H38</f>
        <v>1.1815136854213892</v>
      </c>
      <c r="I45" s="51">
        <f>I43/I38</f>
        <v>0.96748553403939752</v>
      </c>
      <c r="J45" s="51">
        <f t="shared" si="21"/>
        <v>0.96079799679816102</v>
      </c>
      <c r="K45" s="51">
        <f t="shared" si="21"/>
        <v>1.653597618529006</v>
      </c>
      <c r="L45" s="51">
        <f t="shared" si="21"/>
        <v>1.1043678568264375</v>
      </c>
      <c r="M45" s="142">
        <f t="shared" si="21"/>
        <v>1.0361321216738315</v>
      </c>
    </row>
    <row r="46" spans="1:13" ht="16" thickBot="1" x14ac:dyDescent="0.45">
      <c r="A46" s="143" t="s">
        <v>155</v>
      </c>
      <c r="B46" s="144">
        <f>B44/B39</f>
        <v>0.9235061438935962</v>
      </c>
      <c r="C46" s="144">
        <f t="shared" ref="C46:M46" si="22">C44/C39</f>
        <v>1.4470985064535422</v>
      </c>
      <c r="D46" s="144">
        <f t="shared" si="22"/>
        <v>0.88126966169036314</v>
      </c>
      <c r="E46" s="144">
        <f t="shared" si="22"/>
        <v>1.0500452815242771</v>
      </c>
      <c r="F46" s="144">
        <f t="shared" si="22"/>
        <v>1.093477925176183</v>
      </c>
      <c r="G46" s="144">
        <f t="shared" si="22"/>
        <v>1.1371589598879912</v>
      </c>
      <c r="H46" s="144">
        <f>H44/H39</f>
        <v>1.2064850463432024</v>
      </c>
      <c r="I46" s="144">
        <f t="shared" si="22"/>
        <v>0.93575835043223787</v>
      </c>
      <c r="J46" s="144">
        <f t="shared" si="22"/>
        <v>1.0092890763037199</v>
      </c>
      <c r="K46" s="144">
        <f t="shared" si="22"/>
        <v>1.194860959994132</v>
      </c>
      <c r="L46" s="144">
        <f t="shared" si="22"/>
        <v>1.1996037926851799</v>
      </c>
      <c r="M46" s="145">
        <f t="shared" si="22"/>
        <v>0.85054266757881658</v>
      </c>
    </row>
    <row r="47" spans="1:13" x14ac:dyDescent="0.4">
      <c r="A47" s="136" t="s">
        <v>163</v>
      </c>
      <c r="B47" s="137" t="s">
        <v>4</v>
      </c>
      <c r="C47" s="137" t="s">
        <v>5</v>
      </c>
      <c r="D47" s="137" t="s">
        <v>6</v>
      </c>
      <c r="E47" s="137" t="s">
        <v>7</v>
      </c>
      <c r="F47" s="137" t="s">
        <v>8</v>
      </c>
      <c r="G47" s="137" t="s">
        <v>9</v>
      </c>
      <c r="H47" s="137" t="s">
        <v>10</v>
      </c>
      <c r="I47" s="137" t="s">
        <v>11</v>
      </c>
      <c r="J47" s="137" t="s">
        <v>12</v>
      </c>
      <c r="K47" s="137" t="s">
        <v>13</v>
      </c>
      <c r="L47" s="137" t="s">
        <v>14</v>
      </c>
      <c r="M47" s="138" t="s">
        <v>15</v>
      </c>
    </row>
    <row r="48" spans="1:13" x14ac:dyDescent="0.4">
      <c r="A48" s="139" t="s">
        <v>150</v>
      </c>
      <c r="B48" s="131">
        <v>110865</v>
      </c>
      <c r="C48" s="131">
        <v>76930</v>
      </c>
      <c r="D48" s="131">
        <v>90192</v>
      </c>
      <c r="E48" s="131">
        <v>96709</v>
      </c>
      <c r="F48" s="131">
        <v>93818</v>
      </c>
      <c r="G48" s="131">
        <v>94112</v>
      </c>
      <c r="H48" s="131">
        <v>100859</v>
      </c>
      <c r="I48" s="131">
        <v>92716</v>
      </c>
      <c r="J48" s="131">
        <v>96408</v>
      </c>
      <c r="K48" s="131">
        <v>101513</v>
      </c>
      <c r="L48" s="131">
        <v>99761</v>
      </c>
      <c r="M48" s="131">
        <v>114250</v>
      </c>
    </row>
    <row r="49" spans="1:13" x14ac:dyDescent="0.4">
      <c r="A49" s="139" t="s">
        <v>151</v>
      </c>
      <c r="B49" s="131">
        <v>1677551</v>
      </c>
      <c r="C49" s="131">
        <v>1280787</v>
      </c>
      <c r="D49" s="131">
        <v>1446226</v>
      </c>
      <c r="E49" s="131">
        <v>1473548</v>
      </c>
      <c r="F49" s="131">
        <v>1475667</v>
      </c>
      <c r="G49" s="131">
        <v>1444512</v>
      </c>
      <c r="H49" s="131">
        <v>1684907</v>
      </c>
      <c r="I49" s="131">
        <v>1484707</v>
      </c>
      <c r="J49" s="131">
        <v>1393606</v>
      </c>
      <c r="K49" s="131">
        <v>1628253</v>
      </c>
      <c r="L49" s="130">
        <v>1624740</v>
      </c>
      <c r="M49" s="140">
        <v>1780193</v>
      </c>
    </row>
    <row r="50" spans="1:13" x14ac:dyDescent="0.4">
      <c r="A50" s="141" t="s">
        <v>154</v>
      </c>
      <c r="B50" s="51">
        <f>B48/B43</f>
        <v>1.1335773662845983</v>
      </c>
      <c r="C50" s="51">
        <f>C48/C43</f>
        <v>0.93682262110621306</v>
      </c>
      <c r="D50" s="51">
        <f t="shared" ref="D50:K50" si="23">D48/D43</f>
        <v>0.98237664742402786</v>
      </c>
      <c r="E50" s="51">
        <f t="shared" si="23"/>
        <v>1.2219835483504125</v>
      </c>
      <c r="F50" s="51">
        <f t="shared" si="23"/>
        <v>0.99764991120705238</v>
      </c>
      <c r="G50" s="51">
        <f t="shared" si="23"/>
        <v>1.0764391677818572</v>
      </c>
      <c r="H50" s="51">
        <f t="shared" si="23"/>
        <v>0.96270736689383962</v>
      </c>
      <c r="I50" s="51">
        <f t="shared" si="23"/>
        <v>1.0009392306944909</v>
      </c>
      <c r="J50" s="51">
        <f t="shared" si="23"/>
        <v>1.0297359651371443</v>
      </c>
      <c r="K50" s="51">
        <f t="shared" si="23"/>
        <v>0.63674455072918301</v>
      </c>
      <c r="L50" s="51">
        <f>L48/L43</f>
        <v>0.88925435664304497</v>
      </c>
      <c r="M50" s="142">
        <f>M48/M43</f>
        <v>1.0000350121667279</v>
      </c>
    </row>
    <row r="51" spans="1:13" ht="16" thickBot="1" x14ac:dyDescent="0.45">
      <c r="A51" s="143" t="s">
        <v>155</v>
      </c>
      <c r="B51" s="144">
        <f>B49/B44</f>
        <v>1.2182509135696318</v>
      </c>
      <c r="C51" s="144">
        <f>C49/C44</f>
        <v>0.95900812634356469</v>
      </c>
      <c r="D51" s="144">
        <f t="shared" ref="D51:L51" si="24">D49/D44</f>
        <v>0.91730569921895322</v>
      </c>
      <c r="E51" s="144">
        <f t="shared" si="24"/>
        <v>1.0984339160893895</v>
      </c>
      <c r="F51" s="144">
        <f t="shared" si="24"/>
        <v>1.0067198019943826</v>
      </c>
      <c r="G51" s="144">
        <f t="shared" si="24"/>
        <v>0.98098887203176077</v>
      </c>
      <c r="H51" s="144">
        <f t="shared" si="24"/>
        <v>1.048100842197065</v>
      </c>
      <c r="I51" s="144">
        <f t="shared" si="24"/>
        <v>1.0673988718566627</v>
      </c>
      <c r="J51" s="144">
        <f t="shared" si="24"/>
        <v>0.95560789799395895</v>
      </c>
      <c r="K51" s="144">
        <f t="shared" si="24"/>
        <v>0.97996676575151109</v>
      </c>
      <c r="L51" s="144">
        <f t="shared" si="24"/>
        <v>0.93716743257515411</v>
      </c>
      <c r="M51" s="145">
        <f t="shared" ref="M51" si="25">M49/M44</f>
        <v>1.0459117216954388</v>
      </c>
    </row>
    <row r="52" spans="1:13" x14ac:dyDescent="0.4">
      <c r="A52" s="136" t="s">
        <v>164</v>
      </c>
      <c r="B52" s="137" t="s">
        <v>4</v>
      </c>
      <c r="C52" s="137" t="s">
        <v>5</v>
      </c>
      <c r="D52" s="137" t="s">
        <v>6</v>
      </c>
      <c r="E52" s="137" t="s">
        <v>7</v>
      </c>
      <c r="F52" s="137" t="s">
        <v>8</v>
      </c>
      <c r="G52" s="137" t="s">
        <v>9</v>
      </c>
      <c r="H52" s="137" t="s">
        <v>10</v>
      </c>
      <c r="I52" s="137" t="s">
        <v>11</v>
      </c>
      <c r="J52" s="137" t="s">
        <v>12</v>
      </c>
      <c r="K52" s="137" t="s">
        <v>13</v>
      </c>
      <c r="L52" s="137" t="s">
        <v>14</v>
      </c>
      <c r="M52" s="138" t="s">
        <v>15</v>
      </c>
    </row>
    <row r="53" spans="1:13" x14ac:dyDescent="0.4">
      <c r="A53" s="139" t="s">
        <v>150</v>
      </c>
      <c r="B53" s="131">
        <v>129842</v>
      </c>
      <c r="C53" s="131">
        <v>102438</v>
      </c>
      <c r="D53" s="131">
        <v>99561</v>
      </c>
      <c r="E53" s="131">
        <v>103426</v>
      </c>
      <c r="F53" s="131">
        <v>75605</v>
      </c>
      <c r="G53" s="131">
        <v>102232</v>
      </c>
      <c r="H53" s="131">
        <v>98650</v>
      </c>
      <c r="I53" s="131">
        <v>95964</v>
      </c>
      <c r="J53" s="131">
        <v>94384</v>
      </c>
      <c r="K53" s="131">
        <v>99547</v>
      </c>
      <c r="L53" s="131">
        <v>101320</v>
      </c>
      <c r="M53" s="131">
        <v>100688</v>
      </c>
    </row>
    <row r="54" spans="1:13" x14ac:dyDescent="0.4">
      <c r="A54" s="139" t="s">
        <v>151</v>
      </c>
      <c r="B54" s="131">
        <v>1492848</v>
      </c>
      <c r="C54" s="131">
        <v>1547363</v>
      </c>
      <c r="D54" s="131">
        <v>1584863</v>
      </c>
      <c r="E54" s="131">
        <v>1569348</v>
      </c>
      <c r="F54" s="131">
        <v>1438634</v>
      </c>
      <c r="G54" s="131">
        <v>1640073</v>
      </c>
      <c r="H54" s="131">
        <v>1737019</v>
      </c>
      <c r="I54" s="131">
        <v>1664088</v>
      </c>
      <c r="J54" s="131">
        <v>1747272</v>
      </c>
      <c r="K54" s="131">
        <v>1597388</v>
      </c>
      <c r="L54" s="130">
        <v>2143813</v>
      </c>
      <c r="M54" s="140">
        <v>1922967</v>
      </c>
    </row>
    <row r="55" spans="1:13" x14ac:dyDescent="0.4">
      <c r="A55" s="141" t="s">
        <v>154</v>
      </c>
      <c r="B55" s="51">
        <f>B53/B48</f>
        <v>1.1711721463040634</v>
      </c>
      <c r="C55" s="51">
        <f>C53/C48</f>
        <v>1.3315741583257508</v>
      </c>
      <c r="D55" s="51">
        <f t="shared" ref="D55:K55" si="26">D53/D48</f>
        <v>1.1038783927621074</v>
      </c>
      <c r="E55" s="51">
        <f t="shared" si="26"/>
        <v>1.0694557900505641</v>
      </c>
      <c r="F55" s="51">
        <f t="shared" si="26"/>
        <v>0.8058688098232748</v>
      </c>
      <c r="G55" s="51">
        <f t="shared" si="26"/>
        <v>1.0862801768106087</v>
      </c>
      <c r="H55" s="51">
        <f t="shared" si="26"/>
        <v>0.97809813700314296</v>
      </c>
      <c r="I55" s="51">
        <f t="shared" si="26"/>
        <v>1.0350317097372621</v>
      </c>
      <c r="J55" s="51">
        <f t="shared" si="26"/>
        <v>0.97900589162725082</v>
      </c>
      <c r="K55" s="51">
        <f t="shared" si="26"/>
        <v>0.98063302237151895</v>
      </c>
      <c r="L55" s="51">
        <f>L53/L48</f>
        <v>1.0156273493649823</v>
      </c>
      <c r="M55" s="142">
        <f>M53/M48</f>
        <v>0.88129540481400437</v>
      </c>
    </row>
    <row r="56" spans="1:13" ht="16" thickBot="1" x14ac:dyDescent="0.45">
      <c r="A56" s="143" t="s">
        <v>155</v>
      </c>
      <c r="B56" s="144">
        <f>B54/B49</f>
        <v>0.88989723710337276</v>
      </c>
      <c r="C56" s="144">
        <f>C54/C49</f>
        <v>1.2081345297852024</v>
      </c>
      <c r="D56" s="144">
        <f t="shared" ref="D56:M56" si="27">D54/D49</f>
        <v>1.095861227774912</v>
      </c>
      <c r="E56" s="144">
        <f t="shared" si="27"/>
        <v>1.0650131519298998</v>
      </c>
      <c r="F56" s="144">
        <f t="shared" si="27"/>
        <v>0.97490422974831048</v>
      </c>
      <c r="G56" s="144">
        <f t="shared" si="27"/>
        <v>1.1353820529009104</v>
      </c>
      <c r="H56" s="144">
        <f t="shared" si="27"/>
        <v>1.0309287100118878</v>
      </c>
      <c r="I56" s="144">
        <f t="shared" si="27"/>
        <v>1.1208191245814831</v>
      </c>
      <c r="J56" s="144">
        <f t="shared" si="27"/>
        <v>1.2537776100275113</v>
      </c>
      <c r="K56" s="144">
        <f t="shared" si="27"/>
        <v>0.98104410064037961</v>
      </c>
      <c r="L56" s="144">
        <f t="shared" si="27"/>
        <v>1.3194806553663971</v>
      </c>
      <c r="M56" s="145">
        <f t="shared" si="27"/>
        <v>1.080201416363282</v>
      </c>
    </row>
    <row r="57" spans="1:13" x14ac:dyDescent="0.4">
      <c r="A57" s="136" t="s">
        <v>165</v>
      </c>
      <c r="B57" s="137" t="s">
        <v>4</v>
      </c>
      <c r="C57" s="137" t="s">
        <v>5</v>
      </c>
      <c r="D57" s="137" t="s">
        <v>6</v>
      </c>
      <c r="E57" s="137" t="s">
        <v>7</v>
      </c>
      <c r="F57" s="137" t="s">
        <v>8</v>
      </c>
      <c r="G57" s="137" t="s">
        <v>9</v>
      </c>
      <c r="H57" s="137" t="s">
        <v>10</v>
      </c>
      <c r="I57" s="137" t="s">
        <v>11</v>
      </c>
      <c r="J57" s="137" t="s">
        <v>12</v>
      </c>
      <c r="K57" s="137" t="s">
        <v>13</v>
      </c>
      <c r="L57" s="137" t="s">
        <v>14</v>
      </c>
      <c r="M57" s="138" t="s">
        <v>15</v>
      </c>
    </row>
    <row r="58" spans="1:13" x14ac:dyDescent="0.4">
      <c r="A58" s="139" t="s">
        <v>150</v>
      </c>
      <c r="B58" s="131">
        <v>93998</v>
      </c>
      <c r="C58" s="131">
        <v>66193</v>
      </c>
      <c r="D58" s="131">
        <v>99100</v>
      </c>
      <c r="E58" s="131">
        <v>93418</v>
      </c>
      <c r="F58" s="131">
        <v>85602</v>
      </c>
      <c r="G58" s="131">
        <v>98449</v>
      </c>
      <c r="H58" s="131">
        <v>101191</v>
      </c>
      <c r="I58" s="131">
        <v>97533</v>
      </c>
      <c r="J58" s="131">
        <v>83632</v>
      </c>
      <c r="K58" s="131"/>
      <c r="L58" s="131"/>
      <c r="M58" s="131"/>
    </row>
    <row r="59" spans="1:13" x14ac:dyDescent="0.4">
      <c r="A59" s="139" t="s">
        <v>151</v>
      </c>
      <c r="B59" s="131">
        <v>1730666</v>
      </c>
      <c r="C59" s="131">
        <v>1193278</v>
      </c>
      <c r="D59" s="131">
        <v>1784935</v>
      </c>
      <c r="E59" s="131">
        <v>1763625</v>
      </c>
      <c r="F59" s="131">
        <v>1513053</v>
      </c>
      <c r="G59" s="131">
        <v>1877840</v>
      </c>
      <c r="H59" s="131">
        <v>2005426</v>
      </c>
      <c r="I59" s="131">
        <v>1622651</v>
      </c>
      <c r="J59" s="131">
        <v>1389211</v>
      </c>
      <c r="K59" s="131"/>
      <c r="L59" s="130"/>
      <c r="M59" s="140"/>
    </row>
    <row r="60" spans="1:13" x14ac:dyDescent="0.4">
      <c r="A60" s="141" t="s">
        <v>154</v>
      </c>
      <c r="B60" s="51">
        <f>B58/B53</f>
        <v>0.72394140570847643</v>
      </c>
      <c r="C60" s="51">
        <f>C58/C53</f>
        <v>0.64617622366699856</v>
      </c>
      <c r="D60" s="51">
        <f t="shared" ref="D60:K60" si="28">D58/D53</f>
        <v>0.99536967286387235</v>
      </c>
      <c r="E60" s="51">
        <f t="shared" si="28"/>
        <v>0.90323516330516507</v>
      </c>
      <c r="F60" s="51">
        <f t="shared" si="28"/>
        <v>1.1322267045830303</v>
      </c>
      <c r="G60" s="51">
        <f t="shared" si="28"/>
        <v>0.96299593082400814</v>
      </c>
      <c r="H60" s="51">
        <f t="shared" si="28"/>
        <v>1.0257577293461733</v>
      </c>
      <c r="I60" s="51">
        <f t="shared" si="28"/>
        <v>1.0163498812054521</v>
      </c>
      <c r="J60" s="51">
        <f t="shared" si="28"/>
        <v>0.886082386845228</v>
      </c>
      <c r="K60" s="51">
        <f t="shared" si="28"/>
        <v>0</v>
      </c>
      <c r="L60" s="51">
        <f>L58/L53</f>
        <v>0</v>
      </c>
      <c r="M60" s="142">
        <f>M58/M53</f>
        <v>0</v>
      </c>
    </row>
    <row r="61" spans="1:13" ht="16" thickBot="1" x14ac:dyDescent="0.45">
      <c r="A61" s="143" t="s">
        <v>155</v>
      </c>
      <c r="B61" s="144">
        <f>B59/B54</f>
        <v>1.159304899092205</v>
      </c>
      <c r="C61" s="144">
        <f>C59/C54</f>
        <v>0.77116875613543812</v>
      </c>
      <c r="D61" s="144">
        <f t="shared" ref="D61:M61" si="29">D59/D54</f>
        <v>1.1262393027031359</v>
      </c>
      <c r="E61" s="144">
        <f t="shared" si="29"/>
        <v>1.1237947223942681</v>
      </c>
      <c r="F61" s="144">
        <f t="shared" si="29"/>
        <v>1.0517289317505356</v>
      </c>
      <c r="G61" s="144">
        <f t="shared" si="29"/>
        <v>1.1449734249634009</v>
      </c>
      <c r="H61" s="144">
        <f t="shared" si="29"/>
        <v>1.1545216258428952</v>
      </c>
      <c r="I61" s="144">
        <f t="shared" si="29"/>
        <v>0.97509927359610793</v>
      </c>
      <c r="J61" s="144">
        <f t="shared" si="29"/>
        <v>0.79507426433892381</v>
      </c>
      <c r="K61" s="144">
        <f t="shared" si="29"/>
        <v>0</v>
      </c>
      <c r="L61" s="144">
        <f t="shared" si="29"/>
        <v>0</v>
      </c>
      <c r="M61" s="145">
        <f t="shared" si="29"/>
        <v>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0520-586C-4CF9-8F95-E4D69929608D}">
  <sheetPr>
    <pageSetUpPr fitToPage="1"/>
  </sheetPr>
  <dimension ref="A2:AS538"/>
  <sheetViews>
    <sheetView topLeftCell="A5" zoomScale="70" zoomScaleNormal="70" workbookViewId="0">
      <pane ySplit="3" topLeftCell="A526" activePane="bottomLeft" state="frozen"/>
      <selection activeCell="A5" sqref="A5"/>
      <selection pane="bottomLeft" activeCell="Z538" sqref="Z538"/>
    </sheetView>
  </sheetViews>
  <sheetFormatPr defaultColWidth="8.90625" defaultRowHeight="15.5" x14ac:dyDescent="0.4"/>
  <cols>
    <col min="1" max="1" width="10.7265625" style="59" customWidth="1"/>
    <col min="2" max="2" width="17.36328125" style="63" customWidth="1"/>
    <col min="3" max="3" width="12.08984375" style="59" customWidth="1"/>
    <col min="4" max="4" width="14.7265625" style="59" bestFit="1" customWidth="1"/>
    <col min="5" max="5" width="12.08984375" style="59" customWidth="1"/>
    <col min="6" max="6" width="14.7265625" style="59" bestFit="1" customWidth="1"/>
    <col min="7" max="13" width="12.08984375" style="59" customWidth="1"/>
    <col min="14" max="14" width="12.08984375" style="63" bestFit="1" customWidth="1"/>
    <col min="15" max="15" width="12.08984375" style="63" customWidth="1"/>
    <col min="16" max="24" width="12.08984375" style="59" customWidth="1"/>
    <col min="25" max="25" width="12.08984375" style="63" bestFit="1" customWidth="1"/>
    <col min="26" max="26" width="12" style="63" customWidth="1"/>
    <col min="27" max="27" width="8.90625" style="63" customWidth="1"/>
    <col min="28" max="28" width="11.26953125" style="63" customWidth="1"/>
    <col min="29" max="29" width="13.90625" style="63" bestFit="1" customWidth="1"/>
    <col min="30" max="30" width="11.7265625" style="63" bestFit="1" customWidth="1"/>
    <col min="31" max="32" width="10.453125" style="59" customWidth="1"/>
    <col min="33" max="33" width="15.08984375" style="59" bestFit="1" customWidth="1"/>
    <col min="34" max="37" width="10.453125" style="63" customWidth="1"/>
    <col min="38" max="16384" width="8.90625" style="59"/>
  </cols>
  <sheetData>
    <row r="2" spans="1:45" ht="61.15" customHeight="1" x14ac:dyDescent="0.4">
      <c r="A2" s="506" t="s">
        <v>166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242"/>
      <c r="AJ2" s="242"/>
      <c r="AK2" s="242"/>
      <c r="AL2" s="58"/>
      <c r="AM2" s="58"/>
      <c r="AN2" s="58"/>
      <c r="AO2" s="58"/>
      <c r="AP2" s="58"/>
      <c r="AQ2" s="58"/>
      <c r="AR2" s="58"/>
      <c r="AS2" s="58"/>
    </row>
    <row r="3" spans="1:45" ht="40.15" customHeight="1" x14ac:dyDescent="0.4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1"/>
      <c r="AF3" s="507" t="s">
        <v>167</v>
      </c>
      <c r="AG3" s="507"/>
      <c r="AH3" s="62" t="s">
        <v>168</v>
      </c>
      <c r="AI3" s="242"/>
      <c r="AJ3" s="242"/>
      <c r="AK3" s="242"/>
      <c r="AL3" s="58"/>
      <c r="AM3" s="58"/>
      <c r="AN3" s="58"/>
      <c r="AO3" s="58"/>
      <c r="AP3" s="58"/>
      <c r="AQ3" s="58"/>
      <c r="AR3" s="58"/>
      <c r="AS3" s="58"/>
    </row>
    <row r="4" spans="1:45" ht="52.15" customHeight="1" x14ac:dyDescent="0.4">
      <c r="A4" s="508" t="s">
        <v>169</v>
      </c>
      <c r="B4" s="508"/>
      <c r="C4" s="508" t="s">
        <v>170</v>
      </c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115"/>
      <c r="P4" s="508" t="s">
        <v>171</v>
      </c>
      <c r="Q4" s="508"/>
      <c r="R4" s="508"/>
      <c r="S4" s="508"/>
      <c r="T4" s="508"/>
      <c r="U4" s="508"/>
      <c r="V4" s="508"/>
      <c r="W4" s="508"/>
      <c r="X4" s="508"/>
      <c r="Y4" s="508"/>
      <c r="Z4" s="116" t="s">
        <v>172</v>
      </c>
      <c r="AA4" s="509" t="s">
        <v>173</v>
      </c>
      <c r="AB4" s="510"/>
      <c r="AC4" s="510"/>
      <c r="AD4" s="511"/>
      <c r="AE4" s="213"/>
      <c r="AF4" s="213"/>
      <c r="AG4" s="243" t="s">
        <v>174</v>
      </c>
      <c r="AH4" s="512" t="s">
        <v>175</v>
      </c>
      <c r="AI4" s="512" t="s">
        <v>176</v>
      </c>
      <c r="AJ4" s="512" t="s">
        <v>177</v>
      </c>
      <c r="AK4" s="244"/>
    </row>
    <row r="5" spans="1:45" s="251" customFormat="1" ht="51.65" customHeight="1" x14ac:dyDescent="0.4">
      <c r="A5" s="526" t="s">
        <v>178</v>
      </c>
      <c r="B5" s="526"/>
      <c r="C5" s="520" t="s">
        <v>179</v>
      </c>
      <c r="D5" s="527"/>
      <c r="E5" s="527"/>
      <c r="F5" s="527"/>
      <c r="G5" s="527"/>
      <c r="H5" s="527"/>
      <c r="I5" s="521"/>
      <c r="J5" s="246"/>
      <c r="K5" s="246"/>
      <c r="L5" s="520" t="s">
        <v>180</v>
      </c>
      <c r="M5" s="528"/>
      <c r="N5" s="529"/>
      <c r="O5" s="247"/>
      <c r="P5" s="503" t="s">
        <v>181</v>
      </c>
      <c r="Q5" s="520" t="s">
        <v>182</v>
      </c>
      <c r="R5" s="527"/>
      <c r="S5" s="527"/>
      <c r="T5" s="527"/>
      <c r="U5" s="527"/>
      <c r="V5" s="521"/>
      <c r="W5" s="520" t="s">
        <v>180</v>
      </c>
      <c r="X5" s="528"/>
      <c r="Y5" s="528"/>
      <c r="Z5" s="529"/>
      <c r="AA5" s="248"/>
      <c r="AB5" s="503" t="s">
        <v>181</v>
      </c>
      <c r="AC5" s="503" t="s">
        <v>183</v>
      </c>
      <c r="AD5" s="249" t="s">
        <v>184</v>
      </c>
      <c r="AE5" s="249" t="s">
        <v>185</v>
      </c>
      <c r="AF5" s="249" t="s">
        <v>186</v>
      </c>
      <c r="AG5" s="515" t="s">
        <v>187</v>
      </c>
      <c r="AH5" s="513"/>
      <c r="AI5" s="513"/>
      <c r="AJ5" s="513"/>
      <c r="AK5" s="518" t="s">
        <v>174</v>
      </c>
      <c r="AL5" s="250"/>
    </row>
    <row r="6" spans="1:45" s="254" customFormat="1" ht="41.65" customHeight="1" x14ac:dyDescent="0.4">
      <c r="A6" s="520" t="s">
        <v>188</v>
      </c>
      <c r="B6" s="521"/>
      <c r="C6" s="245" t="s">
        <v>189</v>
      </c>
      <c r="D6" s="245" t="s">
        <v>190</v>
      </c>
      <c r="E6" s="245" t="s">
        <v>191</v>
      </c>
      <c r="F6" s="245" t="s">
        <v>192</v>
      </c>
      <c r="G6" s="245" t="s">
        <v>193</v>
      </c>
      <c r="H6" s="245" t="s">
        <v>194</v>
      </c>
      <c r="I6" s="245" t="s">
        <v>195</v>
      </c>
      <c r="J6" s="245" t="s">
        <v>196</v>
      </c>
      <c r="K6" s="245">
        <v>4</v>
      </c>
      <c r="L6" s="245" t="s">
        <v>197</v>
      </c>
      <c r="M6" s="245" t="s">
        <v>198</v>
      </c>
      <c r="N6" s="245" t="s">
        <v>199</v>
      </c>
      <c r="O6" s="245" t="s">
        <v>200</v>
      </c>
      <c r="P6" s="504"/>
      <c r="Q6" s="245" t="s">
        <v>201</v>
      </c>
      <c r="R6" s="245" t="s">
        <v>202</v>
      </c>
      <c r="S6" s="245" t="s">
        <v>203</v>
      </c>
      <c r="T6" s="245" t="s">
        <v>204</v>
      </c>
      <c r="U6" s="245" t="s">
        <v>205</v>
      </c>
      <c r="V6" s="245" t="s">
        <v>206</v>
      </c>
      <c r="W6" s="245" t="s">
        <v>207</v>
      </c>
      <c r="X6" s="245" t="s">
        <v>208</v>
      </c>
      <c r="Y6" s="245" t="s">
        <v>209</v>
      </c>
      <c r="Z6" s="245" t="s">
        <v>210</v>
      </c>
      <c r="AA6" s="252"/>
      <c r="AB6" s="504"/>
      <c r="AC6" s="504"/>
      <c r="AD6" s="522" t="s">
        <v>211</v>
      </c>
      <c r="AE6" s="522" t="s">
        <v>212</v>
      </c>
      <c r="AF6" s="522" t="s">
        <v>213</v>
      </c>
      <c r="AG6" s="515"/>
      <c r="AH6" s="513"/>
      <c r="AI6" s="513"/>
      <c r="AJ6" s="513"/>
      <c r="AK6" s="518"/>
      <c r="AL6" s="253"/>
    </row>
    <row r="7" spans="1:45" s="251" customFormat="1" ht="37.15" customHeight="1" x14ac:dyDescent="0.4">
      <c r="A7" s="524" t="s">
        <v>214</v>
      </c>
      <c r="B7" s="525"/>
      <c r="C7" s="255" t="s">
        <v>215</v>
      </c>
      <c r="D7" s="255" t="s">
        <v>216</v>
      </c>
      <c r="E7" s="255" t="s">
        <v>217</v>
      </c>
      <c r="F7" s="255" t="s">
        <v>218</v>
      </c>
      <c r="G7" s="255" t="s">
        <v>219</v>
      </c>
      <c r="H7" s="255" t="s">
        <v>220</v>
      </c>
      <c r="I7" s="255" t="s">
        <v>221</v>
      </c>
      <c r="J7" s="255" t="s">
        <v>222</v>
      </c>
      <c r="K7" s="255" t="s">
        <v>222</v>
      </c>
      <c r="L7" s="256" t="s">
        <v>223</v>
      </c>
      <c r="M7" s="255" t="s">
        <v>224</v>
      </c>
      <c r="N7" s="255" t="s">
        <v>225</v>
      </c>
      <c r="O7" s="255" t="s">
        <v>226</v>
      </c>
      <c r="P7" s="505"/>
      <c r="Q7" s="255" t="s">
        <v>227</v>
      </c>
      <c r="R7" s="255" t="s">
        <v>228</v>
      </c>
      <c r="S7" s="255" t="s">
        <v>229</v>
      </c>
      <c r="T7" s="255" t="s">
        <v>230</v>
      </c>
      <c r="U7" s="255" t="s">
        <v>231</v>
      </c>
      <c r="V7" s="255" t="s">
        <v>232</v>
      </c>
      <c r="W7" s="255" t="s">
        <v>233</v>
      </c>
      <c r="X7" s="252" t="s">
        <v>234</v>
      </c>
      <c r="Y7" s="212" t="s">
        <v>235</v>
      </c>
      <c r="Z7" s="252" t="s">
        <v>236</v>
      </c>
      <c r="AA7" s="255"/>
      <c r="AB7" s="505"/>
      <c r="AC7" s="505"/>
      <c r="AD7" s="523"/>
      <c r="AE7" s="523"/>
      <c r="AF7" s="523"/>
      <c r="AG7" s="516"/>
      <c r="AH7" s="514"/>
      <c r="AI7" s="514"/>
      <c r="AJ7" s="514"/>
      <c r="AK7" s="519"/>
      <c r="AL7" s="250"/>
    </row>
    <row r="8" spans="1:45" ht="20" hidden="1" x14ac:dyDescent="0.4">
      <c r="A8" s="500" t="s">
        <v>237</v>
      </c>
      <c r="B8" s="257" t="s">
        <v>238</v>
      </c>
      <c r="C8" s="258">
        <v>8475</v>
      </c>
      <c r="D8" s="258">
        <v>33496</v>
      </c>
      <c r="E8" s="258">
        <v>4532</v>
      </c>
      <c r="F8" s="258">
        <v>15143</v>
      </c>
      <c r="G8" s="258">
        <v>1101</v>
      </c>
      <c r="H8" s="258">
        <v>1474</v>
      </c>
      <c r="I8" s="258">
        <v>1129</v>
      </c>
      <c r="J8" s="258"/>
      <c r="K8" s="258"/>
      <c r="L8" s="258">
        <v>671</v>
      </c>
      <c r="M8" s="258">
        <v>680</v>
      </c>
      <c r="N8" s="258">
        <v>809</v>
      </c>
      <c r="O8" s="258"/>
      <c r="P8" s="259">
        <f>SUM(C8:N8)</f>
        <v>67510</v>
      </c>
      <c r="Q8" s="258">
        <v>1131</v>
      </c>
      <c r="R8" s="258">
        <v>2287</v>
      </c>
      <c r="S8" s="258">
        <v>1586</v>
      </c>
      <c r="T8" s="258">
        <v>3417</v>
      </c>
      <c r="U8" s="258">
        <v>1505</v>
      </c>
      <c r="V8" s="258"/>
      <c r="W8" s="258">
        <v>212</v>
      </c>
      <c r="X8" s="258">
        <v>619</v>
      </c>
      <c r="Y8" s="260">
        <v>148</v>
      </c>
      <c r="Z8" s="260">
        <v>91</v>
      </c>
      <c r="AA8" s="261"/>
      <c r="AB8" s="259">
        <f>SUM(Q8:AA8)</f>
        <v>10996</v>
      </c>
      <c r="AC8" s="262">
        <f>P8+AB8</f>
        <v>78506</v>
      </c>
      <c r="AD8" s="263">
        <v>8</v>
      </c>
      <c r="AE8" s="263">
        <v>5</v>
      </c>
      <c r="AF8" s="263">
        <v>6</v>
      </c>
      <c r="AG8" s="264">
        <f>SUM(AD8:AF8)</f>
        <v>19</v>
      </c>
      <c r="AH8" s="501">
        <v>2088</v>
      </c>
      <c r="AI8" s="501">
        <v>2047</v>
      </c>
      <c r="AJ8" s="501">
        <v>1694</v>
      </c>
      <c r="AK8" s="501">
        <f>SUM(AH8:AJ11)</f>
        <v>5829</v>
      </c>
    </row>
    <row r="9" spans="1:45" ht="20" hidden="1" x14ac:dyDescent="0.4">
      <c r="A9" s="500"/>
      <c r="B9" s="257" t="s">
        <v>239</v>
      </c>
      <c r="C9" s="114">
        <v>9177</v>
      </c>
      <c r="D9" s="114">
        <v>37584</v>
      </c>
      <c r="E9" s="114">
        <v>4987</v>
      </c>
      <c r="F9" s="114">
        <v>21366</v>
      </c>
      <c r="G9" s="114">
        <v>1555</v>
      </c>
      <c r="H9" s="56">
        <v>1662</v>
      </c>
      <c r="I9" s="114">
        <v>1470</v>
      </c>
      <c r="J9" s="114"/>
      <c r="K9" s="114"/>
      <c r="L9" s="114">
        <v>1097</v>
      </c>
      <c r="M9" s="114">
        <v>876</v>
      </c>
      <c r="N9" s="114">
        <v>1147</v>
      </c>
      <c r="O9" s="114"/>
      <c r="P9" s="259">
        <f>SUM(C9:N9)</f>
        <v>80921</v>
      </c>
      <c r="Q9" s="56">
        <v>1275</v>
      </c>
      <c r="R9" s="56">
        <v>3018</v>
      </c>
      <c r="S9" s="56">
        <v>1929</v>
      </c>
      <c r="T9" s="114">
        <v>3623</v>
      </c>
      <c r="U9" s="56">
        <v>3538</v>
      </c>
      <c r="V9" s="56"/>
      <c r="W9" s="114">
        <v>250</v>
      </c>
      <c r="X9" s="114">
        <v>661</v>
      </c>
      <c r="Y9" s="114">
        <v>160</v>
      </c>
      <c r="Z9" s="114">
        <v>164</v>
      </c>
      <c r="AA9" s="261"/>
      <c r="AB9" s="259">
        <f>SUM(Q9:AA9)</f>
        <v>14618</v>
      </c>
      <c r="AC9" s="262">
        <f>P9+AB9</f>
        <v>95539</v>
      </c>
      <c r="AD9" s="263"/>
      <c r="AE9" s="263"/>
      <c r="AF9" s="263"/>
      <c r="AG9" s="263"/>
      <c r="AH9" s="502"/>
      <c r="AI9" s="502"/>
      <c r="AJ9" s="502"/>
      <c r="AK9" s="502"/>
    </row>
    <row r="10" spans="1:45" ht="17.5" hidden="1" x14ac:dyDescent="0.4">
      <c r="A10" s="500"/>
      <c r="B10" s="265" t="s">
        <v>240</v>
      </c>
      <c r="C10" s="265">
        <f t="shared" ref="C10:U10" si="0">C8/C9</f>
        <v>0.92350441320693033</v>
      </c>
      <c r="D10" s="265">
        <f t="shared" si="0"/>
        <v>0.8912303107705406</v>
      </c>
      <c r="E10" s="265">
        <f t="shared" si="0"/>
        <v>0.90876278323641468</v>
      </c>
      <c r="F10" s="265">
        <f t="shared" si="0"/>
        <v>0.7087428624918094</v>
      </c>
      <c r="G10" s="265">
        <f t="shared" si="0"/>
        <v>0.7080385852090032</v>
      </c>
      <c r="H10" s="265">
        <f t="shared" si="0"/>
        <v>0.8868832731648616</v>
      </c>
      <c r="I10" s="265">
        <f t="shared" si="0"/>
        <v>0.76802721088435377</v>
      </c>
      <c r="J10" s="265"/>
      <c r="K10" s="265"/>
      <c r="L10" s="265">
        <f t="shared" si="0"/>
        <v>0.6116681859617138</v>
      </c>
      <c r="M10" s="265">
        <f t="shared" si="0"/>
        <v>0.77625570776255703</v>
      </c>
      <c r="N10" s="265">
        <f t="shared" si="0"/>
        <v>0.70531822144725376</v>
      </c>
      <c r="O10" s="265"/>
      <c r="P10" s="266">
        <f t="shared" si="0"/>
        <v>0.83427046131412119</v>
      </c>
      <c r="Q10" s="265">
        <f t="shared" si="0"/>
        <v>0.88705882352941179</v>
      </c>
      <c r="R10" s="265">
        <f t="shared" si="0"/>
        <v>0.75778661365142475</v>
      </c>
      <c r="S10" s="265">
        <f t="shared" si="0"/>
        <v>0.82218766200103677</v>
      </c>
      <c r="T10" s="265">
        <f t="shared" si="0"/>
        <v>0.94314104333425341</v>
      </c>
      <c r="U10" s="265">
        <f t="shared" si="0"/>
        <v>0.42538157150932732</v>
      </c>
      <c r="V10" s="265"/>
      <c r="W10" s="265">
        <f>W8/W9</f>
        <v>0.84799999999999998</v>
      </c>
      <c r="X10" s="265">
        <f>X8/X9</f>
        <v>0.9364599092284418</v>
      </c>
      <c r="Y10" s="265">
        <f>Y8/Y9</f>
        <v>0.92500000000000004</v>
      </c>
      <c r="Z10" s="265">
        <f>Z8/Z9</f>
        <v>0.55487804878048785</v>
      </c>
      <c r="AA10" s="265"/>
      <c r="AB10" s="266">
        <f>AB8/AB9</f>
        <v>0.75222328635928304</v>
      </c>
      <c r="AC10" s="267">
        <f>AC8/AC9</f>
        <v>0.82171678581521679</v>
      </c>
      <c r="AD10" s="265" t="e">
        <f>AD8/$AG$253</f>
        <v>#DIV/0!</v>
      </c>
      <c r="AE10" s="265" t="e">
        <f>AE8/$AG$253</f>
        <v>#DIV/0!</v>
      </c>
      <c r="AF10" s="265" t="e">
        <f>AF8/$AG$253</f>
        <v>#DIV/0!</v>
      </c>
      <c r="AG10" s="265" t="e">
        <f>AG8/$AG$253</f>
        <v>#DIV/0!</v>
      </c>
      <c r="AH10" s="502"/>
      <c r="AI10" s="502"/>
      <c r="AJ10" s="502"/>
      <c r="AK10" s="502"/>
    </row>
    <row r="11" spans="1:45" ht="17.5" hidden="1" x14ac:dyDescent="0.4">
      <c r="A11" s="500"/>
      <c r="B11" s="268" t="s">
        <v>241</v>
      </c>
      <c r="C11" s="268" t="s">
        <v>242</v>
      </c>
      <c r="D11" s="268" t="s">
        <v>242</v>
      </c>
      <c r="E11" s="268" t="s">
        <v>242</v>
      </c>
      <c r="F11" s="268" t="s">
        <v>243</v>
      </c>
      <c r="G11" s="268" t="s">
        <v>243</v>
      </c>
      <c r="H11" s="268" t="s">
        <v>242</v>
      </c>
      <c r="I11" s="268" t="s">
        <v>244</v>
      </c>
      <c r="J11" s="268"/>
      <c r="K11" s="268"/>
      <c r="L11" s="268" t="s">
        <v>243</v>
      </c>
      <c r="M11" s="268" t="s">
        <v>244</v>
      </c>
      <c r="N11" s="268" t="s">
        <v>243</v>
      </c>
      <c r="O11" s="268"/>
      <c r="P11" s="269"/>
      <c r="Q11" s="268" t="s">
        <v>242</v>
      </c>
      <c r="R11" s="268" t="s">
        <v>244</v>
      </c>
      <c r="S11" s="268" t="s">
        <v>244</v>
      </c>
      <c r="T11" s="268" t="s">
        <v>242</v>
      </c>
      <c r="U11" s="268" t="s">
        <v>243</v>
      </c>
      <c r="V11" s="268"/>
      <c r="W11" s="268" t="s">
        <v>244</v>
      </c>
      <c r="X11" s="268" t="s">
        <v>242</v>
      </c>
      <c r="Y11" s="268" t="s">
        <v>242</v>
      </c>
      <c r="Z11" s="268" t="s">
        <v>243</v>
      </c>
      <c r="AA11" s="268"/>
      <c r="AB11" s="269"/>
      <c r="AC11" s="270"/>
      <c r="AD11" s="265"/>
      <c r="AE11" s="265"/>
      <c r="AF11" s="265"/>
      <c r="AG11" s="271"/>
      <c r="AH11" s="517"/>
      <c r="AI11" s="517"/>
      <c r="AJ11" s="517"/>
      <c r="AK11" s="517"/>
    </row>
    <row r="12" spans="1:45" ht="20" hidden="1" x14ac:dyDescent="0.4">
      <c r="A12" s="500" t="s">
        <v>245</v>
      </c>
      <c r="B12" s="257" t="s">
        <v>238</v>
      </c>
      <c r="C12" s="258">
        <v>8351</v>
      </c>
      <c r="D12" s="258">
        <v>32966</v>
      </c>
      <c r="E12" s="258">
        <v>4473</v>
      </c>
      <c r="F12" s="258">
        <v>14972</v>
      </c>
      <c r="G12" s="258">
        <v>1147</v>
      </c>
      <c r="H12" s="258">
        <v>1455</v>
      </c>
      <c r="I12" s="258">
        <v>1142</v>
      </c>
      <c r="J12" s="258"/>
      <c r="K12" s="258"/>
      <c r="L12" s="258">
        <v>672</v>
      </c>
      <c r="M12" s="258">
        <v>683</v>
      </c>
      <c r="N12" s="258">
        <v>809</v>
      </c>
      <c r="O12" s="258"/>
      <c r="P12" s="259">
        <f>SUM(C12:N12)</f>
        <v>66670</v>
      </c>
      <c r="Q12" s="258">
        <v>1080</v>
      </c>
      <c r="R12" s="258">
        <v>2410</v>
      </c>
      <c r="S12" s="258">
        <v>1698</v>
      </c>
      <c r="T12" s="258">
        <v>3419</v>
      </c>
      <c r="U12" s="258">
        <v>1482</v>
      </c>
      <c r="V12" s="258">
        <v>61</v>
      </c>
      <c r="W12" s="258">
        <v>213</v>
      </c>
      <c r="X12" s="258">
        <v>629</v>
      </c>
      <c r="Y12" s="260">
        <v>148</v>
      </c>
      <c r="Z12" s="260">
        <v>91</v>
      </c>
      <c r="AA12" s="261"/>
      <c r="AB12" s="259">
        <f>SUM(Q12:AA12)</f>
        <v>11231</v>
      </c>
      <c r="AC12" s="262">
        <f>P12+AB12</f>
        <v>77901</v>
      </c>
      <c r="AD12" s="263">
        <v>8</v>
      </c>
      <c r="AE12" s="263">
        <v>4</v>
      </c>
      <c r="AF12" s="263">
        <v>8</v>
      </c>
      <c r="AG12" s="264">
        <f>SUM(AD12:AF12)</f>
        <v>20</v>
      </c>
      <c r="AH12" s="501">
        <v>1449</v>
      </c>
      <c r="AI12" s="501">
        <v>2169</v>
      </c>
      <c r="AJ12" s="501">
        <v>684</v>
      </c>
      <c r="AK12" s="501">
        <f>SUM(AH12:AJ16)</f>
        <v>4302</v>
      </c>
    </row>
    <row r="13" spans="1:45" ht="20" hidden="1" x14ac:dyDescent="0.4">
      <c r="A13" s="500"/>
      <c r="B13" s="257" t="s">
        <v>239</v>
      </c>
      <c r="C13" s="114">
        <v>9177</v>
      </c>
      <c r="D13" s="114">
        <v>37584</v>
      </c>
      <c r="E13" s="114">
        <v>4987</v>
      </c>
      <c r="F13" s="114">
        <v>21366</v>
      </c>
      <c r="G13" s="114">
        <v>1555</v>
      </c>
      <c r="H13" s="56">
        <v>2770</v>
      </c>
      <c r="I13" s="114">
        <v>1470</v>
      </c>
      <c r="J13" s="114"/>
      <c r="K13" s="114"/>
      <c r="L13" s="114">
        <v>1097</v>
      </c>
      <c r="M13" s="114">
        <v>876</v>
      </c>
      <c r="N13" s="114">
        <v>1147</v>
      </c>
      <c r="O13" s="114"/>
      <c r="P13" s="259">
        <f>SUM(C13:N13)</f>
        <v>82029</v>
      </c>
      <c r="Q13" s="56">
        <v>1275</v>
      </c>
      <c r="R13" s="56">
        <v>3018</v>
      </c>
      <c r="S13" s="56">
        <v>1929</v>
      </c>
      <c r="T13" s="114">
        <v>3623</v>
      </c>
      <c r="U13" s="56">
        <v>3538</v>
      </c>
      <c r="V13" s="56">
        <v>102</v>
      </c>
      <c r="W13" s="114">
        <v>250</v>
      </c>
      <c r="X13" s="114">
        <v>661</v>
      </c>
      <c r="Y13" s="114">
        <v>160</v>
      </c>
      <c r="Z13" s="114">
        <v>164</v>
      </c>
      <c r="AA13" s="261"/>
      <c r="AB13" s="259">
        <f>SUM(Q13:AA13)</f>
        <v>14720</v>
      </c>
      <c r="AC13" s="262">
        <f>P13+AB13</f>
        <v>96749</v>
      </c>
      <c r="AD13" s="263"/>
      <c r="AE13" s="263"/>
      <c r="AF13" s="263"/>
      <c r="AG13" s="263"/>
      <c r="AH13" s="502"/>
      <c r="AI13" s="502"/>
      <c r="AJ13" s="502"/>
      <c r="AK13" s="502"/>
    </row>
    <row r="14" spans="1:45" ht="20" hidden="1" x14ac:dyDescent="0.4">
      <c r="A14" s="500"/>
      <c r="B14" s="272" t="s">
        <v>246</v>
      </c>
      <c r="C14" s="469">
        <f>C12+D12+E12+F12</f>
        <v>60762</v>
      </c>
      <c r="D14" s="470"/>
      <c r="E14" s="470"/>
      <c r="F14" s="471"/>
      <c r="G14" s="497">
        <f>G12+H12+I12</f>
        <v>3744</v>
      </c>
      <c r="H14" s="498"/>
      <c r="I14" s="499"/>
      <c r="J14" s="275"/>
      <c r="K14" s="275"/>
      <c r="L14" s="469">
        <f>L12+M12+N12</f>
        <v>2164</v>
      </c>
      <c r="M14" s="470"/>
      <c r="N14" s="471"/>
      <c r="O14" s="274"/>
      <c r="P14" s="259"/>
      <c r="Q14" s="495">
        <f>Q12+R12+S12</f>
        <v>5188</v>
      </c>
      <c r="R14" s="470"/>
      <c r="S14" s="471"/>
      <c r="T14" s="114"/>
      <c r="U14" s="56"/>
      <c r="V14" s="56"/>
      <c r="W14" s="114"/>
      <c r="X14" s="114"/>
      <c r="Y14" s="114"/>
      <c r="Z14" s="114"/>
      <c r="AA14" s="261"/>
      <c r="AB14" s="259"/>
      <c r="AC14" s="262"/>
      <c r="AD14" s="263"/>
      <c r="AE14" s="263"/>
      <c r="AF14" s="263"/>
      <c r="AG14" s="263"/>
      <c r="AH14" s="502"/>
      <c r="AI14" s="502"/>
      <c r="AJ14" s="502"/>
      <c r="AK14" s="502"/>
    </row>
    <row r="15" spans="1:45" ht="20" hidden="1" x14ac:dyDescent="0.4">
      <c r="A15" s="500"/>
      <c r="B15" s="272" t="s">
        <v>247</v>
      </c>
      <c r="C15" s="469">
        <f>C13+D13+E13+F13</f>
        <v>73114</v>
      </c>
      <c r="D15" s="470"/>
      <c r="E15" s="470"/>
      <c r="F15" s="471"/>
      <c r="G15" s="469">
        <f>G13+H13+I13</f>
        <v>5795</v>
      </c>
      <c r="H15" s="470"/>
      <c r="I15" s="471"/>
      <c r="J15" s="273"/>
      <c r="K15" s="273"/>
      <c r="L15" s="469">
        <f>L13+M13+N13</f>
        <v>3120</v>
      </c>
      <c r="M15" s="470"/>
      <c r="N15" s="471"/>
      <c r="O15" s="274"/>
      <c r="P15" s="259"/>
      <c r="Q15" s="495">
        <f>Q13+R13+S13</f>
        <v>6222</v>
      </c>
      <c r="R15" s="470"/>
      <c r="S15" s="471"/>
      <c r="T15" s="114"/>
      <c r="U15" s="56"/>
      <c r="V15" s="56"/>
      <c r="W15" s="114"/>
      <c r="X15" s="114"/>
      <c r="Y15" s="114"/>
      <c r="Z15" s="114"/>
      <c r="AA15" s="261"/>
      <c r="AB15" s="259"/>
      <c r="AC15" s="262"/>
      <c r="AD15" s="263"/>
      <c r="AE15" s="263"/>
      <c r="AF15" s="263"/>
      <c r="AG15" s="263"/>
      <c r="AH15" s="502"/>
      <c r="AI15" s="502"/>
      <c r="AJ15" s="502"/>
      <c r="AK15" s="502"/>
    </row>
    <row r="16" spans="1:45" ht="17.5" hidden="1" x14ac:dyDescent="0.4">
      <c r="A16" s="500"/>
      <c r="B16" s="265" t="s">
        <v>240</v>
      </c>
      <c r="C16" s="496">
        <f>C14/C15</f>
        <v>0.83105834723855898</v>
      </c>
      <c r="D16" s="473"/>
      <c r="E16" s="473"/>
      <c r="F16" s="474"/>
      <c r="G16" s="496">
        <f>G14/G15</f>
        <v>0.64607420189818809</v>
      </c>
      <c r="H16" s="473"/>
      <c r="I16" s="474"/>
      <c r="J16" s="276"/>
      <c r="K16" s="276"/>
      <c r="L16" s="496">
        <f>L14/L15</f>
        <v>0.69358974358974357</v>
      </c>
      <c r="M16" s="473"/>
      <c r="N16" s="474"/>
      <c r="O16" s="277"/>
      <c r="P16" s="266">
        <f t="shared" ref="P16:Z16" si="1">P12/P13</f>
        <v>0.81276134050152993</v>
      </c>
      <c r="Q16" s="496">
        <f>Q14/Q15</f>
        <v>0.83381549341047889</v>
      </c>
      <c r="R16" s="473"/>
      <c r="S16" s="474"/>
      <c r="T16" s="265">
        <f t="shared" si="1"/>
        <v>0.94369307203974606</v>
      </c>
      <c r="U16" s="265">
        <f t="shared" si="1"/>
        <v>0.41888072357263989</v>
      </c>
      <c r="V16" s="265">
        <f t="shared" si="1"/>
        <v>0.59803921568627449</v>
      </c>
      <c r="W16" s="265">
        <f t="shared" si="1"/>
        <v>0.85199999999999998</v>
      </c>
      <c r="X16" s="265">
        <f t="shared" si="1"/>
        <v>0.95158850226928893</v>
      </c>
      <c r="Y16" s="265">
        <f t="shared" si="1"/>
        <v>0.92500000000000004</v>
      </c>
      <c r="Z16" s="265">
        <f t="shared" si="1"/>
        <v>0.55487804878048785</v>
      </c>
      <c r="AA16" s="265"/>
      <c r="AB16" s="266">
        <f>AB12/AB13</f>
        <v>0.76297554347826091</v>
      </c>
      <c r="AC16" s="267">
        <f>AC12/AC13</f>
        <v>0.80518661691593707</v>
      </c>
      <c r="AD16" s="265">
        <f>AD12/$AG$257</f>
        <v>0.38095238095238093</v>
      </c>
      <c r="AE16" s="265">
        <f>AE12/$AG$257</f>
        <v>0.19047619047619047</v>
      </c>
      <c r="AF16" s="265">
        <f>AF12/$AG$257</f>
        <v>0.38095238095238093</v>
      </c>
      <c r="AG16" s="265">
        <f>AG12/$AG$257</f>
        <v>0.95238095238095233</v>
      </c>
      <c r="AH16" s="502"/>
      <c r="AI16" s="502"/>
      <c r="AJ16" s="502"/>
      <c r="AK16" s="502"/>
    </row>
    <row r="17" spans="1:37" ht="20" hidden="1" x14ac:dyDescent="0.4">
      <c r="A17" s="500" t="s">
        <v>248</v>
      </c>
      <c r="B17" s="257" t="s">
        <v>238</v>
      </c>
      <c r="C17" s="258">
        <v>8330</v>
      </c>
      <c r="D17" s="258">
        <v>33302</v>
      </c>
      <c r="E17" s="258">
        <v>4494</v>
      </c>
      <c r="F17" s="258">
        <v>14975</v>
      </c>
      <c r="G17" s="258">
        <v>1307</v>
      </c>
      <c r="H17" s="258">
        <v>1438</v>
      </c>
      <c r="I17" s="258">
        <v>1197</v>
      </c>
      <c r="J17" s="258"/>
      <c r="K17" s="258"/>
      <c r="L17" s="258">
        <v>681</v>
      </c>
      <c r="M17" s="258">
        <v>664</v>
      </c>
      <c r="N17" s="258">
        <v>809</v>
      </c>
      <c r="O17" s="258"/>
      <c r="P17" s="259">
        <f>SUM(C17:N17)</f>
        <v>67197</v>
      </c>
      <c r="Q17" s="258">
        <v>1146</v>
      </c>
      <c r="R17" s="258">
        <v>2557</v>
      </c>
      <c r="S17" s="258">
        <v>1565</v>
      </c>
      <c r="T17" s="258">
        <v>3300</v>
      </c>
      <c r="U17" s="258">
        <v>1544</v>
      </c>
      <c r="V17" s="258">
        <v>61</v>
      </c>
      <c r="W17" s="258">
        <v>217</v>
      </c>
      <c r="X17" s="258">
        <v>615</v>
      </c>
      <c r="Y17" s="67">
        <v>148</v>
      </c>
      <c r="Z17" s="67">
        <v>92</v>
      </c>
      <c r="AA17" s="261"/>
      <c r="AB17" s="259">
        <f>SUM(Q17:AA17)</f>
        <v>11245</v>
      </c>
      <c r="AC17" s="262">
        <f>P17+AB17</f>
        <v>78442</v>
      </c>
      <c r="AD17" s="278">
        <v>8</v>
      </c>
      <c r="AE17" s="278">
        <v>5</v>
      </c>
      <c r="AF17" s="278">
        <v>7</v>
      </c>
      <c r="AG17" s="279">
        <f>SUM(AD17:AF17)</f>
        <v>20</v>
      </c>
      <c r="AH17" s="478">
        <v>2130</v>
      </c>
      <c r="AI17" s="478">
        <v>1564</v>
      </c>
      <c r="AJ17" s="478">
        <v>1167</v>
      </c>
      <c r="AK17" s="478">
        <f>SUM(AH17:AJ21)</f>
        <v>4861</v>
      </c>
    </row>
    <row r="18" spans="1:37" ht="20" hidden="1" x14ac:dyDescent="0.4">
      <c r="A18" s="500"/>
      <c r="B18" s="257" t="s">
        <v>239</v>
      </c>
      <c r="C18" s="114">
        <v>9177</v>
      </c>
      <c r="D18" s="114">
        <v>37584</v>
      </c>
      <c r="E18" s="114">
        <v>4987</v>
      </c>
      <c r="F18" s="114">
        <v>21366</v>
      </c>
      <c r="G18" s="114">
        <v>1555</v>
      </c>
      <c r="H18" s="56">
        <v>2770</v>
      </c>
      <c r="I18" s="114">
        <v>1470</v>
      </c>
      <c r="J18" s="114"/>
      <c r="K18" s="114"/>
      <c r="L18" s="114">
        <v>1097</v>
      </c>
      <c r="M18" s="114">
        <v>876</v>
      </c>
      <c r="N18" s="114">
        <v>1147</v>
      </c>
      <c r="O18" s="114"/>
      <c r="P18" s="259">
        <f>SUM(C18:N18)</f>
        <v>82029</v>
      </c>
      <c r="Q18" s="56">
        <v>1275</v>
      </c>
      <c r="R18" s="56">
        <v>3018</v>
      </c>
      <c r="S18" s="56">
        <v>1929</v>
      </c>
      <c r="T18" s="114">
        <v>3623</v>
      </c>
      <c r="U18" s="56">
        <v>3538</v>
      </c>
      <c r="V18" s="56">
        <v>102</v>
      </c>
      <c r="W18" s="114">
        <v>250</v>
      </c>
      <c r="X18" s="114">
        <v>661</v>
      </c>
      <c r="Y18" s="114">
        <v>160</v>
      </c>
      <c r="Z18" s="114">
        <v>164</v>
      </c>
      <c r="AA18" s="261"/>
      <c r="AB18" s="259">
        <f>SUM(Q18:AA18)</f>
        <v>14720</v>
      </c>
      <c r="AC18" s="262">
        <f>P18+AB18</f>
        <v>96749</v>
      </c>
      <c r="AD18" s="263"/>
      <c r="AE18" s="263"/>
      <c r="AF18" s="263"/>
      <c r="AG18" s="263"/>
      <c r="AH18" s="479"/>
      <c r="AI18" s="479"/>
      <c r="AJ18" s="479"/>
      <c r="AK18" s="479"/>
    </row>
    <row r="19" spans="1:37" ht="20" hidden="1" x14ac:dyDescent="0.4">
      <c r="A19" s="500"/>
      <c r="B19" s="272" t="s">
        <v>246</v>
      </c>
      <c r="C19" s="469">
        <f>C17+D17+E17+F17</f>
        <v>61101</v>
      </c>
      <c r="D19" s="470"/>
      <c r="E19" s="470"/>
      <c r="F19" s="471"/>
      <c r="G19" s="497">
        <f>G17+H17+I17</f>
        <v>3942</v>
      </c>
      <c r="H19" s="498"/>
      <c r="I19" s="499"/>
      <c r="J19" s="275"/>
      <c r="K19" s="275"/>
      <c r="L19" s="469">
        <f>L17+M17+N17</f>
        <v>2154</v>
      </c>
      <c r="M19" s="470"/>
      <c r="N19" s="471"/>
      <c r="O19" s="274"/>
      <c r="P19" s="259"/>
      <c r="Q19" s="495">
        <f>Q17+R17+S17</f>
        <v>5268</v>
      </c>
      <c r="R19" s="470"/>
      <c r="S19" s="471"/>
      <c r="T19" s="114"/>
      <c r="U19" s="56"/>
      <c r="V19" s="56"/>
      <c r="W19" s="114"/>
      <c r="X19" s="114"/>
      <c r="Y19" s="114"/>
      <c r="Z19" s="114"/>
      <c r="AA19" s="261"/>
      <c r="AB19" s="259"/>
      <c r="AC19" s="262"/>
      <c r="AD19" s="263"/>
      <c r="AE19" s="263"/>
      <c r="AF19" s="263"/>
      <c r="AG19" s="263"/>
      <c r="AH19" s="479"/>
      <c r="AI19" s="479"/>
      <c r="AJ19" s="479"/>
      <c r="AK19" s="479"/>
    </row>
    <row r="20" spans="1:37" ht="20" hidden="1" x14ac:dyDescent="0.4">
      <c r="A20" s="500"/>
      <c r="B20" s="272" t="s">
        <v>247</v>
      </c>
      <c r="C20" s="469">
        <f>C18+D18+E18+F18</f>
        <v>73114</v>
      </c>
      <c r="D20" s="470"/>
      <c r="E20" s="470"/>
      <c r="F20" s="471"/>
      <c r="G20" s="469">
        <f>G18+H18+I18</f>
        <v>5795</v>
      </c>
      <c r="H20" s="470"/>
      <c r="I20" s="471"/>
      <c r="J20" s="273"/>
      <c r="K20" s="273"/>
      <c r="L20" s="469">
        <f>L18+M18+N18</f>
        <v>3120</v>
      </c>
      <c r="M20" s="470"/>
      <c r="N20" s="471"/>
      <c r="O20" s="274"/>
      <c r="P20" s="259"/>
      <c r="Q20" s="495">
        <f>Q18+R18+S18</f>
        <v>6222</v>
      </c>
      <c r="R20" s="470"/>
      <c r="S20" s="471"/>
      <c r="T20" s="114"/>
      <c r="U20" s="56"/>
      <c r="V20" s="56"/>
      <c r="W20" s="114"/>
      <c r="X20" s="114"/>
      <c r="Y20" s="114"/>
      <c r="Z20" s="114"/>
      <c r="AA20" s="261"/>
      <c r="AB20" s="259"/>
      <c r="AC20" s="262"/>
      <c r="AD20" s="263"/>
      <c r="AE20" s="263"/>
      <c r="AF20" s="263"/>
      <c r="AG20" s="263"/>
      <c r="AH20" s="479"/>
      <c r="AI20" s="479"/>
      <c r="AJ20" s="479"/>
      <c r="AK20" s="479"/>
    </row>
    <row r="21" spans="1:37" ht="20" hidden="1" x14ac:dyDescent="0.4">
      <c r="A21" s="500"/>
      <c r="B21" s="265" t="s">
        <v>240</v>
      </c>
      <c r="C21" s="496">
        <f>C19/C20</f>
        <v>0.83569494214514317</v>
      </c>
      <c r="D21" s="473"/>
      <c r="E21" s="473"/>
      <c r="F21" s="474"/>
      <c r="G21" s="496">
        <f>G19/G20</f>
        <v>0.68024158757549613</v>
      </c>
      <c r="H21" s="473"/>
      <c r="I21" s="474"/>
      <c r="J21" s="276"/>
      <c r="K21" s="276"/>
      <c r="L21" s="496">
        <f>L19/L20</f>
        <v>0.69038461538461537</v>
      </c>
      <c r="M21" s="473"/>
      <c r="N21" s="474"/>
      <c r="O21" s="277"/>
      <c r="P21" s="266">
        <f t="shared" ref="P21:Z21" si="2">P17/P18</f>
        <v>0.81918589767033612</v>
      </c>
      <c r="Q21" s="496">
        <f>Q19/Q20</f>
        <v>0.84667309546769531</v>
      </c>
      <c r="R21" s="473"/>
      <c r="S21" s="474"/>
      <c r="T21" s="280">
        <f t="shared" si="2"/>
        <v>0.91084736406293132</v>
      </c>
      <c r="U21" s="280">
        <f t="shared" si="2"/>
        <v>0.43640474844544941</v>
      </c>
      <c r="V21" s="280">
        <f t="shared" si="2"/>
        <v>0.59803921568627449</v>
      </c>
      <c r="W21" s="280">
        <f t="shared" si="2"/>
        <v>0.86799999999999999</v>
      </c>
      <c r="X21" s="280">
        <f t="shared" si="2"/>
        <v>0.93040847201210286</v>
      </c>
      <c r="Y21" s="280">
        <f t="shared" si="2"/>
        <v>0.92500000000000004</v>
      </c>
      <c r="Z21" s="280">
        <f t="shared" si="2"/>
        <v>0.56097560975609762</v>
      </c>
      <c r="AA21" s="265"/>
      <c r="AB21" s="266">
        <f>AB17/AB18</f>
        <v>0.76392663043478259</v>
      </c>
      <c r="AC21" s="267">
        <f>AC17/AC18</f>
        <v>0.81077840597835638</v>
      </c>
      <c r="AD21" s="281" t="e">
        <f>AD17/$AG$259</f>
        <v>#DIV/0!</v>
      </c>
      <c r="AE21" s="281" t="e">
        <f>AE17/$AG$259</f>
        <v>#DIV/0!</v>
      </c>
      <c r="AF21" s="281" t="e">
        <f>AF17/$AG$259</f>
        <v>#DIV/0!</v>
      </c>
      <c r="AG21" s="281" t="e">
        <f>AG17/$AG$259</f>
        <v>#DIV/0!</v>
      </c>
      <c r="AH21" s="479"/>
      <c r="AI21" s="479"/>
      <c r="AJ21" s="479"/>
      <c r="AK21" s="479"/>
    </row>
    <row r="22" spans="1:37" ht="17.5" hidden="1" x14ac:dyDescent="0.4">
      <c r="A22" s="500" t="s">
        <v>249</v>
      </c>
      <c r="B22" s="257" t="s">
        <v>238</v>
      </c>
      <c r="C22" s="282">
        <v>8315</v>
      </c>
      <c r="D22" s="282">
        <v>33127</v>
      </c>
      <c r="E22" s="282">
        <v>4324</v>
      </c>
      <c r="F22" s="282">
        <v>15112</v>
      </c>
      <c r="G22" s="282">
        <v>1367</v>
      </c>
      <c r="H22" s="282">
        <v>1419</v>
      </c>
      <c r="I22" s="282">
        <v>1236</v>
      </c>
      <c r="J22" s="282"/>
      <c r="K22" s="282"/>
      <c r="L22" s="282">
        <v>710</v>
      </c>
      <c r="M22" s="282">
        <v>661</v>
      </c>
      <c r="N22" s="282">
        <v>810</v>
      </c>
      <c r="O22" s="282"/>
      <c r="P22" s="259">
        <f>SUM(C22:N22)</f>
        <v>67081</v>
      </c>
      <c r="Q22" s="282">
        <v>1163</v>
      </c>
      <c r="R22" s="282">
        <v>2572</v>
      </c>
      <c r="S22" s="282">
        <v>1483</v>
      </c>
      <c r="T22" s="282">
        <v>3033</v>
      </c>
      <c r="U22" s="282">
        <v>1896</v>
      </c>
      <c r="V22" s="282">
        <v>56</v>
      </c>
      <c r="W22" s="282">
        <v>223</v>
      </c>
      <c r="X22" s="282">
        <v>547</v>
      </c>
      <c r="Y22" s="260">
        <v>151</v>
      </c>
      <c r="Z22" s="260">
        <v>94</v>
      </c>
      <c r="AA22" s="261"/>
      <c r="AB22" s="259">
        <f>SUM(Q22:AA22)</f>
        <v>11218</v>
      </c>
      <c r="AC22" s="262">
        <f>P22+AB22</f>
        <v>78299</v>
      </c>
      <c r="AD22" s="263">
        <v>6</v>
      </c>
      <c r="AE22" s="263">
        <v>6</v>
      </c>
      <c r="AF22" s="263">
        <v>8</v>
      </c>
      <c r="AG22" s="264">
        <f>SUM(AD22:AF22)</f>
        <v>20</v>
      </c>
      <c r="AH22" s="501">
        <v>2329</v>
      </c>
      <c r="AI22" s="501">
        <v>2669</v>
      </c>
      <c r="AJ22" s="501">
        <v>2427</v>
      </c>
      <c r="AK22" s="501">
        <f>SUM(AH22:AJ26)</f>
        <v>7425</v>
      </c>
    </row>
    <row r="23" spans="1:37" ht="17.5" hidden="1" x14ac:dyDescent="0.4">
      <c r="A23" s="500"/>
      <c r="B23" s="257" t="s">
        <v>239</v>
      </c>
      <c r="C23" s="283">
        <v>9252</v>
      </c>
      <c r="D23" s="283">
        <v>37456</v>
      </c>
      <c r="E23" s="283">
        <v>4874</v>
      </c>
      <c r="F23" s="283">
        <v>21619</v>
      </c>
      <c r="G23" s="283">
        <v>1602</v>
      </c>
      <c r="H23" s="284">
        <v>2770</v>
      </c>
      <c r="I23" s="285">
        <v>1470</v>
      </c>
      <c r="J23" s="285"/>
      <c r="K23" s="285"/>
      <c r="L23" s="285">
        <v>1097</v>
      </c>
      <c r="M23" s="285">
        <v>876</v>
      </c>
      <c r="N23" s="285">
        <v>1147</v>
      </c>
      <c r="O23" s="285"/>
      <c r="P23" s="259">
        <f>SUM(C23:N23)</f>
        <v>82163</v>
      </c>
      <c r="Q23" s="283">
        <v>1293</v>
      </c>
      <c r="R23" s="284">
        <v>3018</v>
      </c>
      <c r="S23" s="283">
        <v>2128</v>
      </c>
      <c r="T23" s="285">
        <v>3623</v>
      </c>
      <c r="U23" s="284">
        <v>3538</v>
      </c>
      <c r="V23" s="284">
        <v>102</v>
      </c>
      <c r="W23" s="285">
        <v>250</v>
      </c>
      <c r="X23" s="285">
        <v>661</v>
      </c>
      <c r="Y23" s="285">
        <v>160</v>
      </c>
      <c r="Z23" s="285">
        <v>164</v>
      </c>
      <c r="AA23" s="261"/>
      <c r="AB23" s="259">
        <f>SUM(Q23:AA23)</f>
        <v>14937</v>
      </c>
      <c r="AC23" s="262">
        <f>P23+AB23</f>
        <v>97100</v>
      </c>
      <c r="AD23" s="263"/>
      <c r="AE23" s="263"/>
      <c r="AF23" s="263"/>
      <c r="AG23" s="263"/>
      <c r="AH23" s="502"/>
      <c r="AI23" s="502"/>
      <c r="AJ23" s="502"/>
      <c r="AK23" s="502"/>
    </row>
    <row r="24" spans="1:37" ht="20" hidden="1" x14ac:dyDescent="0.4">
      <c r="A24" s="500"/>
      <c r="B24" s="272" t="s">
        <v>246</v>
      </c>
      <c r="C24" s="469">
        <f>C22+D22+E22+F22</f>
        <v>60878</v>
      </c>
      <c r="D24" s="470"/>
      <c r="E24" s="470"/>
      <c r="F24" s="471"/>
      <c r="G24" s="497">
        <f>G22+H22+I22</f>
        <v>4022</v>
      </c>
      <c r="H24" s="498"/>
      <c r="I24" s="499"/>
      <c r="J24" s="275"/>
      <c r="K24" s="275"/>
      <c r="L24" s="469">
        <f>L22+M22+N22</f>
        <v>2181</v>
      </c>
      <c r="M24" s="470"/>
      <c r="N24" s="471"/>
      <c r="O24" s="274"/>
      <c r="P24" s="259"/>
      <c r="Q24" s="495">
        <f>Q22+R22+S22</f>
        <v>5218</v>
      </c>
      <c r="R24" s="470"/>
      <c r="S24" s="471"/>
      <c r="T24" s="285"/>
      <c r="U24" s="284"/>
      <c r="V24" s="284"/>
      <c r="W24" s="285"/>
      <c r="X24" s="285"/>
      <c r="Y24" s="285"/>
      <c r="Z24" s="285"/>
      <c r="AA24" s="261"/>
      <c r="AB24" s="259"/>
      <c r="AC24" s="262"/>
      <c r="AD24" s="263"/>
      <c r="AE24" s="263"/>
      <c r="AF24" s="263"/>
      <c r="AG24" s="263"/>
      <c r="AH24" s="502"/>
      <c r="AI24" s="502"/>
      <c r="AJ24" s="502"/>
      <c r="AK24" s="502"/>
    </row>
    <row r="25" spans="1:37" ht="20" hidden="1" x14ac:dyDescent="0.4">
      <c r="A25" s="500"/>
      <c r="B25" s="272" t="s">
        <v>247</v>
      </c>
      <c r="C25" s="469">
        <f>C23+D23+E23+F23</f>
        <v>73201</v>
      </c>
      <c r="D25" s="470"/>
      <c r="E25" s="470"/>
      <c r="F25" s="471"/>
      <c r="G25" s="469">
        <f>G23+H23+I23</f>
        <v>5842</v>
      </c>
      <c r="H25" s="470"/>
      <c r="I25" s="471"/>
      <c r="J25" s="273"/>
      <c r="K25" s="273"/>
      <c r="L25" s="469">
        <f>L23+M23+N23</f>
        <v>3120</v>
      </c>
      <c r="M25" s="470"/>
      <c r="N25" s="471"/>
      <c r="O25" s="274"/>
      <c r="P25" s="259"/>
      <c r="Q25" s="495">
        <f>Q23+R23+S23</f>
        <v>6439</v>
      </c>
      <c r="R25" s="470"/>
      <c r="S25" s="471"/>
      <c r="T25" s="285"/>
      <c r="U25" s="284"/>
      <c r="V25" s="284"/>
      <c r="W25" s="285"/>
      <c r="X25" s="285"/>
      <c r="Y25" s="285"/>
      <c r="Z25" s="285"/>
      <c r="AA25" s="261"/>
      <c r="AB25" s="259"/>
      <c r="AC25" s="262"/>
      <c r="AD25" s="263"/>
      <c r="AE25" s="263"/>
      <c r="AF25" s="263"/>
      <c r="AG25" s="263"/>
      <c r="AH25" s="502"/>
      <c r="AI25" s="502"/>
      <c r="AJ25" s="502"/>
      <c r="AK25" s="502"/>
    </row>
    <row r="26" spans="1:37" ht="17.5" hidden="1" x14ac:dyDescent="0.4">
      <c r="A26" s="500"/>
      <c r="B26" s="265" t="s">
        <v>240</v>
      </c>
      <c r="C26" s="496">
        <f>C24/C25</f>
        <v>0.83165530525539266</v>
      </c>
      <c r="D26" s="473"/>
      <c r="E26" s="473"/>
      <c r="F26" s="474"/>
      <c r="G26" s="496">
        <f>G24/G25</f>
        <v>0.6884628551865799</v>
      </c>
      <c r="H26" s="473"/>
      <c r="I26" s="474"/>
      <c r="J26" s="276"/>
      <c r="K26" s="276"/>
      <c r="L26" s="496">
        <f>L24/L25</f>
        <v>0.6990384615384615</v>
      </c>
      <c r="M26" s="473"/>
      <c r="N26" s="474"/>
      <c r="O26" s="277"/>
      <c r="P26" s="266">
        <f t="shared" ref="P26:Z26" si="3">P22/P23</f>
        <v>0.81643805605929676</v>
      </c>
      <c r="Q26" s="496">
        <f>Q24/Q25</f>
        <v>0.81037428172076409</v>
      </c>
      <c r="R26" s="473"/>
      <c r="S26" s="474"/>
      <c r="T26" s="265">
        <f t="shared" si="3"/>
        <v>0.83715153187965774</v>
      </c>
      <c r="U26" s="265">
        <f t="shared" si="3"/>
        <v>0.53589598643301295</v>
      </c>
      <c r="V26" s="265">
        <f t="shared" si="3"/>
        <v>0.5490196078431373</v>
      </c>
      <c r="W26" s="265">
        <f t="shared" si="3"/>
        <v>0.89200000000000002</v>
      </c>
      <c r="X26" s="265">
        <f t="shared" si="3"/>
        <v>0.82753403933434189</v>
      </c>
      <c r="Y26" s="265">
        <f t="shared" si="3"/>
        <v>0.94374999999999998</v>
      </c>
      <c r="Z26" s="265">
        <f t="shared" si="3"/>
        <v>0.57317073170731703</v>
      </c>
      <c r="AA26" s="265"/>
      <c r="AB26" s="266">
        <f>AB22/AB23</f>
        <v>0.75102095467630714</v>
      </c>
      <c r="AC26" s="267">
        <f>AC22/AC23</f>
        <v>0.80637487126673535</v>
      </c>
      <c r="AD26" s="265" t="e">
        <f>AD22/$AG$258</f>
        <v>#DIV/0!</v>
      </c>
      <c r="AE26" s="265" t="e">
        <f>AE22/$AG$258</f>
        <v>#DIV/0!</v>
      </c>
      <c r="AF26" s="265" t="e">
        <f>AF22/$AG$258</f>
        <v>#DIV/0!</v>
      </c>
      <c r="AG26" s="265" t="e">
        <f>AG22/$AG$258</f>
        <v>#DIV/0!</v>
      </c>
      <c r="AH26" s="502"/>
      <c r="AI26" s="502"/>
      <c r="AJ26" s="502"/>
      <c r="AK26" s="502"/>
    </row>
    <row r="27" spans="1:37" ht="20" hidden="1" x14ac:dyDescent="0.4">
      <c r="A27" s="494" t="s">
        <v>250</v>
      </c>
      <c r="B27" s="257" t="s">
        <v>238</v>
      </c>
      <c r="C27" s="258">
        <v>8427</v>
      </c>
      <c r="D27" s="258">
        <v>32538</v>
      </c>
      <c r="E27" s="258">
        <v>4351</v>
      </c>
      <c r="F27" s="258">
        <v>16557</v>
      </c>
      <c r="G27" s="258">
        <v>1416</v>
      </c>
      <c r="H27" s="258">
        <v>1411</v>
      </c>
      <c r="I27" s="258">
        <v>1245</v>
      </c>
      <c r="J27" s="258"/>
      <c r="K27" s="258"/>
      <c r="L27" s="258">
        <v>709</v>
      </c>
      <c r="M27" s="258">
        <v>654</v>
      </c>
      <c r="N27" s="258">
        <v>811</v>
      </c>
      <c r="O27" s="258"/>
      <c r="P27" s="286">
        <f>SUM(C27:N27)</f>
        <v>68119</v>
      </c>
      <c r="Q27" s="258">
        <v>1097</v>
      </c>
      <c r="R27" s="258">
        <v>2894</v>
      </c>
      <c r="S27" s="258">
        <v>1618</v>
      </c>
      <c r="T27" s="258">
        <v>2722</v>
      </c>
      <c r="U27" s="258">
        <v>1877</v>
      </c>
      <c r="V27" s="258">
        <v>20</v>
      </c>
      <c r="W27" s="258">
        <v>222</v>
      </c>
      <c r="X27" s="258">
        <v>552</v>
      </c>
      <c r="Y27" s="67">
        <v>152</v>
      </c>
      <c r="Z27" s="67">
        <v>94</v>
      </c>
      <c r="AA27" s="261"/>
      <c r="AB27" s="286">
        <f>SUM(Q27:AA27)</f>
        <v>11248</v>
      </c>
      <c r="AC27" s="287">
        <f>P27+AB27</f>
        <v>79367</v>
      </c>
      <c r="AD27" s="278">
        <v>7</v>
      </c>
      <c r="AE27" s="278">
        <v>5</v>
      </c>
      <c r="AF27" s="278">
        <v>8</v>
      </c>
      <c r="AG27" s="279">
        <f>SUM(AD27:AF27)</f>
        <v>20</v>
      </c>
      <c r="AH27" s="478">
        <v>2210</v>
      </c>
      <c r="AI27" s="478">
        <v>1037</v>
      </c>
      <c r="AJ27" s="478">
        <v>2807</v>
      </c>
      <c r="AK27" s="478">
        <f>SUM(AH27:AJ31)</f>
        <v>6054</v>
      </c>
    </row>
    <row r="28" spans="1:37" ht="20" hidden="1" x14ac:dyDescent="0.4">
      <c r="A28" s="494"/>
      <c r="B28" s="257" t="s">
        <v>239</v>
      </c>
      <c r="C28" s="288">
        <v>9252</v>
      </c>
      <c r="D28" s="288">
        <v>37456</v>
      </c>
      <c r="E28" s="288">
        <v>4874</v>
      </c>
      <c r="F28" s="288">
        <v>21619</v>
      </c>
      <c r="G28" s="288">
        <v>1602</v>
      </c>
      <c r="H28" s="56">
        <v>2770</v>
      </c>
      <c r="I28" s="114">
        <v>1470</v>
      </c>
      <c r="J28" s="114"/>
      <c r="K28" s="114"/>
      <c r="L28" s="114">
        <v>1097</v>
      </c>
      <c r="M28" s="114">
        <v>876</v>
      </c>
      <c r="N28" s="114">
        <v>1147</v>
      </c>
      <c r="O28" s="114"/>
      <c r="P28" s="286">
        <f>SUM(C28:N28)</f>
        <v>82163</v>
      </c>
      <c r="Q28" s="288">
        <v>1293</v>
      </c>
      <c r="R28" s="56">
        <v>3018</v>
      </c>
      <c r="S28" s="288">
        <v>2128</v>
      </c>
      <c r="T28" s="114">
        <v>3623</v>
      </c>
      <c r="U28" s="56">
        <v>3538</v>
      </c>
      <c r="V28" s="56">
        <v>102</v>
      </c>
      <c r="W28" s="114">
        <v>250</v>
      </c>
      <c r="X28" s="289">
        <v>852</v>
      </c>
      <c r="Y28" s="289">
        <v>192</v>
      </c>
      <c r="Z28" s="114">
        <v>164</v>
      </c>
      <c r="AA28" s="261"/>
      <c r="AB28" s="286">
        <f>SUM(Q28:AA28)</f>
        <v>15160</v>
      </c>
      <c r="AC28" s="287">
        <f>P28+AB28</f>
        <v>97323</v>
      </c>
      <c r="AD28" s="263"/>
      <c r="AE28" s="263"/>
      <c r="AF28" s="263"/>
      <c r="AG28" s="263"/>
      <c r="AH28" s="479"/>
      <c r="AI28" s="479"/>
      <c r="AJ28" s="479"/>
      <c r="AK28" s="479"/>
    </row>
    <row r="29" spans="1:37" ht="20" hidden="1" x14ac:dyDescent="0.4">
      <c r="A29" s="494"/>
      <c r="B29" s="272" t="s">
        <v>246</v>
      </c>
      <c r="C29" s="469">
        <f>C27+D27+E27+F27</f>
        <v>61873</v>
      </c>
      <c r="D29" s="470"/>
      <c r="E29" s="470"/>
      <c r="F29" s="471"/>
      <c r="G29" s="497">
        <f>G27+H27+I27</f>
        <v>4072</v>
      </c>
      <c r="H29" s="498"/>
      <c r="I29" s="499"/>
      <c r="J29" s="275"/>
      <c r="K29" s="275"/>
      <c r="L29" s="469">
        <f>L27+M27+N27</f>
        <v>2174</v>
      </c>
      <c r="M29" s="470"/>
      <c r="N29" s="471"/>
      <c r="O29" s="274"/>
      <c r="P29" s="286"/>
      <c r="Q29" s="495">
        <f>Q27+R27+S27</f>
        <v>5609</v>
      </c>
      <c r="R29" s="470"/>
      <c r="S29" s="471"/>
      <c r="T29" s="114"/>
      <c r="U29" s="56"/>
      <c r="V29" s="56"/>
      <c r="W29" s="114"/>
      <c r="X29" s="289"/>
      <c r="Y29" s="289"/>
      <c r="Z29" s="114"/>
      <c r="AA29" s="261"/>
      <c r="AB29" s="286"/>
      <c r="AC29" s="287"/>
      <c r="AD29" s="263"/>
      <c r="AE29" s="263"/>
      <c r="AF29" s="263"/>
      <c r="AG29" s="263"/>
      <c r="AH29" s="479"/>
      <c r="AI29" s="479"/>
      <c r="AJ29" s="479"/>
      <c r="AK29" s="479"/>
    </row>
    <row r="30" spans="1:37" ht="20" hidden="1" x14ac:dyDescent="0.4">
      <c r="A30" s="494"/>
      <c r="B30" s="272" t="s">
        <v>247</v>
      </c>
      <c r="C30" s="469">
        <f>C28+D28+E28+F28</f>
        <v>73201</v>
      </c>
      <c r="D30" s="470"/>
      <c r="E30" s="470"/>
      <c r="F30" s="471"/>
      <c r="G30" s="469">
        <f>G28+H28+I28</f>
        <v>5842</v>
      </c>
      <c r="H30" s="470"/>
      <c r="I30" s="471"/>
      <c r="J30" s="273"/>
      <c r="K30" s="273"/>
      <c r="L30" s="469">
        <f>L28+M28+N28</f>
        <v>3120</v>
      </c>
      <c r="M30" s="470"/>
      <c r="N30" s="471"/>
      <c r="O30" s="274"/>
      <c r="P30" s="286"/>
      <c r="Q30" s="495">
        <f>Q28+R28+S28</f>
        <v>6439</v>
      </c>
      <c r="R30" s="470"/>
      <c r="S30" s="471"/>
      <c r="T30" s="114"/>
      <c r="U30" s="56"/>
      <c r="V30" s="56"/>
      <c r="W30" s="114"/>
      <c r="X30" s="289"/>
      <c r="Y30" s="289"/>
      <c r="Z30" s="114"/>
      <c r="AA30" s="261"/>
      <c r="AB30" s="286"/>
      <c r="AC30" s="287"/>
      <c r="AD30" s="263"/>
      <c r="AE30" s="263"/>
      <c r="AF30" s="263"/>
      <c r="AG30" s="263"/>
      <c r="AH30" s="479"/>
      <c r="AI30" s="479"/>
      <c r="AJ30" s="479"/>
      <c r="AK30" s="479"/>
    </row>
    <row r="31" spans="1:37" ht="20" hidden="1" x14ac:dyDescent="0.4">
      <c r="A31" s="494"/>
      <c r="B31" s="265" t="s">
        <v>240</v>
      </c>
      <c r="C31" s="496">
        <f>C29/C30</f>
        <v>0.84524801573748998</v>
      </c>
      <c r="D31" s="473"/>
      <c r="E31" s="473"/>
      <c r="F31" s="474"/>
      <c r="G31" s="496">
        <f>G29/G30</f>
        <v>0.69702156795617942</v>
      </c>
      <c r="H31" s="473"/>
      <c r="I31" s="474"/>
      <c r="J31" s="276"/>
      <c r="K31" s="276"/>
      <c r="L31" s="496">
        <f>L29/L30</f>
        <v>0.69679487179487176</v>
      </c>
      <c r="M31" s="473"/>
      <c r="N31" s="474"/>
      <c r="O31" s="277"/>
      <c r="P31" s="290">
        <f t="shared" ref="P31:Z31" si="4">P27/P28</f>
        <v>0.82907147986319873</v>
      </c>
      <c r="Q31" s="496">
        <f>Q29/Q30</f>
        <v>0.87109799658332043</v>
      </c>
      <c r="R31" s="473"/>
      <c r="S31" s="474"/>
      <c r="T31" s="280">
        <f t="shared" si="4"/>
        <v>0.75131106817554516</v>
      </c>
      <c r="U31" s="280">
        <f t="shared" si="4"/>
        <v>0.53052572074618431</v>
      </c>
      <c r="V31" s="280">
        <f t="shared" si="4"/>
        <v>0.19607843137254902</v>
      </c>
      <c r="W31" s="280">
        <f t="shared" si="4"/>
        <v>0.88800000000000001</v>
      </c>
      <c r="X31" s="280">
        <f t="shared" si="4"/>
        <v>0.647887323943662</v>
      </c>
      <c r="Y31" s="280">
        <f t="shared" si="4"/>
        <v>0.79166666666666663</v>
      </c>
      <c r="Z31" s="280">
        <f t="shared" si="4"/>
        <v>0.57317073170731703</v>
      </c>
      <c r="AA31" s="265"/>
      <c r="AB31" s="290">
        <f>AB27/AB28</f>
        <v>0.74195250659630607</v>
      </c>
      <c r="AC31" s="291">
        <f>AC27/AC28</f>
        <v>0.81550096071843248</v>
      </c>
      <c r="AD31" s="281">
        <f>AD27/$AG$257</f>
        <v>0.33333333333333331</v>
      </c>
      <c r="AE31" s="281">
        <f>AE27/$AG$257</f>
        <v>0.23809523809523808</v>
      </c>
      <c r="AF31" s="281">
        <f>AF27/$AG$257</f>
        <v>0.38095238095238093</v>
      </c>
      <c r="AG31" s="281">
        <f>AG27/$AG$257</f>
        <v>0.95238095238095233</v>
      </c>
      <c r="AH31" s="479"/>
      <c r="AI31" s="479"/>
      <c r="AJ31" s="479"/>
      <c r="AK31" s="479"/>
    </row>
    <row r="32" spans="1:37" ht="22.5" hidden="1" x14ac:dyDescent="0.4">
      <c r="A32" s="494" t="s">
        <v>251</v>
      </c>
      <c r="B32" s="292" t="s">
        <v>252</v>
      </c>
      <c r="C32" s="258">
        <v>8251</v>
      </c>
      <c r="D32" s="258">
        <v>32556</v>
      </c>
      <c r="E32" s="258">
        <v>4394</v>
      </c>
      <c r="F32" s="258">
        <v>16138</v>
      </c>
      <c r="G32" s="258">
        <v>1457</v>
      </c>
      <c r="H32" s="258">
        <v>1249</v>
      </c>
      <c r="I32" s="258">
        <v>1231</v>
      </c>
      <c r="J32" s="258"/>
      <c r="K32" s="258"/>
      <c r="L32" s="258">
        <v>704</v>
      </c>
      <c r="M32" s="258">
        <v>649</v>
      </c>
      <c r="N32" s="258">
        <v>811</v>
      </c>
      <c r="O32" s="258"/>
      <c r="P32" s="286">
        <f>SUM(C32:N32)</f>
        <v>67440</v>
      </c>
      <c r="Q32" s="258">
        <v>1147</v>
      </c>
      <c r="R32" s="258">
        <v>2828</v>
      </c>
      <c r="S32" s="258">
        <v>1890</v>
      </c>
      <c r="T32" s="258">
        <v>2510</v>
      </c>
      <c r="U32" s="258">
        <v>1714</v>
      </c>
      <c r="V32" s="258">
        <v>20</v>
      </c>
      <c r="W32" s="258">
        <v>215</v>
      </c>
      <c r="X32" s="258">
        <v>577</v>
      </c>
      <c r="Y32" s="67">
        <v>152</v>
      </c>
      <c r="Z32" s="67">
        <v>94</v>
      </c>
      <c r="AA32" s="261"/>
      <c r="AB32" s="286">
        <f>SUM(Q32:AA32)</f>
        <v>11147</v>
      </c>
      <c r="AC32" s="287">
        <f>P32+AB32</f>
        <v>78587</v>
      </c>
      <c r="AD32" s="278">
        <v>7</v>
      </c>
      <c r="AE32" s="278">
        <v>4</v>
      </c>
      <c r="AF32" s="278">
        <v>9</v>
      </c>
      <c r="AG32" s="279">
        <f>SUM(AD32:AF32)</f>
        <v>20</v>
      </c>
      <c r="AH32" s="478">
        <v>1867</v>
      </c>
      <c r="AI32" s="478">
        <v>2463</v>
      </c>
      <c r="AJ32" s="478">
        <v>1635</v>
      </c>
      <c r="AK32" s="478">
        <f>SUM(AH32:AJ36)</f>
        <v>5965</v>
      </c>
    </row>
    <row r="33" spans="1:37" ht="22.5" hidden="1" x14ac:dyDescent="0.4">
      <c r="A33" s="494"/>
      <c r="B33" s="292" t="s">
        <v>253</v>
      </c>
      <c r="C33" s="288">
        <v>9252</v>
      </c>
      <c r="D33" s="288">
        <v>37456</v>
      </c>
      <c r="E33" s="288">
        <v>4874</v>
      </c>
      <c r="F33" s="288">
        <v>21619</v>
      </c>
      <c r="G33" s="288">
        <v>1602</v>
      </c>
      <c r="H33" s="56">
        <v>2770</v>
      </c>
      <c r="I33" s="114">
        <v>1470</v>
      </c>
      <c r="J33" s="114"/>
      <c r="K33" s="114"/>
      <c r="L33" s="114">
        <v>1097</v>
      </c>
      <c r="M33" s="114">
        <v>876</v>
      </c>
      <c r="N33" s="114">
        <v>1147</v>
      </c>
      <c r="O33" s="114"/>
      <c r="P33" s="286">
        <f>SUM(C33:N33)</f>
        <v>82163</v>
      </c>
      <c r="Q33" s="288">
        <v>1293</v>
      </c>
      <c r="R33" s="56">
        <v>3018</v>
      </c>
      <c r="S33" s="288">
        <v>2073</v>
      </c>
      <c r="T33" s="114">
        <v>3623</v>
      </c>
      <c r="U33" s="56">
        <v>3538</v>
      </c>
      <c r="V33" s="56">
        <v>102</v>
      </c>
      <c r="W33" s="289">
        <v>266</v>
      </c>
      <c r="X33" s="289">
        <v>852</v>
      </c>
      <c r="Y33" s="289">
        <v>192</v>
      </c>
      <c r="Z33" s="114">
        <v>164</v>
      </c>
      <c r="AA33" s="261"/>
      <c r="AB33" s="286">
        <f>SUM(Q33:AA33)</f>
        <v>15121</v>
      </c>
      <c r="AC33" s="287">
        <f>P33+AB33</f>
        <v>97284</v>
      </c>
      <c r="AD33" s="263"/>
      <c r="AE33" s="263"/>
      <c r="AF33" s="263"/>
      <c r="AG33" s="263"/>
      <c r="AH33" s="479"/>
      <c r="AI33" s="479"/>
      <c r="AJ33" s="479"/>
      <c r="AK33" s="479"/>
    </row>
    <row r="34" spans="1:37" ht="20" hidden="1" x14ac:dyDescent="0.4">
      <c r="A34" s="494"/>
      <c r="B34" s="272" t="s">
        <v>246</v>
      </c>
      <c r="C34" s="484">
        <f>C32+D32+E32+F32</f>
        <v>61339</v>
      </c>
      <c r="D34" s="470"/>
      <c r="E34" s="470"/>
      <c r="F34" s="471"/>
      <c r="G34" s="484">
        <f>G32+H32+I32</f>
        <v>3937</v>
      </c>
      <c r="H34" s="470"/>
      <c r="I34" s="471"/>
      <c r="J34" s="273"/>
      <c r="K34" s="273"/>
      <c r="L34" s="469">
        <f>L32+M32+N32</f>
        <v>2164</v>
      </c>
      <c r="M34" s="470"/>
      <c r="N34" s="471"/>
      <c r="O34" s="274"/>
      <c r="P34" s="286"/>
      <c r="Q34" s="484">
        <f>Q32+R32+S32</f>
        <v>5865</v>
      </c>
      <c r="R34" s="470"/>
      <c r="S34" s="471"/>
      <c r="T34" s="114"/>
      <c r="U34" s="56"/>
      <c r="V34" s="56"/>
      <c r="W34" s="289"/>
      <c r="X34" s="289"/>
      <c r="Y34" s="289"/>
      <c r="Z34" s="114"/>
      <c r="AA34" s="261"/>
      <c r="AB34" s="286"/>
      <c r="AC34" s="287"/>
      <c r="AD34" s="263"/>
      <c r="AE34" s="263"/>
      <c r="AF34" s="263"/>
      <c r="AG34" s="263"/>
      <c r="AH34" s="479"/>
      <c r="AI34" s="479"/>
      <c r="AJ34" s="479"/>
      <c r="AK34" s="479"/>
    </row>
    <row r="35" spans="1:37" ht="20" hidden="1" x14ac:dyDescent="0.4">
      <c r="A35" s="494"/>
      <c r="B35" s="272" t="s">
        <v>247</v>
      </c>
      <c r="C35" s="484">
        <f>C33+D33+E33+F33</f>
        <v>73201</v>
      </c>
      <c r="D35" s="470"/>
      <c r="E35" s="470"/>
      <c r="F35" s="471"/>
      <c r="G35" s="484">
        <f>G33+H33+I33</f>
        <v>5842</v>
      </c>
      <c r="H35" s="470"/>
      <c r="I35" s="471"/>
      <c r="J35" s="273"/>
      <c r="K35" s="273"/>
      <c r="L35" s="469">
        <f>L33+M33+N33</f>
        <v>3120</v>
      </c>
      <c r="M35" s="470"/>
      <c r="N35" s="471"/>
      <c r="O35" s="274"/>
      <c r="P35" s="286"/>
      <c r="Q35" s="484">
        <f>Q33+R33+S33</f>
        <v>6384</v>
      </c>
      <c r="R35" s="470"/>
      <c r="S35" s="471"/>
      <c r="T35" s="114"/>
      <c r="U35" s="56"/>
      <c r="V35" s="56"/>
      <c r="W35" s="289"/>
      <c r="X35" s="289"/>
      <c r="Y35" s="289"/>
      <c r="Z35" s="114"/>
      <c r="AA35" s="261"/>
      <c r="AB35" s="286"/>
      <c r="AC35" s="287"/>
      <c r="AD35" s="263"/>
      <c r="AE35" s="263"/>
      <c r="AF35" s="263"/>
      <c r="AG35" s="263"/>
      <c r="AH35" s="479"/>
      <c r="AI35" s="479"/>
      <c r="AJ35" s="479"/>
      <c r="AK35" s="479"/>
    </row>
    <row r="36" spans="1:37" ht="22.5" hidden="1" x14ac:dyDescent="0.4">
      <c r="A36" s="494"/>
      <c r="B36" s="293" t="s">
        <v>254</v>
      </c>
      <c r="C36" s="472">
        <f>C34/C35</f>
        <v>0.83795303342850502</v>
      </c>
      <c r="D36" s="473"/>
      <c r="E36" s="473"/>
      <c r="F36" s="474"/>
      <c r="G36" s="472">
        <f>G34/G35</f>
        <v>0.67391304347826086</v>
      </c>
      <c r="H36" s="473"/>
      <c r="I36" s="474"/>
      <c r="J36" s="276"/>
      <c r="K36" s="276"/>
      <c r="L36" s="472">
        <f>L34/L35</f>
        <v>0.69358974358974357</v>
      </c>
      <c r="M36" s="473"/>
      <c r="N36" s="474"/>
      <c r="O36" s="277"/>
      <c r="P36" s="290">
        <f t="shared" ref="P36:Z36" si="5">P32/P33</f>
        <v>0.82080741939802593</v>
      </c>
      <c r="Q36" s="472">
        <f>Q34/Q35</f>
        <v>0.91870300751879697</v>
      </c>
      <c r="R36" s="473"/>
      <c r="S36" s="474"/>
      <c r="T36" s="280">
        <f t="shared" si="5"/>
        <v>0.69279602539332041</v>
      </c>
      <c r="U36" s="280">
        <f t="shared" si="5"/>
        <v>0.48445449406444319</v>
      </c>
      <c r="V36" s="280">
        <f t="shared" si="5"/>
        <v>0.19607843137254902</v>
      </c>
      <c r="W36" s="280">
        <f t="shared" si="5"/>
        <v>0.80827067669172936</v>
      </c>
      <c r="X36" s="280">
        <f t="shared" si="5"/>
        <v>0.67723004694835676</v>
      </c>
      <c r="Y36" s="280">
        <f t="shared" si="5"/>
        <v>0.79166666666666663</v>
      </c>
      <c r="Z36" s="280">
        <f t="shared" si="5"/>
        <v>0.57317073170731703</v>
      </c>
      <c r="AA36" s="265"/>
      <c r="AB36" s="290">
        <f>AB32/AB33</f>
        <v>0.73718669400171943</v>
      </c>
      <c r="AC36" s="291">
        <f>AC32/AC33</f>
        <v>0.80781012293902388</v>
      </c>
      <c r="AD36" s="281">
        <f>AD32/$AG$256</f>
        <v>7</v>
      </c>
      <c r="AE36" s="281">
        <f>AE32/$AG$256</f>
        <v>4</v>
      </c>
      <c r="AF36" s="281">
        <f>AF32/$AG$256</f>
        <v>9</v>
      </c>
      <c r="AG36" s="281">
        <f>AG32/$AG$256</f>
        <v>20</v>
      </c>
      <c r="AH36" s="479"/>
      <c r="AI36" s="479"/>
      <c r="AJ36" s="479"/>
      <c r="AK36" s="479"/>
    </row>
    <row r="37" spans="1:37" ht="22.5" hidden="1" x14ac:dyDescent="0.4">
      <c r="A37" s="494" t="s">
        <v>255</v>
      </c>
      <c r="B37" s="292" t="s">
        <v>252</v>
      </c>
      <c r="C37" s="258">
        <v>8310</v>
      </c>
      <c r="D37" s="258">
        <v>32795</v>
      </c>
      <c r="E37" s="258">
        <v>4413</v>
      </c>
      <c r="F37" s="258">
        <v>16362</v>
      </c>
      <c r="G37" s="258">
        <v>1472</v>
      </c>
      <c r="H37" s="258">
        <v>1263</v>
      </c>
      <c r="I37" s="258">
        <v>1272</v>
      </c>
      <c r="J37" s="258"/>
      <c r="K37" s="258"/>
      <c r="L37" s="258">
        <v>653</v>
      </c>
      <c r="M37" s="258">
        <v>646</v>
      </c>
      <c r="N37" s="258">
        <v>811</v>
      </c>
      <c r="O37" s="258"/>
      <c r="P37" s="286">
        <f>SUM(C37:N37)</f>
        <v>67997</v>
      </c>
      <c r="Q37" s="258">
        <v>1096</v>
      </c>
      <c r="R37" s="258">
        <v>2934</v>
      </c>
      <c r="S37" s="258">
        <v>1887</v>
      </c>
      <c r="T37" s="258">
        <v>2508</v>
      </c>
      <c r="U37" s="258">
        <v>1724</v>
      </c>
      <c r="V37" s="258">
        <v>64</v>
      </c>
      <c r="W37" s="258">
        <v>217</v>
      </c>
      <c r="X37" s="258">
        <v>578</v>
      </c>
      <c r="Y37" s="67">
        <v>146</v>
      </c>
      <c r="Z37" s="67">
        <v>98</v>
      </c>
      <c r="AA37" s="261"/>
      <c r="AB37" s="286">
        <f>SUM(Q37:AA37)</f>
        <v>11252</v>
      </c>
      <c r="AC37" s="287">
        <f>P37+AB37</f>
        <v>79249</v>
      </c>
      <c r="AD37" s="278">
        <v>8</v>
      </c>
      <c r="AE37" s="278">
        <v>3</v>
      </c>
      <c r="AF37" s="278">
        <v>9</v>
      </c>
      <c r="AG37" s="279">
        <f>SUM(AD37:AF37)</f>
        <v>20</v>
      </c>
      <c r="AH37" s="478">
        <v>2128</v>
      </c>
      <c r="AI37" s="478">
        <v>1747</v>
      </c>
      <c r="AJ37" s="478">
        <v>1822</v>
      </c>
      <c r="AK37" s="478">
        <f>SUM(AH37:AJ41)</f>
        <v>5697</v>
      </c>
    </row>
    <row r="38" spans="1:37" ht="22.5" hidden="1" x14ac:dyDescent="0.4">
      <c r="A38" s="494"/>
      <c r="B38" s="292" t="s">
        <v>253</v>
      </c>
      <c r="C38" s="288">
        <v>9252</v>
      </c>
      <c r="D38" s="288">
        <v>37456</v>
      </c>
      <c r="E38" s="294">
        <v>4675</v>
      </c>
      <c r="F38" s="288">
        <v>21619</v>
      </c>
      <c r="G38" s="288">
        <v>1602</v>
      </c>
      <c r="H38" s="56">
        <v>2770</v>
      </c>
      <c r="I38" s="114">
        <v>1470</v>
      </c>
      <c r="J38" s="114"/>
      <c r="K38" s="114"/>
      <c r="L38" s="114">
        <v>1097</v>
      </c>
      <c r="M38" s="114">
        <v>876</v>
      </c>
      <c r="N38" s="114">
        <v>1147</v>
      </c>
      <c r="O38" s="114"/>
      <c r="P38" s="286">
        <f>SUM(C38:N38)</f>
        <v>81964</v>
      </c>
      <c r="Q38" s="294">
        <v>1233</v>
      </c>
      <c r="R38" s="56">
        <v>3018</v>
      </c>
      <c r="S38" s="294">
        <v>2081</v>
      </c>
      <c r="T38" s="114">
        <v>3623</v>
      </c>
      <c r="U38" s="56">
        <v>3538</v>
      </c>
      <c r="V38" s="56">
        <v>102</v>
      </c>
      <c r="W38" s="289">
        <v>266</v>
      </c>
      <c r="X38" s="289">
        <v>852</v>
      </c>
      <c r="Y38" s="289">
        <v>192</v>
      </c>
      <c r="Z38" s="114">
        <v>164</v>
      </c>
      <c r="AA38" s="261"/>
      <c r="AB38" s="286">
        <f>SUM(Q38:AA38)</f>
        <v>15069</v>
      </c>
      <c r="AC38" s="287">
        <f>P38+AB38</f>
        <v>97033</v>
      </c>
      <c r="AD38" s="263"/>
      <c r="AE38" s="263"/>
      <c r="AF38" s="263"/>
      <c r="AG38" s="263"/>
      <c r="AH38" s="479"/>
      <c r="AI38" s="479"/>
      <c r="AJ38" s="479"/>
      <c r="AK38" s="479"/>
    </row>
    <row r="39" spans="1:37" ht="20" hidden="1" x14ac:dyDescent="0.4">
      <c r="A39" s="494"/>
      <c r="B39" s="272" t="s">
        <v>246</v>
      </c>
      <c r="C39" s="484">
        <f>C37+D37+E37+F37</f>
        <v>61880</v>
      </c>
      <c r="D39" s="470"/>
      <c r="E39" s="470"/>
      <c r="F39" s="471"/>
      <c r="G39" s="484">
        <f>G37+H37+I37</f>
        <v>4007</v>
      </c>
      <c r="H39" s="470"/>
      <c r="I39" s="471"/>
      <c r="J39" s="273"/>
      <c r="K39" s="273"/>
      <c r="L39" s="469">
        <f>L37+M37+N37</f>
        <v>2110</v>
      </c>
      <c r="M39" s="470"/>
      <c r="N39" s="471"/>
      <c r="O39" s="274"/>
      <c r="P39" s="286"/>
      <c r="Q39" s="487">
        <f>Q37+R37+S37</f>
        <v>5917</v>
      </c>
      <c r="R39" s="470"/>
      <c r="S39" s="471"/>
      <c r="T39" s="114"/>
      <c r="U39" s="56"/>
      <c r="V39" s="56"/>
      <c r="W39" s="289"/>
      <c r="X39" s="289"/>
      <c r="Y39" s="289"/>
      <c r="Z39" s="114"/>
      <c r="AA39" s="261"/>
      <c r="AB39" s="286"/>
      <c r="AC39" s="287"/>
      <c r="AD39" s="263"/>
      <c r="AE39" s="263"/>
      <c r="AF39" s="263"/>
      <c r="AG39" s="263"/>
      <c r="AH39" s="479"/>
      <c r="AI39" s="479"/>
      <c r="AJ39" s="479"/>
      <c r="AK39" s="479"/>
    </row>
    <row r="40" spans="1:37" ht="20" hidden="1" x14ac:dyDescent="0.4">
      <c r="A40" s="494"/>
      <c r="B40" s="272" t="s">
        <v>247</v>
      </c>
      <c r="C40" s="484">
        <f>C38+D38+E38+F38</f>
        <v>73002</v>
      </c>
      <c r="D40" s="470"/>
      <c r="E40" s="470"/>
      <c r="F40" s="471"/>
      <c r="G40" s="484">
        <f>G38+H38+I38</f>
        <v>5842</v>
      </c>
      <c r="H40" s="470"/>
      <c r="I40" s="471"/>
      <c r="J40" s="273"/>
      <c r="K40" s="273"/>
      <c r="L40" s="469">
        <f>L38+M38+N38</f>
        <v>3120</v>
      </c>
      <c r="M40" s="470"/>
      <c r="N40" s="471"/>
      <c r="O40" s="274"/>
      <c r="P40" s="286"/>
      <c r="Q40" s="487">
        <f>Q38+R38+S38</f>
        <v>6332</v>
      </c>
      <c r="R40" s="470"/>
      <c r="S40" s="471"/>
      <c r="T40" s="114"/>
      <c r="U40" s="56"/>
      <c r="V40" s="56"/>
      <c r="W40" s="289"/>
      <c r="X40" s="289"/>
      <c r="Y40" s="289"/>
      <c r="Z40" s="114"/>
      <c r="AA40" s="261"/>
      <c r="AB40" s="286"/>
      <c r="AC40" s="287"/>
      <c r="AD40" s="263"/>
      <c r="AE40" s="263"/>
      <c r="AF40" s="263"/>
      <c r="AG40" s="263"/>
      <c r="AH40" s="479"/>
      <c r="AI40" s="479"/>
      <c r="AJ40" s="479"/>
      <c r="AK40" s="479"/>
    </row>
    <row r="41" spans="1:37" ht="22.5" hidden="1" x14ac:dyDescent="0.4">
      <c r="A41" s="494"/>
      <c r="B41" s="293" t="s">
        <v>254</v>
      </c>
      <c r="C41" s="472">
        <f>C39/C40</f>
        <v>0.84764800964357145</v>
      </c>
      <c r="D41" s="473"/>
      <c r="E41" s="473"/>
      <c r="F41" s="474"/>
      <c r="G41" s="472">
        <f>G39/G40</f>
        <v>0.68589524135570012</v>
      </c>
      <c r="H41" s="473"/>
      <c r="I41" s="474"/>
      <c r="J41" s="276"/>
      <c r="K41" s="276"/>
      <c r="L41" s="472">
        <f>L39/L40</f>
        <v>0.67628205128205132</v>
      </c>
      <c r="M41" s="473"/>
      <c r="N41" s="474"/>
      <c r="O41" s="277"/>
      <c r="P41" s="290">
        <f t="shared" ref="P41:Z41" si="6">P37/P38</f>
        <v>0.82959592016007022</v>
      </c>
      <c r="Q41" s="472">
        <f>Q39/Q40</f>
        <v>0.93445988629185095</v>
      </c>
      <c r="R41" s="473"/>
      <c r="S41" s="474"/>
      <c r="T41" s="280">
        <f t="shared" si="6"/>
        <v>0.69224399668782777</v>
      </c>
      <c r="U41" s="280">
        <f t="shared" si="6"/>
        <v>0.48728094968908986</v>
      </c>
      <c r="V41" s="280">
        <f t="shared" si="6"/>
        <v>0.62745098039215685</v>
      </c>
      <c r="W41" s="280">
        <f t="shared" si="6"/>
        <v>0.81578947368421051</v>
      </c>
      <c r="X41" s="280">
        <f t="shared" si="6"/>
        <v>0.67840375586854462</v>
      </c>
      <c r="Y41" s="280">
        <f t="shared" si="6"/>
        <v>0.76041666666666663</v>
      </c>
      <c r="Z41" s="280">
        <f t="shared" si="6"/>
        <v>0.59756097560975607</v>
      </c>
      <c r="AA41" s="265"/>
      <c r="AB41" s="290">
        <f>AB37/AB38</f>
        <v>0.74669852014068616</v>
      </c>
      <c r="AC41" s="291">
        <f>AC37/AC38</f>
        <v>0.81672214607401605</v>
      </c>
      <c r="AD41" s="281" t="e">
        <f>AD37/$AG$255</f>
        <v>#DIV/0!</v>
      </c>
      <c r="AE41" s="281" t="e">
        <f>AE37/$AG$255</f>
        <v>#DIV/0!</v>
      </c>
      <c r="AF41" s="281" t="e">
        <f>AF37/$AG$255</f>
        <v>#DIV/0!</v>
      </c>
      <c r="AG41" s="281" t="e">
        <f>AG37/$AG$255</f>
        <v>#DIV/0!</v>
      </c>
      <c r="AH41" s="479"/>
      <c r="AI41" s="479"/>
      <c r="AJ41" s="479"/>
      <c r="AK41" s="479"/>
    </row>
    <row r="42" spans="1:37" ht="22.5" hidden="1" x14ac:dyDescent="0.4">
      <c r="A42" s="494" t="s">
        <v>256</v>
      </c>
      <c r="B42" s="292" t="s">
        <v>252</v>
      </c>
      <c r="C42" s="258">
        <v>8364</v>
      </c>
      <c r="D42" s="258">
        <v>32972</v>
      </c>
      <c r="E42" s="258">
        <v>4397</v>
      </c>
      <c r="F42" s="258">
        <v>16533</v>
      </c>
      <c r="G42" s="258">
        <v>1475</v>
      </c>
      <c r="H42" s="258">
        <v>1278</v>
      </c>
      <c r="I42" s="258">
        <v>1282</v>
      </c>
      <c r="J42" s="258"/>
      <c r="K42" s="258"/>
      <c r="L42" s="258">
        <v>654</v>
      </c>
      <c r="M42" s="258">
        <v>645</v>
      </c>
      <c r="N42" s="258">
        <v>811</v>
      </c>
      <c r="O42" s="258"/>
      <c r="P42" s="286">
        <f>SUM(C42:N42)</f>
        <v>68411</v>
      </c>
      <c r="Q42" s="258">
        <v>1092</v>
      </c>
      <c r="R42" s="258">
        <v>2957</v>
      </c>
      <c r="S42" s="258">
        <v>1878</v>
      </c>
      <c r="T42" s="258">
        <v>2561</v>
      </c>
      <c r="U42" s="258">
        <v>1693</v>
      </c>
      <c r="V42" s="258">
        <v>64</v>
      </c>
      <c r="W42" s="258">
        <v>230</v>
      </c>
      <c r="X42" s="258">
        <v>597</v>
      </c>
      <c r="Y42" s="67">
        <v>148</v>
      </c>
      <c r="Z42" s="67">
        <v>98</v>
      </c>
      <c r="AA42" s="261"/>
      <c r="AB42" s="286">
        <f>SUM(Q42:AA42)</f>
        <v>11318</v>
      </c>
      <c r="AC42" s="287">
        <f>P42+AB42</f>
        <v>79729</v>
      </c>
      <c r="AD42" s="278">
        <v>9</v>
      </c>
      <c r="AE42" s="278">
        <v>2</v>
      </c>
      <c r="AF42" s="278">
        <v>9</v>
      </c>
      <c r="AG42" s="279">
        <f>SUM(AD42:AF42)</f>
        <v>20</v>
      </c>
      <c r="AH42" s="478">
        <v>2408</v>
      </c>
      <c r="AI42" s="478">
        <v>1700</v>
      </c>
      <c r="AJ42" s="478">
        <v>1490</v>
      </c>
      <c r="AK42" s="478">
        <f>SUM(AH42:AJ46)</f>
        <v>5598</v>
      </c>
    </row>
    <row r="43" spans="1:37" ht="22.5" hidden="1" x14ac:dyDescent="0.4">
      <c r="A43" s="494"/>
      <c r="B43" s="292" t="s">
        <v>253</v>
      </c>
      <c r="C43" s="288">
        <v>9252</v>
      </c>
      <c r="D43" s="288">
        <v>37456</v>
      </c>
      <c r="E43" s="294">
        <v>4675</v>
      </c>
      <c r="F43" s="288">
        <v>21619</v>
      </c>
      <c r="G43" s="288">
        <v>1602</v>
      </c>
      <c r="H43" s="56">
        <v>2770</v>
      </c>
      <c r="I43" s="114">
        <v>1470</v>
      </c>
      <c r="J43" s="114"/>
      <c r="K43" s="114"/>
      <c r="L43" s="114">
        <v>1097</v>
      </c>
      <c r="M43" s="114">
        <v>876</v>
      </c>
      <c r="N43" s="114">
        <v>1147</v>
      </c>
      <c r="O43" s="114"/>
      <c r="P43" s="286">
        <f>SUM(C43:N43)</f>
        <v>81964</v>
      </c>
      <c r="Q43" s="294">
        <v>1233</v>
      </c>
      <c r="R43" s="56">
        <v>3018</v>
      </c>
      <c r="S43" s="294">
        <v>2081</v>
      </c>
      <c r="T43" s="114">
        <v>3623</v>
      </c>
      <c r="U43" s="56">
        <v>3538</v>
      </c>
      <c r="V43" s="56">
        <v>102</v>
      </c>
      <c r="W43" s="289">
        <v>266</v>
      </c>
      <c r="X43" s="289">
        <v>852</v>
      </c>
      <c r="Y43" s="289">
        <v>192</v>
      </c>
      <c r="Z43" s="114">
        <v>164</v>
      </c>
      <c r="AA43" s="261"/>
      <c r="AB43" s="286">
        <f>SUM(Q43:AA43)</f>
        <v>15069</v>
      </c>
      <c r="AC43" s="287">
        <f>P43+AB43</f>
        <v>97033</v>
      </c>
      <c r="AD43" s="263"/>
      <c r="AE43" s="263"/>
      <c r="AF43" s="263"/>
      <c r="AG43" s="263"/>
      <c r="AH43" s="479"/>
      <c r="AI43" s="479"/>
      <c r="AJ43" s="479"/>
      <c r="AK43" s="479"/>
    </row>
    <row r="44" spans="1:37" ht="20" hidden="1" x14ac:dyDescent="0.4">
      <c r="A44" s="494"/>
      <c r="B44" s="272" t="s">
        <v>246</v>
      </c>
      <c r="C44" s="484">
        <f>C42+D42+E42+F42</f>
        <v>62266</v>
      </c>
      <c r="D44" s="470"/>
      <c r="E44" s="470"/>
      <c r="F44" s="471"/>
      <c r="G44" s="484">
        <f>G42+H42+I42</f>
        <v>4035</v>
      </c>
      <c r="H44" s="470"/>
      <c r="I44" s="471"/>
      <c r="J44" s="273"/>
      <c r="K44" s="273"/>
      <c r="L44" s="469">
        <f>L42+M42+N42</f>
        <v>2110</v>
      </c>
      <c r="M44" s="470"/>
      <c r="N44" s="471"/>
      <c r="O44" s="274"/>
      <c r="P44" s="286"/>
      <c r="Q44" s="487">
        <f>Q42+R42+S42</f>
        <v>5927</v>
      </c>
      <c r="R44" s="470"/>
      <c r="S44" s="471"/>
      <c r="T44" s="114"/>
      <c r="U44" s="56"/>
      <c r="V44" s="56"/>
      <c r="W44" s="289"/>
      <c r="X44" s="289"/>
      <c r="Y44" s="289"/>
      <c r="Z44" s="114"/>
      <c r="AA44" s="261"/>
      <c r="AB44" s="286"/>
      <c r="AC44" s="287"/>
      <c r="AD44" s="263"/>
      <c r="AE44" s="263"/>
      <c r="AF44" s="263"/>
      <c r="AG44" s="263"/>
      <c r="AH44" s="479"/>
      <c r="AI44" s="479"/>
      <c r="AJ44" s="479"/>
      <c r="AK44" s="479"/>
    </row>
    <row r="45" spans="1:37" ht="20" hidden="1" x14ac:dyDescent="0.4">
      <c r="A45" s="494"/>
      <c r="B45" s="272" t="s">
        <v>247</v>
      </c>
      <c r="C45" s="484">
        <f>C43+D43+E43+F43</f>
        <v>73002</v>
      </c>
      <c r="D45" s="470"/>
      <c r="E45" s="470"/>
      <c r="F45" s="471"/>
      <c r="G45" s="484">
        <f>G43+H43+I43</f>
        <v>5842</v>
      </c>
      <c r="H45" s="470"/>
      <c r="I45" s="471"/>
      <c r="J45" s="273"/>
      <c r="K45" s="273"/>
      <c r="L45" s="469">
        <f>L43+M43+N43</f>
        <v>3120</v>
      </c>
      <c r="M45" s="470"/>
      <c r="N45" s="471"/>
      <c r="O45" s="274"/>
      <c r="P45" s="290">
        <f t="shared" ref="P45:Z45" si="7">P42/P43</f>
        <v>0.83464691815919179</v>
      </c>
      <c r="Q45" s="487">
        <f>Q43+R43+S43</f>
        <v>6332</v>
      </c>
      <c r="R45" s="470"/>
      <c r="S45" s="471"/>
      <c r="T45" s="280">
        <f t="shared" si="7"/>
        <v>0.70687275738338395</v>
      </c>
      <c r="U45" s="280">
        <f t="shared" si="7"/>
        <v>0.47851893725268513</v>
      </c>
      <c r="V45" s="280">
        <f t="shared" si="7"/>
        <v>0.62745098039215685</v>
      </c>
      <c r="W45" s="280">
        <f t="shared" si="7"/>
        <v>0.86466165413533835</v>
      </c>
      <c r="X45" s="280">
        <f t="shared" si="7"/>
        <v>0.70070422535211263</v>
      </c>
      <c r="Y45" s="280">
        <f t="shared" si="7"/>
        <v>0.77083333333333337</v>
      </c>
      <c r="Z45" s="280">
        <f t="shared" si="7"/>
        <v>0.59756097560975607</v>
      </c>
      <c r="AA45" s="265"/>
      <c r="AB45" s="290">
        <f>AB42/AB43</f>
        <v>0.75107837281836887</v>
      </c>
      <c r="AC45" s="291">
        <f>AC42/AC43</f>
        <v>0.82166891676027742</v>
      </c>
      <c r="AD45" s="281" t="e">
        <f>AD42/$AG$254</f>
        <v>#DIV/0!</v>
      </c>
      <c r="AE45" s="281" t="e">
        <f>AE42/$AG$254</f>
        <v>#DIV/0!</v>
      </c>
      <c r="AF45" s="281" t="e">
        <f>AF42/$AG$254</f>
        <v>#DIV/0!</v>
      </c>
      <c r="AG45" s="281" t="e">
        <f>AG42/$AG$254</f>
        <v>#DIV/0!</v>
      </c>
      <c r="AH45" s="479"/>
      <c r="AI45" s="479"/>
      <c r="AJ45" s="479"/>
      <c r="AK45" s="479"/>
    </row>
    <row r="46" spans="1:37" ht="27.5" hidden="1" x14ac:dyDescent="0.4">
      <c r="A46" s="494"/>
      <c r="B46" s="293" t="s">
        <v>254</v>
      </c>
      <c r="C46" s="472">
        <f>C44/C45</f>
        <v>0.85293553601271199</v>
      </c>
      <c r="D46" s="473"/>
      <c r="E46" s="473"/>
      <c r="F46" s="474"/>
      <c r="G46" s="472">
        <f>G44/G45</f>
        <v>0.69068812050667583</v>
      </c>
      <c r="H46" s="473"/>
      <c r="I46" s="474"/>
      <c r="J46" s="276"/>
      <c r="K46" s="276"/>
      <c r="L46" s="472">
        <f>L44/L45</f>
        <v>0.67628205128205132</v>
      </c>
      <c r="M46" s="473"/>
      <c r="N46" s="474"/>
      <c r="O46" s="277"/>
      <c r="P46" s="295"/>
      <c r="Q46" s="472">
        <f>Q44/Q45</f>
        <v>0.93603916614024008</v>
      </c>
      <c r="R46" s="473"/>
      <c r="S46" s="474"/>
      <c r="T46" s="296"/>
      <c r="U46" s="296"/>
      <c r="V46" s="296"/>
      <c r="W46" s="296"/>
      <c r="X46" s="296"/>
      <c r="Y46" s="296"/>
      <c r="Z46" s="296"/>
      <c r="AA46" s="268"/>
      <c r="AB46" s="269"/>
      <c r="AC46" s="270"/>
      <c r="AD46" s="265"/>
      <c r="AE46" s="265"/>
      <c r="AF46" s="265"/>
      <c r="AG46" s="271"/>
      <c r="AH46" s="480"/>
      <c r="AI46" s="480"/>
      <c r="AJ46" s="480"/>
      <c r="AK46" s="480"/>
    </row>
    <row r="47" spans="1:37" ht="22.5" hidden="1" x14ac:dyDescent="0.4">
      <c r="A47" s="494" t="s">
        <v>257</v>
      </c>
      <c r="B47" s="292" t="s">
        <v>252</v>
      </c>
      <c r="C47" s="258">
        <v>8418</v>
      </c>
      <c r="D47" s="258">
        <v>32449</v>
      </c>
      <c r="E47" s="258">
        <v>4358</v>
      </c>
      <c r="F47" s="258">
        <v>16955</v>
      </c>
      <c r="G47" s="258">
        <v>1446</v>
      </c>
      <c r="H47" s="258">
        <v>1285</v>
      </c>
      <c r="I47" s="258">
        <v>1270</v>
      </c>
      <c r="J47" s="258"/>
      <c r="K47" s="258"/>
      <c r="L47" s="258">
        <v>660</v>
      </c>
      <c r="M47" s="258">
        <v>637</v>
      </c>
      <c r="N47" s="258">
        <v>812</v>
      </c>
      <c r="O47" s="258"/>
      <c r="P47" s="286">
        <f>SUM(C47:N47)</f>
        <v>68290</v>
      </c>
      <c r="Q47" s="258">
        <v>1097</v>
      </c>
      <c r="R47" s="258">
        <v>2964</v>
      </c>
      <c r="S47" s="258">
        <v>1841</v>
      </c>
      <c r="T47" s="258">
        <v>2555</v>
      </c>
      <c r="U47" s="258">
        <v>1696</v>
      </c>
      <c r="V47" s="258">
        <v>64</v>
      </c>
      <c r="W47" s="258">
        <v>234</v>
      </c>
      <c r="X47" s="258">
        <v>611</v>
      </c>
      <c r="Y47" s="67">
        <v>148</v>
      </c>
      <c r="Z47" s="67">
        <v>98</v>
      </c>
      <c r="AA47" s="261"/>
      <c r="AB47" s="286">
        <f>SUM(Q47:AA47)</f>
        <v>11308</v>
      </c>
      <c r="AC47" s="287">
        <f>P47+AB47</f>
        <v>79598</v>
      </c>
      <c r="AD47" s="278">
        <v>9</v>
      </c>
      <c r="AE47" s="278">
        <v>2</v>
      </c>
      <c r="AF47" s="278">
        <v>9</v>
      </c>
      <c r="AG47" s="279">
        <f>SUM(AD47:AF47)</f>
        <v>20</v>
      </c>
      <c r="AH47" s="478">
        <v>1673</v>
      </c>
      <c r="AI47" s="478">
        <v>1595</v>
      </c>
      <c r="AJ47" s="478">
        <v>1847</v>
      </c>
      <c r="AK47" s="478">
        <f>SUM(AH47:AJ51)</f>
        <v>5115</v>
      </c>
    </row>
    <row r="48" spans="1:37" ht="22.5" hidden="1" x14ac:dyDescent="0.4">
      <c r="A48" s="494"/>
      <c r="B48" s="292" t="s">
        <v>253</v>
      </c>
      <c r="C48" s="288">
        <v>9252</v>
      </c>
      <c r="D48" s="288">
        <v>37456</v>
      </c>
      <c r="E48" s="294">
        <v>4675</v>
      </c>
      <c r="F48" s="288">
        <v>21619</v>
      </c>
      <c r="G48" s="288">
        <v>1602</v>
      </c>
      <c r="H48" s="56">
        <v>2770</v>
      </c>
      <c r="I48" s="114">
        <v>1470</v>
      </c>
      <c r="J48" s="114"/>
      <c r="K48" s="114"/>
      <c r="L48" s="114">
        <v>1097</v>
      </c>
      <c r="M48" s="114">
        <v>876</v>
      </c>
      <c r="N48" s="114">
        <v>1147</v>
      </c>
      <c r="O48" s="114"/>
      <c r="P48" s="286">
        <f>SUM(C48:N48)</f>
        <v>81964</v>
      </c>
      <c r="Q48" s="294">
        <v>1233</v>
      </c>
      <c r="R48" s="56">
        <v>3018</v>
      </c>
      <c r="S48" s="294">
        <v>2081</v>
      </c>
      <c r="T48" s="114">
        <v>3623</v>
      </c>
      <c r="U48" s="56">
        <v>3538</v>
      </c>
      <c r="V48" s="56">
        <v>102</v>
      </c>
      <c r="W48" s="289">
        <v>266</v>
      </c>
      <c r="X48" s="289">
        <v>852</v>
      </c>
      <c r="Y48" s="289">
        <v>192</v>
      </c>
      <c r="Z48" s="114">
        <v>164</v>
      </c>
      <c r="AA48" s="261"/>
      <c r="AB48" s="286">
        <f>SUM(Q48:AA48)</f>
        <v>15069</v>
      </c>
      <c r="AC48" s="287">
        <f>P48+AB48</f>
        <v>97033</v>
      </c>
      <c r="AD48" s="263"/>
      <c r="AE48" s="263"/>
      <c r="AF48" s="263"/>
      <c r="AG48" s="263"/>
      <c r="AH48" s="479"/>
      <c r="AI48" s="479"/>
      <c r="AJ48" s="479"/>
      <c r="AK48" s="479"/>
    </row>
    <row r="49" spans="1:37" ht="20" hidden="1" x14ac:dyDescent="0.4">
      <c r="A49" s="494"/>
      <c r="B49" s="272" t="s">
        <v>246</v>
      </c>
      <c r="C49" s="484">
        <f>C47+D47+E47+F47</f>
        <v>62180</v>
      </c>
      <c r="D49" s="470"/>
      <c r="E49" s="470"/>
      <c r="F49" s="471"/>
      <c r="G49" s="484">
        <f>G47+H47+I47</f>
        <v>4001</v>
      </c>
      <c r="H49" s="470"/>
      <c r="I49" s="471"/>
      <c r="J49" s="273"/>
      <c r="K49" s="273"/>
      <c r="L49" s="469">
        <f>L47+M47+N47</f>
        <v>2109</v>
      </c>
      <c r="M49" s="470"/>
      <c r="N49" s="471"/>
      <c r="O49" s="274"/>
      <c r="P49" s="286"/>
      <c r="Q49" s="487">
        <f>Q47+R47+S47</f>
        <v>5902</v>
      </c>
      <c r="R49" s="470"/>
      <c r="S49" s="471"/>
      <c r="T49" s="114"/>
      <c r="U49" s="56"/>
      <c r="V49" s="56"/>
      <c r="W49" s="289"/>
      <c r="X49" s="289"/>
      <c r="Y49" s="289"/>
      <c r="Z49" s="114"/>
      <c r="AA49" s="261"/>
      <c r="AB49" s="286"/>
      <c r="AC49" s="287"/>
      <c r="AD49" s="263"/>
      <c r="AE49" s="263"/>
      <c r="AF49" s="263"/>
      <c r="AG49" s="263"/>
      <c r="AH49" s="479"/>
      <c r="AI49" s="479"/>
      <c r="AJ49" s="479"/>
      <c r="AK49" s="479"/>
    </row>
    <row r="50" spans="1:37" ht="20" hidden="1" x14ac:dyDescent="0.4">
      <c r="A50" s="494"/>
      <c r="B50" s="272" t="s">
        <v>247</v>
      </c>
      <c r="C50" s="484">
        <f>C48+D48+E48+F48</f>
        <v>73002</v>
      </c>
      <c r="D50" s="470"/>
      <c r="E50" s="470"/>
      <c r="F50" s="471"/>
      <c r="G50" s="484">
        <f>G48+H48+I48</f>
        <v>5842</v>
      </c>
      <c r="H50" s="470"/>
      <c r="I50" s="471"/>
      <c r="J50" s="273"/>
      <c r="K50" s="273"/>
      <c r="L50" s="469">
        <f>L48+M48+N48</f>
        <v>3120</v>
      </c>
      <c r="M50" s="470"/>
      <c r="N50" s="471"/>
      <c r="O50" s="274"/>
      <c r="P50" s="286"/>
      <c r="Q50" s="487">
        <f>Q48+R48+S48</f>
        <v>6332</v>
      </c>
      <c r="R50" s="470"/>
      <c r="S50" s="471"/>
      <c r="T50" s="114"/>
      <c r="U50" s="56"/>
      <c r="V50" s="56"/>
      <c r="W50" s="289"/>
      <c r="X50" s="289"/>
      <c r="Y50" s="289"/>
      <c r="Z50" s="114"/>
      <c r="AA50" s="261"/>
      <c r="AB50" s="286"/>
      <c r="AC50" s="287"/>
      <c r="AD50" s="263"/>
      <c r="AE50" s="263"/>
      <c r="AF50" s="263"/>
      <c r="AG50" s="263"/>
      <c r="AH50" s="479"/>
      <c r="AI50" s="479"/>
      <c r="AJ50" s="479"/>
      <c r="AK50" s="479"/>
    </row>
    <row r="51" spans="1:37" ht="22.5" hidden="1" x14ac:dyDescent="0.4">
      <c r="A51" s="494"/>
      <c r="B51" s="293" t="s">
        <v>254</v>
      </c>
      <c r="C51" s="472">
        <f>C49/C50</f>
        <v>0.85175748609627133</v>
      </c>
      <c r="D51" s="473"/>
      <c r="E51" s="473"/>
      <c r="F51" s="474"/>
      <c r="G51" s="472">
        <f>G49/G50</f>
        <v>0.68486819582334812</v>
      </c>
      <c r="H51" s="473"/>
      <c r="I51" s="474"/>
      <c r="J51" s="276"/>
      <c r="K51" s="276"/>
      <c r="L51" s="472">
        <f>L49/L50</f>
        <v>0.6759615384615385</v>
      </c>
      <c r="M51" s="473"/>
      <c r="N51" s="474"/>
      <c r="O51" s="277"/>
      <c r="P51" s="290">
        <f t="shared" ref="P51:Y51" si="8">P47/P48</f>
        <v>0.8331706602898834</v>
      </c>
      <c r="Q51" s="472">
        <f>Q49/Q50</f>
        <v>0.93209096651926726</v>
      </c>
      <c r="R51" s="473"/>
      <c r="S51" s="474"/>
      <c r="T51" s="280">
        <f t="shared" si="8"/>
        <v>0.7052166712669059</v>
      </c>
      <c r="U51" s="280">
        <f t="shared" si="8"/>
        <v>0.47936687394007915</v>
      </c>
      <c r="V51" s="280">
        <f>V47/V48</f>
        <v>0.62745098039215685</v>
      </c>
      <c r="W51" s="280">
        <f t="shared" si="8"/>
        <v>0.87969924812030076</v>
      </c>
      <c r="X51" s="280">
        <f t="shared" si="8"/>
        <v>0.71713615023474175</v>
      </c>
      <c r="Y51" s="280">
        <f t="shared" si="8"/>
        <v>0.77083333333333337</v>
      </c>
      <c r="Z51" s="280">
        <f>Z47/Z48</f>
        <v>0.59756097560975607</v>
      </c>
      <c r="AA51" s="265"/>
      <c r="AB51" s="290">
        <f>AB47/AB48</f>
        <v>0.75041475877629571</v>
      </c>
      <c r="AC51" s="291">
        <f>AC47/AC48</f>
        <v>0.82031886059381864</v>
      </c>
      <c r="AD51" s="281" t="e">
        <f>AD47/$AG$253</f>
        <v>#DIV/0!</v>
      </c>
      <c r="AE51" s="281" t="e">
        <f>AE47/$AG$253</f>
        <v>#DIV/0!</v>
      </c>
      <c r="AF51" s="281" t="e">
        <f>AF47/$AG$253</f>
        <v>#DIV/0!</v>
      </c>
      <c r="AG51" s="281" t="e">
        <f>AG47/$AG$253</f>
        <v>#DIV/0!</v>
      </c>
      <c r="AH51" s="479"/>
      <c r="AI51" s="479"/>
      <c r="AJ51" s="479"/>
      <c r="AK51" s="479"/>
    </row>
    <row r="52" spans="1:37" ht="22.5" hidden="1" x14ac:dyDescent="0.4">
      <c r="A52" s="494" t="s">
        <v>258</v>
      </c>
      <c r="B52" s="292" t="s">
        <v>252</v>
      </c>
      <c r="C52" s="258">
        <v>8464</v>
      </c>
      <c r="D52" s="258">
        <v>32531</v>
      </c>
      <c r="E52" s="258">
        <v>4411</v>
      </c>
      <c r="F52" s="258">
        <v>17102</v>
      </c>
      <c r="G52" s="258">
        <v>1461</v>
      </c>
      <c r="H52" s="258">
        <v>1319</v>
      </c>
      <c r="I52" s="258">
        <v>1275</v>
      </c>
      <c r="J52" s="258"/>
      <c r="K52" s="258"/>
      <c r="L52" s="258">
        <v>669</v>
      </c>
      <c r="M52" s="258">
        <v>634</v>
      </c>
      <c r="N52" s="258">
        <v>752</v>
      </c>
      <c r="O52" s="258"/>
      <c r="P52" s="286">
        <f>SUM(C52:N52)</f>
        <v>68618</v>
      </c>
      <c r="Q52" s="258">
        <v>1096</v>
      </c>
      <c r="R52" s="258">
        <v>2977</v>
      </c>
      <c r="S52" s="258">
        <v>1831</v>
      </c>
      <c r="T52" s="258">
        <v>2594</v>
      </c>
      <c r="U52" s="258">
        <v>1710</v>
      </c>
      <c r="V52" s="258">
        <v>49</v>
      </c>
      <c r="W52" s="258">
        <v>243</v>
      </c>
      <c r="X52" s="258">
        <v>622</v>
      </c>
      <c r="Y52" s="67">
        <v>148</v>
      </c>
      <c r="Z52" s="67">
        <v>98</v>
      </c>
      <c r="AA52" s="261"/>
      <c r="AB52" s="286">
        <f>SUM(Q52:AA52)</f>
        <v>11368</v>
      </c>
      <c r="AC52" s="287">
        <f>P52+AB52</f>
        <v>79986</v>
      </c>
      <c r="AD52" s="278">
        <v>9</v>
      </c>
      <c r="AE52" s="278">
        <v>2</v>
      </c>
      <c r="AF52" s="278">
        <v>9</v>
      </c>
      <c r="AG52" s="279">
        <f>SUM(AD52:AF52)</f>
        <v>20</v>
      </c>
      <c r="AH52" s="478">
        <v>1951</v>
      </c>
      <c r="AI52" s="478">
        <v>1721</v>
      </c>
      <c r="AJ52" s="478">
        <v>2220</v>
      </c>
      <c r="AK52" s="478">
        <f>SUM(AH52:AJ56)</f>
        <v>5892</v>
      </c>
    </row>
    <row r="53" spans="1:37" ht="22.5" hidden="1" x14ac:dyDescent="0.4">
      <c r="A53" s="494"/>
      <c r="B53" s="292" t="s">
        <v>253</v>
      </c>
      <c r="C53" s="288">
        <v>9252</v>
      </c>
      <c r="D53" s="288">
        <v>37456</v>
      </c>
      <c r="E53" s="294">
        <v>4675</v>
      </c>
      <c r="F53" s="288">
        <v>21619</v>
      </c>
      <c r="G53" s="288">
        <v>1602</v>
      </c>
      <c r="H53" s="56">
        <v>2770</v>
      </c>
      <c r="I53" s="114">
        <v>1470</v>
      </c>
      <c r="J53" s="114"/>
      <c r="K53" s="114"/>
      <c r="L53" s="114">
        <v>1097</v>
      </c>
      <c r="M53" s="114">
        <v>876</v>
      </c>
      <c r="N53" s="114">
        <v>1147</v>
      </c>
      <c r="O53" s="114"/>
      <c r="P53" s="286">
        <f>SUM(C53:N53)</f>
        <v>81964</v>
      </c>
      <c r="Q53" s="294">
        <v>1233</v>
      </c>
      <c r="R53" s="56">
        <v>3018</v>
      </c>
      <c r="S53" s="294">
        <v>2081</v>
      </c>
      <c r="T53" s="114">
        <v>3623</v>
      </c>
      <c r="U53" s="56">
        <v>3538</v>
      </c>
      <c r="V53" s="56">
        <v>102</v>
      </c>
      <c r="W53" s="289">
        <v>266</v>
      </c>
      <c r="X53" s="289">
        <v>852</v>
      </c>
      <c r="Y53" s="289">
        <v>192</v>
      </c>
      <c r="Z53" s="114">
        <v>164</v>
      </c>
      <c r="AA53" s="261"/>
      <c r="AB53" s="286">
        <f>SUM(Q53:AA53)</f>
        <v>15069</v>
      </c>
      <c r="AC53" s="287">
        <f>P53+AB53</f>
        <v>97033</v>
      </c>
      <c r="AD53" s="263"/>
      <c r="AE53" s="263"/>
      <c r="AF53" s="263"/>
      <c r="AG53" s="263"/>
      <c r="AH53" s="479"/>
      <c r="AI53" s="479"/>
      <c r="AJ53" s="479"/>
      <c r="AK53" s="479"/>
    </row>
    <row r="54" spans="1:37" ht="20" hidden="1" x14ac:dyDescent="0.4">
      <c r="A54" s="494"/>
      <c r="B54" s="272" t="s">
        <v>246</v>
      </c>
      <c r="C54" s="484">
        <f>C52+D52+E52+F52</f>
        <v>62508</v>
      </c>
      <c r="D54" s="470"/>
      <c r="E54" s="470"/>
      <c r="F54" s="471"/>
      <c r="G54" s="484">
        <f>G52+H52+I52</f>
        <v>4055</v>
      </c>
      <c r="H54" s="470"/>
      <c r="I54" s="471"/>
      <c r="J54" s="273"/>
      <c r="K54" s="273"/>
      <c r="L54" s="469">
        <f>L52+M52+N52</f>
        <v>2055</v>
      </c>
      <c r="M54" s="470"/>
      <c r="N54" s="471"/>
      <c r="O54" s="274"/>
      <c r="P54" s="286"/>
      <c r="Q54" s="487">
        <f>Q52+R52+S52</f>
        <v>5904</v>
      </c>
      <c r="R54" s="470"/>
      <c r="S54" s="471"/>
      <c r="T54" s="114"/>
      <c r="U54" s="56"/>
      <c r="V54" s="56"/>
      <c r="W54" s="289"/>
      <c r="X54" s="289"/>
      <c r="Y54" s="289"/>
      <c r="Z54" s="114"/>
      <c r="AA54" s="261"/>
      <c r="AB54" s="286"/>
      <c r="AC54" s="287"/>
      <c r="AD54" s="263"/>
      <c r="AE54" s="263"/>
      <c r="AF54" s="263"/>
      <c r="AG54" s="263"/>
      <c r="AH54" s="479"/>
      <c r="AI54" s="479"/>
      <c r="AJ54" s="479"/>
      <c r="AK54" s="479"/>
    </row>
    <row r="55" spans="1:37" ht="20" hidden="1" x14ac:dyDescent="0.4">
      <c r="A55" s="494"/>
      <c r="B55" s="272" t="s">
        <v>247</v>
      </c>
      <c r="C55" s="484">
        <f>C53+D53+E53+F53</f>
        <v>73002</v>
      </c>
      <c r="D55" s="470"/>
      <c r="E55" s="470"/>
      <c r="F55" s="471"/>
      <c r="G55" s="484">
        <f>G53+H53+I53</f>
        <v>5842</v>
      </c>
      <c r="H55" s="470"/>
      <c r="I55" s="471"/>
      <c r="J55" s="273"/>
      <c r="K55" s="273"/>
      <c r="L55" s="469">
        <f>L53+M53+N53</f>
        <v>3120</v>
      </c>
      <c r="M55" s="470"/>
      <c r="N55" s="471"/>
      <c r="O55" s="274"/>
      <c r="P55" s="286"/>
      <c r="Q55" s="487">
        <f>Q53+R53+S53</f>
        <v>6332</v>
      </c>
      <c r="R55" s="470"/>
      <c r="S55" s="471"/>
      <c r="T55" s="114"/>
      <c r="U55" s="56"/>
      <c r="V55" s="56"/>
      <c r="W55" s="289"/>
      <c r="X55" s="289"/>
      <c r="Y55" s="289"/>
      <c r="Z55" s="114"/>
      <c r="AA55" s="261"/>
      <c r="AB55" s="286"/>
      <c r="AC55" s="287"/>
      <c r="AD55" s="263"/>
      <c r="AE55" s="263"/>
      <c r="AF55" s="263"/>
      <c r="AG55" s="263"/>
      <c r="AH55" s="479"/>
      <c r="AI55" s="479"/>
      <c r="AJ55" s="479"/>
      <c r="AK55" s="479"/>
    </row>
    <row r="56" spans="1:37" ht="22.5" hidden="1" x14ac:dyDescent="0.4">
      <c r="A56" s="494"/>
      <c r="B56" s="293" t="s">
        <v>254</v>
      </c>
      <c r="C56" s="472">
        <f>C54/C55</f>
        <v>0.85625051368455662</v>
      </c>
      <c r="D56" s="473"/>
      <c r="E56" s="473"/>
      <c r="F56" s="474"/>
      <c r="G56" s="472">
        <f>G54/G55</f>
        <v>0.69411160561451557</v>
      </c>
      <c r="H56" s="473"/>
      <c r="I56" s="474"/>
      <c r="J56" s="276"/>
      <c r="K56" s="276"/>
      <c r="L56" s="472">
        <f>L54/L55</f>
        <v>0.65865384615384615</v>
      </c>
      <c r="M56" s="473"/>
      <c r="N56" s="474"/>
      <c r="O56" s="277"/>
      <c r="P56" s="290">
        <f t="shared" ref="P56:Y56" si="9">P52/P53</f>
        <v>0.83717241715875257</v>
      </c>
      <c r="Q56" s="472">
        <f>Q54/Q55</f>
        <v>0.93240682248894502</v>
      </c>
      <c r="R56" s="473"/>
      <c r="S56" s="474"/>
      <c r="T56" s="280">
        <f t="shared" si="9"/>
        <v>0.71598123102401323</v>
      </c>
      <c r="U56" s="280">
        <f t="shared" si="9"/>
        <v>0.48332391181458451</v>
      </c>
      <c r="V56" s="280">
        <f t="shared" si="9"/>
        <v>0.48039215686274511</v>
      </c>
      <c r="W56" s="280">
        <f t="shared" si="9"/>
        <v>0.9135338345864662</v>
      </c>
      <c r="X56" s="280">
        <f t="shared" si="9"/>
        <v>0.7300469483568075</v>
      </c>
      <c r="Y56" s="280">
        <f t="shared" si="9"/>
        <v>0.77083333333333337</v>
      </c>
      <c r="Z56" s="280">
        <f>Z52/Z53</f>
        <v>0.59756097560975607</v>
      </c>
      <c r="AA56" s="265"/>
      <c r="AB56" s="290">
        <f>AB52/AB53</f>
        <v>0.75439644302873454</v>
      </c>
      <c r="AC56" s="291">
        <f>AC52/AC53</f>
        <v>0.82431750023187988</v>
      </c>
      <c r="AD56" s="281" t="e">
        <f>AD52/$AG$252</f>
        <v>#DIV/0!</v>
      </c>
      <c r="AE56" s="281" t="e">
        <f>AE52/$AG$252</f>
        <v>#DIV/0!</v>
      </c>
      <c r="AF56" s="281" t="e">
        <f>AF52/$AG$252</f>
        <v>#DIV/0!</v>
      </c>
      <c r="AG56" s="281" t="e">
        <f>AG52/$AG$252</f>
        <v>#DIV/0!</v>
      </c>
      <c r="AH56" s="479"/>
      <c r="AI56" s="479"/>
      <c r="AJ56" s="479"/>
      <c r="AK56" s="479"/>
    </row>
    <row r="57" spans="1:37" ht="22.5" hidden="1" x14ac:dyDescent="0.4">
      <c r="A57" s="494" t="s">
        <v>259</v>
      </c>
      <c r="B57" s="292" t="s">
        <v>252</v>
      </c>
      <c r="C57" s="258">
        <v>8455</v>
      </c>
      <c r="D57" s="258">
        <v>32550</v>
      </c>
      <c r="E57" s="258">
        <v>4411</v>
      </c>
      <c r="F57" s="258">
        <v>17064</v>
      </c>
      <c r="G57" s="258">
        <v>1473</v>
      </c>
      <c r="H57" s="258">
        <v>1319</v>
      </c>
      <c r="I57" s="258">
        <v>1288</v>
      </c>
      <c r="J57" s="258"/>
      <c r="K57" s="258"/>
      <c r="L57" s="258">
        <v>679</v>
      </c>
      <c r="M57" s="258">
        <v>634</v>
      </c>
      <c r="N57" s="258">
        <v>114</v>
      </c>
      <c r="O57" s="258">
        <v>129</v>
      </c>
      <c r="P57" s="286">
        <f>SUM(C57:O57)</f>
        <v>68116</v>
      </c>
      <c r="Q57" s="258">
        <v>1070</v>
      </c>
      <c r="R57" s="258">
        <v>3150</v>
      </c>
      <c r="S57" s="258">
        <v>1846</v>
      </c>
      <c r="T57" s="258">
        <v>2591</v>
      </c>
      <c r="U57" s="258">
        <v>1710</v>
      </c>
      <c r="V57" s="258">
        <v>52</v>
      </c>
      <c r="W57" s="258">
        <v>248</v>
      </c>
      <c r="X57" s="258">
        <v>634</v>
      </c>
      <c r="Y57" s="67">
        <v>149</v>
      </c>
      <c r="Z57" s="67">
        <v>98</v>
      </c>
      <c r="AA57" s="261"/>
      <c r="AB57" s="286">
        <f>SUM(Q57:AA57)</f>
        <v>11548</v>
      </c>
      <c r="AC57" s="287">
        <f>P57+AB57</f>
        <v>79664</v>
      </c>
      <c r="AD57" s="278">
        <v>10</v>
      </c>
      <c r="AE57" s="278">
        <v>2</v>
      </c>
      <c r="AF57" s="278">
        <v>9</v>
      </c>
      <c r="AG57" s="279">
        <f>SUM(AD57:AF57)</f>
        <v>21</v>
      </c>
      <c r="AH57" s="478">
        <v>1939</v>
      </c>
      <c r="AI57" s="478">
        <v>1654</v>
      </c>
      <c r="AJ57" s="478">
        <v>2558</v>
      </c>
      <c r="AK57" s="478">
        <f>SUM(AH57:AJ61)</f>
        <v>6151</v>
      </c>
    </row>
    <row r="58" spans="1:37" ht="22.5" hidden="1" x14ac:dyDescent="0.4">
      <c r="A58" s="494"/>
      <c r="B58" s="292" t="s">
        <v>253</v>
      </c>
      <c r="C58" s="288">
        <v>9252</v>
      </c>
      <c r="D58" s="288">
        <v>37456</v>
      </c>
      <c r="E58" s="294">
        <v>4675</v>
      </c>
      <c r="F58" s="288">
        <v>21619</v>
      </c>
      <c r="G58" s="288">
        <v>1602</v>
      </c>
      <c r="H58" s="56">
        <v>2770</v>
      </c>
      <c r="I58" s="114">
        <v>1470</v>
      </c>
      <c r="J58" s="114"/>
      <c r="K58" s="114"/>
      <c r="L58" s="114">
        <v>1097</v>
      </c>
      <c r="M58" s="114">
        <v>876</v>
      </c>
      <c r="N58" s="114">
        <v>1147</v>
      </c>
      <c r="O58" s="114">
        <v>129</v>
      </c>
      <c r="P58" s="286">
        <f>SUM(C58:O58)</f>
        <v>82093</v>
      </c>
      <c r="Q58" s="294">
        <v>1233</v>
      </c>
      <c r="R58" s="56">
        <v>3200</v>
      </c>
      <c r="S58" s="294">
        <v>2081</v>
      </c>
      <c r="T58" s="114">
        <v>3623</v>
      </c>
      <c r="U58" s="56">
        <v>3538</v>
      </c>
      <c r="V58" s="56">
        <v>102</v>
      </c>
      <c r="W58" s="289">
        <v>266</v>
      </c>
      <c r="X58" s="289">
        <v>852</v>
      </c>
      <c r="Y58" s="289">
        <v>192</v>
      </c>
      <c r="Z58" s="114">
        <v>164</v>
      </c>
      <c r="AA58" s="261"/>
      <c r="AB58" s="286">
        <f>SUM(Q58:AA58)</f>
        <v>15251</v>
      </c>
      <c r="AC58" s="287">
        <f>P58+AB58</f>
        <v>97344</v>
      </c>
      <c r="AD58" s="263"/>
      <c r="AE58" s="263"/>
      <c r="AF58" s="263"/>
      <c r="AG58" s="263"/>
      <c r="AH58" s="479"/>
      <c r="AI58" s="479"/>
      <c r="AJ58" s="479"/>
      <c r="AK58" s="479"/>
    </row>
    <row r="59" spans="1:37" ht="20" hidden="1" x14ac:dyDescent="0.4">
      <c r="A59" s="494"/>
      <c r="B59" s="272" t="s">
        <v>246</v>
      </c>
      <c r="C59" s="484">
        <f>C57+D57+E57+F57</f>
        <v>62480</v>
      </c>
      <c r="D59" s="470"/>
      <c r="E59" s="470"/>
      <c r="F59" s="471"/>
      <c r="G59" s="484">
        <f>G57+H57+I57</f>
        <v>4080</v>
      </c>
      <c r="H59" s="470"/>
      <c r="I59" s="471"/>
      <c r="J59" s="273"/>
      <c r="K59" s="273"/>
      <c r="L59" s="469">
        <f>L57+M57+N57</f>
        <v>1427</v>
      </c>
      <c r="M59" s="470"/>
      <c r="N59" s="471"/>
      <c r="O59" s="114"/>
      <c r="P59" s="286"/>
      <c r="Q59" s="487">
        <f>Q57+R57+S57</f>
        <v>6066</v>
      </c>
      <c r="R59" s="470"/>
      <c r="S59" s="471"/>
      <c r="T59" s="114"/>
      <c r="U59" s="56"/>
      <c r="V59" s="56"/>
      <c r="W59" s="289"/>
      <c r="X59" s="289"/>
      <c r="Y59" s="289"/>
      <c r="Z59" s="114"/>
      <c r="AA59" s="261"/>
      <c r="AB59" s="286"/>
      <c r="AC59" s="287"/>
      <c r="AD59" s="263"/>
      <c r="AE59" s="263"/>
      <c r="AF59" s="263"/>
      <c r="AG59" s="263"/>
      <c r="AH59" s="479"/>
      <c r="AI59" s="479"/>
      <c r="AJ59" s="479"/>
      <c r="AK59" s="479"/>
    </row>
    <row r="60" spans="1:37" ht="20" hidden="1" x14ac:dyDescent="0.4">
      <c r="A60" s="494"/>
      <c r="B60" s="272" t="s">
        <v>247</v>
      </c>
      <c r="C60" s="484">
        <f>C58+D58+E58+F58</f>
        <v>73002</v>
      </c>
      <c r="D60" s="470"/>
      <c r="E60" s="470"/>
      <c r="F60" s="471"/>
      <c r="G60" s="484">
        <f>G58+H58+I58</f>
        <v>5842</v>
      </c>
      <c r="H60" s="470"/>
      <c r="I60" s="471"/>
      <c r="J60" s="273"/>
      <c r="K60" s="273"/>
      <c r="L60" s="469">
        <f>L58+M58+N58</f>
        <v>3120</v>
      </c>
      <c r="M60" s="470"/>
      <c r="N60" s="471"/>
      <c r="O60" s="114"/>
      <c r="P60" s="286"/>
      <c r="Q60" s="487">
        <f>Q58+R58+S58</f>
        <v>6514</v>
      </c>
      <c r="R60" s="470"/>
      <c r="S60" s="471"/>
      <c r="T60" s="114"/>
      <c r="U60" s="56"/>
      <c r="V60" s="56"/>
      <c r="W60" s="289"/>
      <c r="X60" s="289"/>
      <c r="Y60" s="289"/>
      <c r="Z60" s="114"/>
      <c r="AA60" s="261"/>
      <c r="AB60" s="286"/>
      <c r="AC60" s="287"/>
      <c r="AD60" s="263"/>
      <c r="AE60" s="263"/>
      <c r="AF60" s="263"/>
      <c r="AG60" s="263"/>
      <c r="AH60" s="479"/>
      <c r="AI60" s="479"/>
      <c r="AJ60" s="479"/>
      <c r="AK60" s="479"/>
    </row>
    <row r="61" spans="1:37" ht="22.5" hidden="1" x14ac:dyDescent="0.4">
      <c r="A61" s="494"/>
      <c r="B61" s="293" t="s">
        <v>254</v>
      </c>
      <c r="C61" s="472">
        <f>C59/C60</f>
        <v>0.85586696254897121</v>
      </c>
      <c r="D61" s="473"/>
      <c r="E61" s="473"/>
      <c r="F61" s="474"/>
      <c r="G61" s="472">
        <f>G59/G60</f>
        <v>0.69839096199931527</v>
      </c>
      <c r="H61" s="473"/>
      <c r="I61" s="474"/>
      <c r="J61" s="276"/>
      <c r="K61" s="276"/>
      <c r="L61" s="472">
        <f>L59/L60</f>
        <v>0.45737179487179486</v>
      </c>
      <c r="M61" s="473"/>
      <c r="N61" s="474"/>
      <c r="O61" s="280">
        <f t="shared" ref="O61:Z61" si="10">O57/O58</f>
        <v>1</v>
      </c>
      <c r="P61" s="290">
        <f t="shared" si="10"/>
        <v>0.82974187811384648</v>
      </c>
      <c r="Q61" s="472">
        <f>Q59/Q60</f>
        <v>0.93122505373042674</v>
      </c>
      <c r="R61" s="473"/>
      <c r="S61" s="474"/>
      <c r="T61" s="280">
        <f t="shared" si="10"/>
        <v>0.71515318796577421</v>
      </c>
      <c r="U61" s="280">
        <f t="shared" si="10"/>
        <v>0.48332391181458451</v>
      </c>
      <c r="V61" s="280">
        <f t="shared" si="10"/>
        <v>0.50980392156862742</v>
      </c>
      <c r="W61" s="280">
        <f t="shared" si="10"/>
        <v>0.93233082706766912</v>
      </c>
      <c r="X61" s="280">
        <f t="shared" si="10"/>
        <v>0.744131455399061</v>
      </c>
      <c r="Y61" s="280">
        <f t="shared" si="10"/>
        <v>0.77604166666666663</v>
      </c>
      <c r="Z61" s="280">
        <f t="shared" si="10"/>
        <v>0.59756097560975607</v>
      </c>
      <c r="AA61" s="265"/>
      <c r="AB61" s="290">
        <f>AB57/AB58</f>
        <v>0.75719624942626718</v>
      </c>
      <c r="AC61" s="291">
        <f>AC57/AC58</f>
        <v>0.81837606837606836</v>
      </c>
      <c r="AD61" s="281" t="e">
        <f>AD57/$AG$295</f>
        <v>#DIV/0!</v>
      </c>
      <c r="AE61" s="281" t="e">
        <f>AE57/$AG$295</f>
        <v>#DIV/0!</v>
      </c>
      <c r="AF61" s="281" t="e">
        <f>AF57/$AG$295</f>
        <v>#DIV/0!</v>
      </c>
      <c r="AG61" s="281" t="e">
        <f>AG57/$AG$295</f>
        <v>#DIV/0!</v>
      </c>
      <c r="AH61" s="479"/>
      <c r="AI61" s="479"/>
      <c r="AJ61" s="479"/>
      <c r="AK61" s="479"/>
    </row>
    <row r="62" spans="1:37" ht="22.5" hidden="1" x14ac:dyDescent="0.4">
      <c r="A62" s="494" t="s">
        <v>260</v>
      </c>
      <c r="B62" s="292" t="s">
        <v>252</v>
      </c>
      <c r="C62" s="258">
        <v>8356</v>
      </c>
      <c r="D62" s="258">
        <v>32630</v>
      </c>
      <c r="E62" s="258">
        <v>4467</v>
      </c>
      <c r="F62" s="258">
        <v>17184</v>
      </c>
      <c r="G62" s="258">
        <v>1504</v>
      </c>
      <c r="H62" s="258">
        <v>1313</v>
      </c>
      <c r="I62" s="258">
        <v>1352</v>
      </c>
      <c r="J62" s="258"/>
      <c r="K62" s="258"/>
      <c r="L62" s="258">
        <v>660</v>
      </c>
      <c r="M62" s="258">
        <v>645</v>
      </c>
      <c r="N62" s="258">
        <v>106</v>
      </c>
      <c r="O62" s="258">
        <v>129</v>
      </c>
      <c r="P62" s="286">
        <f>SUM(C62:O62)</f>
        <v>68346</v>
      </c>
      <c r="Q62" s="258">
        <v>1086</v>
      </c>
      <c r="R62" s="258">
        <v>3110</v>
      </c>
      <c r="S62" s="258">
        <v>1856</v>
      </c>
      <c r="T62" s="258">
        <v>2632</v>
      </c>
      <c r="U62" s="258">
        <v>1705</v>
      </c>
      <c r="V62" s="258">
        <v>52</v>
      </c>
      <c r="W62" s="258">
        <v>250</v>
      </c>
      <c r="X62" s="258">
        <v>589</v>
      </c>
      <c r="Y62" s="67">
        <v>151</v>
      </c>
      <c r="Z62" s="67">
        <v>98</v>
      </c>
      <c r="AA62" s="261"/>
      <c r="AB62" s="286">
        <f>SUM(Q62:AA62)</f>
        <v>11529</v>
      </c>
      <c r="AC62" s="287">
        <f>P62+AB62</f>
        <v>79875</v>
      </c>
      <c r="AD62" s="278">
        <v>10</v>
      </c>
      <c r="AE62" s="278">
        <v>2</v>
      </c>
      <c r="AF62" s="278">
        <v>9</v>
      </c>
      <c r="AG62" s="279">
        <f>SUM(AD62:AF62)</f>
        <v>21</v>
      </c>
      <c r="AH62" s="478">
        <v>1977</v>
      </c>
      <c r="AI62" s="478">
        <v>1969</v>
      </c>
      <c r="AJ62" s="478">
        <v>1093</v>
      </c>
      <c r="AK62" s="478">
        <f>SUM(AH62:AJ66)</f>
        <v>5039</v>
      </c>
    </row>
    <row r="63" spans="1:37" ht="22.5" hidden="1" x14ac:dyDescent="0.4">
      <c r="A63" s="494"/>
      <c r="B63" s="292" t="s">
        <v>253</v>
      </c>
      <c r="C63" s="288">
        <v>9252</v>
      </c>
      <c r="D63" s="288">
        <v>37456</v>
      </c>
      <c r="E63" s="294">
        <v>4675</v>
      </c>
      <c r="F63" s="288">
        <v>21619</v>
      </c>
      <c r="G63" s="288">
        <v>1602</v>
      </c>
      <c r="H63" s="56">
        <v>2770</v>
      </c>
      <c r="I63" s="114">
        <v>1470</v>
      </c>
      <c r="J63" s="114"/>
      <c r="K63" s="114"/>
      <c r="L63" s="114">
        <v>1097</v>
      </c>
      <c r="M63" s="114">
        <v>876</v>
      </c>
      <c r="N63" s="114">
        <v>1147</v>
      </c>
      <c r="O63" s="114">
        <v>129</v>
      </c>
      <c r="P63" s="286">
        <f>SUM(C63:O63)</f>
        <v>82093</v>
      </c>
      <c r="Q63" s="294">
        <v>1233</v>
      </c>
      <c r="R63" s="56">
        <v>3200</v>
      </c>
      <c r="S63" s="294">
        <v>2081</v>
      </c>
      <c r="T63" s="114">
        <v>3623</v>
      </c>
      <c r="U63" s="56">
        <v>3538</v>
      </c>
      <c r="V63" s="56">
        <v>102</v>
      </c>
      <c r="W63" s="289">
        <v>266</v>
      </c>
      <c r="X63" s="289">
        <v>852</v>
      </c>
      <c r="Y63" s="289">
        <v>192</v>
      </c>
      <c r="Z63" s="114">
        <v>164</v>
      </c>
      <c r="AA63" s="261"/>
      <c r="AB63" s="286">
        <f>SUM(Q63:AA63)</f>
        <v>15251</v>
      </c>
      <c r="AC63" s="287">
        <f>P63+AB63</f>
        <v>97344</v>
      </c>
      <c r="AD63" s="263"/>
      <c r="AE63" s="263"/>
      <c r="AF63" s="263"/>
      <c r="AG63" s="263"/>
      <c r="AH63" s="479"/>
      <c r="AI63" s="479"/>
      <c r="AJ63" s="479"/>
      <c r="AK63" s="479"/>
    </row>
    <row r="64" spans="1:37" ht="20" hidden="1" x14ac:dyDescent="0.4">
      <c r="A64" s="494"/>
      <c r="B64" s="272" t="s">
        <v>246</v>
      </c>
      <c r="C64" s="484">
        <f>C62+D62+E62+F62</f>
        <v>62637</v>
      </c>
      <c r="D64" s="470"/>
      <c r="E64" s="470"/>
      <c r="F64" s="471"/>
      <c r="G64" s="484">
        <f>G62+H62+I62</f>
        <v>4169</v>
      </c>
      <c r="H64" s="470"/>
      <c r="I64" s="471"/>
      <c r="J64" s="273"/>
      <c r="K64" s="273"/>
      <c r="L64" s="469"/>
      <c r="M64" s="470"/>
      <c r="N64" s="471"/>
      <c r="O64" s="114"/>
      <c r="P64" s="286"/>
      <c r="Q64" s="487">
        <f>Q62+R62+S62</f>
        <v>6052</v>
      </c>
      <c r="R64" s="470"/>
      <c r="S64" s="471"/>
      <c r="T64" s="114"/>
      <c r="U64" s="56"/>
      <c r="V64" s="56"/>
      <c r="W64" s="289"/>
      <c r="X64" s="289"/>
      <c r="Y64" s="289"/>
      <c r="Z64" s="114"/>
      <c r="AA64" s="261"/>
      <c r="AB64" s="286"/>
      <c r="AC64" s="287"/>
      <c r="AD64" s="263"/>
      <c r="AE64" s="263"/>
      <c r="AF64" s="263"/>
      <c r="AG64" s="263"/>
      <c r="AH64" s="479"/>
      <c r="AI64" s="479"/>
      <c r="AJ64" s="479"/>
      <c r="AK64" s="479"/>
    </row>
    <row r="65" spans="1:37" ht="20" hidden="1" x14ac:dyDescent="0.4">
      <c r="A65" s="494"/>
      <c r="B65" s="272" t="s">
        <v>247</v>
      </c>
      <c r="C65" s="484">
        <f>C63+D63+E63+F63</f>
        <v>73002</v>
      </c>
      <c r="D65" s="470"/>
      <c r="E65" s="470"/>
      <c r="F65" s="471"/>
      <c r="G65" s="484">
        <f>G63+H63+I63</f>
        <v>5842</v>
      </c>
      <c r="H65" s="470"/>
      <c r="I65" s="471"/>
      <c r="J65" s="273"/>
      <c r="K65" s="273"/>
      <c r="L65" s="469"/>
      <c r="M65" s="470"/>
      <c r="N65" s="471"/>
      <c r="O65" s="114"/>
      <c r="P65" s="286"/>
      <c r="Q65" s="487">
        <f>Q63+R63+S63</f>
        <v>6514</v>
      </c>
      <c r="R65" s="470"/>
      <c r="S65" s="471"/>
      <c r="T65" s="114"/>
      <c r="U65" s="56"/>
      <c r="V65" s="56"/>
      <c r="W65" s="289"/>
      <c r="X65" s="289"/>
      <c r="Y65" s="289"/>
      <c r="Z65" s="114"/>
      <c r="AA65" s="261"/>
      <c r="AB65" s="286"/>
      <c r="AC65" s="287"/>
      <c r="AD65" s="263"/>
      <c r="AE65" s="263"/>
      <c r="AF65" s="263"/>
      <c r="AG65" s="263"/>
      <c r="AH65" s="479"/>
      <c r="AI65" s="479"/>
      <c r="AJ65" s="479"/>
      <c r="AK65" s="479"/>
    </row>
    <row r="66" spans="1:37" ht="22.5" hidden="1" x14ac:dyDescent="0.4">
      <c r="A66" s="494"/>
      <c r="B66" s="293" t="s">
        <v>254</v>
      </c>
      <c r="C66" s="472">
        <f>C64/C65</f>
        <v>0.8580175885592175</v>
      </c>
      <c r="D66" s="473"/>
      <c r="E66" s="473"/>
      <c r="F66" s="474"/>
      <c r="G66" s="472">
        <f>G64/G65</f>
        <v>0.71362547072920235</v>
      </c>
      <c r="H66" s="473"/>
      <c r="I66" s="474"/>
      <c r="J66" s="276"/>
      <c r="K66" s="276"/>
      <c r="L66" s="472">
        <f>L62/L63</f>
        <v>0.60164083865086604</v>
      </c>
      <c r="M66" s="473"/>
      <c r="N66" s="474"/>
      <c r="O66" s="280">
        <f t="shared" ref="O66:Z66" si="11">O62/O63</f>
        <v>1</v>
      </c>
      <c r="P66" s="290">
        <f t="shared" si="11"/>
        <v>0.83254357862424322</v>
      </c>
      <c r="Q66" s="472">
        <f>Q64/Q65</f>
        <v>0.92907583665950266</v>
      </c>
      <c r="R66" s="473"/>
      <c r="S66" s="474"/>
      <c r="T66" s="280">
        <f t="shared" si="11"/>
        <v>0.72646977642837429</v>
      </c>
      <c r="U66" s="280">
        <f t="shared" si="11"/>
        <v>0.48191068400226117</v>
      </c>
      <c r="V66" s="280">
        <f t="shared" si="11"/>
        <v>0.50980392156862742</v>
      </c>
      <c r="W66" s="280">
        <f t="shared" si="11"/>
        <v>0.93984962406015038</v>
      </c>
      <c r="X66" s="280">
        <f t="shared" si="11"/>
        <v>0.69131455399061037</v>
      </c>
      <c r="Y66" s="280">
        <f t="shared" si="11"/>
        <v>0.78645833333333337</v>
      </c>
      <c r="Z66" s="280">
        <f t="shared" si="11"/>
        <v>0.59756097560975607</v>
      </c>
      <c r="AA66" s="265"/>
      <c r="AB66" s="290">
        <f>AB62/AB63</f>
        <v>0.7559504294800341</v>
      </c>
      <c r="AC66" s="291">
        <f>AC62/AC63</f>
        <v>0.82054363905325445</v>
      </c>
      <c r="AD66" s="281" t="e">
        <f>AD62/$AG$294</f>
        <v>#DIV/0!</v>
      </c>
      <c r="AE66" s="281" t="e">
        <f>AE62/$AG$294</f>
        <v>#DIV/0!</v>
      </c>
      <c r="AF66" s="281" t="e">
        <f>AF62/$AG$294</f>
        <v>#DIV/0!</v>
      </c>
      <c r="AG66" s="281" t="e">
        <f>AG62/$AG$294</f>
        <v>#DIV/0!</v>
      </c>
      <c r="AH66" s="479"/>
      <c r="AI66" s="479"/>
      <c r="AJ66" s="479"/>
      <c r="AK66" s="479"/>
    </row>
    <row r="67" spans="1:37" ht="22.5" hidden="1" x14ac:dyDescent="0.4">
      <c r="A67" s="481" t="s">
        <v>261</v>
      </c>
      <c r="B67" s="292" t="s">
        <v>252</v>
      </c>
      <c r="C67" s="258">
        <v>8152</v>
      </c>
      <c r="D67" s="258">
        <v>32977</v>
      </c>
      <c r="E67" s="258">
        <v>4447</v>
      </c>
      <c r="F67" s="258">
        <v>17173</v>
      </c>
      <c r="G67" s="258">
        <v>1516</v>
      </c>
      <c r="H67" s="258">
        <v>1315</v>
      </c>
      <c r="I67" s="258">
        <v>1348</v>
      </c>
      <c r="J67" s="258"/>
      <c r="K67" s="258"/>
      <c r="L67" s="258">
        <v>658</v>
      </c>
      <c r="M67" s="258">
        <v>655</v>
      </c>
      <c r="N67" s="258">
        <v>106</v>
      </c>
      <c r="O67" s="258">
        <v>129</v>
      </c>
      <c r="P67" s="286">
        <f>SUM(C67:O67)</f>
        <v>68476</v>
      </c>
      <c r="Q67" s="258">
        <v>1086</v>
      </c>
      <c r="R67" s="258">
        <v>3113</v>
      </c>
      <c r="S67" s="258">
        <v>1880</v>
      </c>
      <c r="T67" s="258">
        <v>2638</v>
      </c>
      <c r="U67" s="258">
        <v>1699</v>
      </c>
      <c r="V67" s="258">
        <v>52</v>
      </c>
      <c r="W67" s="258">
        <v>246</v>
      </c>
      <c r="X67" s="258">
        <v>593</v>
      </c>
      <c r="Y67" s="67">
        <v>151</v>
      </c>
      <c r="Z67" s="67">
        <v>98</v>
      </c>
      <c r="AA67" s="261"/>
      <c r="AB67" s="286">
        <f>SUM(Q67:AA67)</f>
        <v>11556</v>
      </c>
      <c r="AC67" s="287">
        <f>P67+AB67</f>
        <v>80032</v>
      </c>
      <c r="AD67" s="278">
        <v>10</v>
      </c>
      <c r="AE67" s="278">
        <v>2</v>
      </c>
      <c r="AF67" s="278">
        <v>9</v>
      </c>
      <c r="AG67" s="279">
        <f>SUM(AD67:AF67)</f>
        <v>21</v>
      </c>
      <c r="AH67" s="478">
        <v>1728</v>
      </c>
      <c r="AI67" s="478">
        <v>1427</v>
      </c>
      <c r="AJ67" s="478">
        <v>548</v>
      </c>
      <c r="AK67" s="478">
        <f>SUM(AH67:AJ71)</f>
        <v>3703</v>
      </c>
    </row>
    <row r="68" spans="1:37" ht="22.5" hidden="1" x14ac:dyDescent="0.4">
      <c r="A68" s="481"/>
      <c r="B68" s="292" t="s">
        <v>253</v>
      </c>
      <c r="C68" s="288">
        <v>9252</v>
      </c>
      <c r="D68" s="288">
        <v>37456</v>
      </c>
      <c r="E68" s="294">
        <v>4675</v>
      </c>
      <c r="F68" s="288">
        <v>21619</v>
      </c>
      <c r="G68" s="288">
        <v>1602</v>
      </c>
      <c r="H68" s="56">
        <v>2770</v>
      </c>
      <c r="I68" s="114">
        <v>1470</v>
      </c>
      <c r="J68" s="114"/>
      <c r="K68" s="114"/>
      <c r="L68" s="114">
        <v>1097</v>
      </c>
      <c r="M68" s="114">
        <v>876</v>
      </c>
      <c r="N68" s="114">
        <v>1147</v>
      </c>
      <c r="O68" s="114">
        <v>129</v>
      </c>
      <c r="P68" s="286">
        <f>SUM(C68:O68)</f>
        <v>82093</v>
      </c>
      <c r="Q68" s="294">
        <v>1233</v>
      </c>
      <c r="R68" s="56">
        <v>3200</v>
      </c>
      <c r="S68" s="294">
        <v>2081</v>
      </c>
      <c r="T68" s="114">
        <v>3623</v>
      </c>
      <c r="U68" s="56">
        <v>3538</v>
      </c>
      <c r="V68" s="56">
        <v>102</v>
      </c>
      <c r="W68" s="289">
        <v>266</v>
      </c>
      <c r="X68" s="289">
        <v>852</v>
      </c>
      <c r="Y68" s="289">
        <v>192</v>
      </c>
      <c r="Z68" s="114">
        <v>164</v>
      </c>
      <c r="AA68" s="261"/>
      <c r="AB68" s="286">
        <f>SUM(Q68:AA68)</f>
        <v>15251</v>
      </c>
      <c r="AC68" s="287">
        <f>P68+AB68</f>
        <v>97344</v>
      </c>
      <c r="AD68" s="263"/>
      <c r="AE68" s="263"/>
      <c r="AF68" s="263"/>
      <c r="AG68" s="263"/>
      <c r="AH68" s="479"/>
      <c r="AI68" s="479"/>
      <c r="AJ68" s="479"/>
      <c r="AK68" s="479"/>
    </row>
    <row r="69" spans="1:37" ht="20" hidden="1" x14ac:dyDescent="0.4">
      <c r="A69" s="481"/>
      <c r="B69" s="272" t="s">
        <v>246</v>
      </c>
      <c r="C69" s="484">
        <f>C67+D67+E67+F67</f>
        <v>62749</v>
      </c>
      <c r="D69" s="470"/>
      <c r="E69" s="470"/>
      <c r="F69" s="471"/>
      <c r="G69" s="484">
        <f>G67+H67+I67</f>
        <v>4179</v>
      </c>
      <c r="H69" s="470"/>
      <c r="I69" s="471"/>
      <c r="J69" s="273"/>
      <c r="K69" s="273"/>
      <c r="L69" s="469">
        <f>L67+M67+N67</f>
        <v>1419</v>
      </c>
      <c r="M69" s="470"/>
      <c r="N69" s="471"/>
      <c r="O69" s="114"/>
      <c r="P69" s="286"/>
      <c r="Q69" s="487">
        <f>Q67+R67+S67</f>
        <v>6079</v>
      </c>
      <c r="R69" s="470"/>
      <c r="S69" s="471"/>
      <c r="T69" s="114"/>
      <c r="U69" s="56"/>
      <c r="V69" s="56"/>
      <c r="W69" s="289"/>
      <c r="X69" s="289"/>
      <c r="Y69" s="289"/>
      <c r="Z69" s="114"/>
      <c r="AA69" s="261"/>
      <c r="AB69" s="286"/>
      <c r="AC69" s="287"/>
      <c r="AD69" s="263"/>
      <c r="AE69" s="263"/>
      <c r="AF69" s="263"/>
      <c r="AG69" s="263"/>
      <c r="AH69" s="479"/>
      <c r="AI69" s="479"/>
      <c r="AJ69" s="479"/>
      <c r="AK69" s="479"/>
    </row>
    <row r="70" spans="1:37" ht="20" hidden="1" x14ac:dyDescent="0.4">
      <c r="A70" s="481"/>
      <c r="B70" s="272" t="s">
        <v>247</v>
      </c>
      <c r="C70" s="484">
        <f>C68+D68+E68+F68</f>
        <v>73002</v>
      </c>
      <c r="D70" s="470"/>
      <c r="E70" s="470"/>
      <c r="F70" s="471"/>
      <c r="G70" s="484">
        <f>G68+H68+I68</f>
        <v>5842</v>
      </c>
      <c r="H70" s="470"/>
      <c r="I70" s="471"/>
      <c r="J70" s="273"/>
      <c r="K70" s="273"/>
      <c r="L70" s="469">
        <f>L68+M68+N68</f>
        <v>3120</v>
      </c>
      <c r="M70" s="470"/>
      <c r="N70" s="471"/>
      <c r="O70" s="114"/>
      <c r="P70" s="286"/>
      <c r="Q70" s="487">
        <f>Q68+R68+S68</f>
        <v>6514</v>
      </c>
      <c r="R70" s="470"/>
      <c r="S70" s="471"/>
      <c r="T70" s="114"/>
      <c r="U70" s="56"/>
      <c r="V70" s="56"/>
      <c r="W70" s="289"/>
      <c r="X70" s="289"/>
      <c r="Y70" s="289"/>
      <c r="Z70" s="114"/>
      <c r="AA70" s="261"/>
      <c r="AB70" s="286"/>
      <c r="AC70" s="287"/>
      <c r="AD70" s="263"/>
      <c r="AE70" s="263"/>
      <c r="AF70" s="263"/>
      <c r="AG70" s="263"/>
      <c r="AH70" s="479"/>
      <c r="AI70" s="479"/>
      <c r="AJ70" s="479"/>
      <c r="AK70" s="479"/>
    </row>
    <row r="71" spans="1:37" ht="22" hidden="1" x14ac:dyDescent="0.4">
      <c r="A71" s="481"/>
      <c r="B71" s="297" t="s">
        <v>262</v>
      </c>
      <c r="C71" s="472">
        <f>C69/C70</f>
        <v>0.85955179310155883</v>
      </c>
      <c r="D71" s="473"/>
      <c r="E71" s="473"/>
      <c r="F71" s="474"/>
      <c r="G71" s="472">
        <f>G69/G70</f>
        <v>0.71533721328312216</v>
      </c>
      <c r="H71" s="473"/>
      <c r="I71" s="474"/>
      <c r="J71" s="276"/>
      <c r="K71" s="276"/>
      <c r="L71" s="472">
        <f>L69/L70</f>
        <v>0.4548076923076923</v>
      </c>
      <c r="M71" s="475"/>
      <c r="N71" s="476"/>
      <c r="O71" s="280">
        <f t="shared" ref="O71:Z71" si="12">O67/O68</f>
        <v>1</v>
      </c>
      <c r="P71" s="290">
        <f t="shared" si="12"/>
        <v>0.83412714847794578</v>
      </c>
      <c r="Q71" s="472">
        <f>Q69/Q70</f>
        <v>0.9332207552962849</v>
      </c>
      <c r="R71" s="473"/>
      <c r="S71" s="474"/>
      <c r="T71" s="280">
        <f t="shared" si="12"/>
        <v>0.72812586254485234</v>
      </c>
      <c r="U71" s="280">
        <f t="shared" si="12"/>
        <v>0.48021481062747312</v>
      </c>
      <c r="V71" s="280">
        <f t="shared" si="12"/>
        <v>0.50980392156862742</v>
      </c>
      <c r="W71" s="280">
        <f t="shared" si="12"/>
        <v>0.92481203007518797</v>
      </c>
      <c r="X71" s="280">
        <f t="shared" si="12"/>
        <v>0.6960093896713615</v>
      </c>
      <c r="Y71" s="280">
        <f t="shared" si="12"/>
        <v>0.78645833333333337</v>
      </c>
      <c r="Z71" s="280">
        <f t="shared" si="12"/>
        <v>0.59756097560975607</v>
      </c>
      <c r="AA71" s="265"/>
      <c r="AB71" s="290">
        <f>AB67/AB68</f>
        <v>0.75772080519310214</v>
      </c>
      <c r="AC71" s="291">
        <f>AC67/AC68</f>
        <v>0.82215647600262987</v>
      </c>
      <c r="AD71" s="281">
        <f>AD67/$AG$293</f>
        <v>0.47619047619047616</v>
      </c>
      <c r="AE71" s="281">
        <f>AE67/$AG$293</f>
        <v>9.5238095238095233E-2</v>
      </c>
      <c r="AF71" s="281">
        <f>AF67/$AG$293</f>
        <v>0.42857142857142855</v>
      </c>
      <c r="AG71" s="281">
        <f>AG67/$AG$293</f>
        <v>1</v>
      </c>
      <c r="AH71" s="479"/>
      <c r="AI71" s="479"/>
      <c r="AJ71" s="479"/>
      <c r="AK71" s="479"/>
    </row>
    <row r="72" spans="1:37" ht="22.5" hidden="1" x14ac:dyDescent="0.4">
      <c r="A72" s="481" t="s">
        <v>263</v>
      </c>
      <c r="B72" s="292" t="s">
        <v>252</v>
      </c>
      <c r="C72" s="258">
        <v>8265</v>
      </c>
      <c r="D72" s="258">
        <v>32690</v>
      </c>
      <c r="E72" s="258">
        <v>4473</v>
      </c>
      <c r="F72" s="258">
        <v>17341</v>
      </c>
      <c r="G72" s="258">
        <v>1516</v>
      </c>
      <c r="H72" s="258">
        <v>1303</v>
      </c>
      <c r="I72" s="258">
        <v>1370</v>
      </c>
      <c r="J72" s="258"/>
      <c r="K72" s="258"/>
      <c r="L72" s="258">
        <v>667</v>
      </c>
      <c r="M72" s="258">
        <v>673</v>
      </c>
      <c r="N72" s="258">
        <v>106</v>
      </c>
      <c r="O72" s="258">
        <v>128</v>
      </c>
      <c r="P72" s="286">
        <f>SUM(C72:O72)</f>
        <v>68532</v>
      </c>
      <c r="Q72" s="258">
        <v>1095</v>
      </c>
      <c r="R72" s="258">
        <v>3008</v>
      </c>
      <c r="S72" s="258">
        <v>1964</v>
      </c>
      <c r="T72" s="258">
        <v>2685</v>
      </c>
      <c r="U72" s="258">
        <v>1688</v>
      </c>
      <c r="V72" s="258">
        <v>55</v>
      </c>
      <c r="W72" s="258">
        <v>247</v>
      </c>
      <c r="X72" s="258">
        <v>607</v>
      </c>
      <c r="Y72" s="67">
        <v>155</v>
      </c>
      <c r="Z72" s="67">
        <v>98</v>
      </c>
      <c r="AA72" s="261"/>
      <c r="AB72" s="286">
        <f>SUM(Q72:AA72)</f>
        <v>11602</v>
      </c>
      <c r="AC72" s="287">
        <f>P72+AB72</f>
        <v>80134</v>
      </c>
      <c r="AD72" s="278">
        <v>10</v>
      </c>
      <c r="AE72" s="278">
        <v>3</v>
      </c>
      <c r="AF72" s="278">
        <v>8</v>
      </c>
      <c r="AG72" s="279">
        <f>SUM(AD72:AF72)</f>
        <v>21</v>
      </c>
      <c r="AH72" s="478">
        <v>1800</v>
      </c>
      <c r="AI72" s="478">
        <v>1717</v>
      </c>
      <c r="AJ72" s="478">
        <v>921</v>
      </c>
      <c r="AK72" s="478">
        <f>SUM(AH72:AJ76)</f>
        <v>4438</v>
      </c>
    </row>
    <row r="73" spans="1:37" ht="22.5" hidden="1" x14ac:dyDescent="0.4">
      <c r="A73" s="481"/>
      <c r="B73" s="292" t="s">
        <v>253</v>
      </c>
      <c r="C73" s="288">
        <v>9252</v>
      </c>
      <c r="D73" s="288">
        <v>37456</v>
      </c>
      <c r="E73" s="294">
        <v>4675</v>
      </c>
      <c r="F73" s="288">
        <v>21619</v>
      </c>
      <c r="G73" s="288">
        <v>1602</v>
      </c>
      <c r="H73" s="56">
        <v>2770</v>
      </c>
      <c r="I73" s="114">
        <v>1470</v>
      </c>
      <c r="J73" s="114"/>
      <c r="K73" s="114"/>
      <c r="L73" s="114">
        <v>1097</v>
      </c>
      <c r="M73" s="114">
        <v>876</v>
      </c>
      <c r="N73" s="114">
        <v>1147</v>
      </c>
      <c r="O73" s="114">
        <v>129</v>
      </c>
      <c r="P73" s="286">
        <f>SUM(C73:O73)</f>
        <v>82093</v>
      </c>
      <c r="Q73" s="294">
        <v>1233</v>
      </c>
      <c r="R73" s="56">
        <v>3200</v>
      </c>
      <c r="S73" s="294">
        <v>2081</v>
      </c>
      <c r="T73" s="114">
        <v>3623</v>
      </c>
      <c r="U73" s="56">
        <v>3538</v>
      </c>
      <c r="V73" s="56">
        <v>102</v>
      </c>
      <c r="W73" s="289">
        <v>266</v>
      </c>
      <c r="X73" s="289">
        <v>852</v>
      </c>
      <c r="Y73" s="289">
        <v>192</v>
      </c>
      <c r="Z73" s="114">
        <v>164</v>
      </c>
      <c r="AA73" s="261"/>
      <c r="AB73" s="286">
        <f>SUM(Q73:AA73)</f>
        <v>15251</v>
      </c>
      <c r="AC73" s="287">
        <f>P73+AB73</f>
        <v>97344</v>
      </c>
      <c r="AD73" s="263"/>
      <c r="AE73" s="263"/>
      <c r="AF73" s="263"/>
      <c r="AG73" s="263"/>
      <c r="AH73" s="479"/>
      <c r="AI73" s="479"/>
      <c r="AJ73" s="479"/>
      <c r="AK73" s="479"/>
    </row>
    <row r="74" spans="1:37" ht="20" hidden="1" x14ac:dyDescent="0.4">
      <c r="A74" s="481"/>
      <c r="B74" s="272" t="s">
        <v>246</v>
      </c>
      <c r="C74" s="484">
        <f>C72+D72+E72+F72</f>
        <v>62769</v>
      </c>
      <c r="D74" s="470"/>
      <c r="E74" s="470"/>
      <c r="F74" s="471"/>
      <c r="G74" s="484">
        <f>G72+H72+I72</f>
        <v>4189</v>
      </c>
      <c r="H74" s="470"/>
      <c r="I74" s="471"/>
      <c r="J74" s="273"/>
      <c r="K74" s="273"/>
      <c r="L74" s="469">
        <f>L72+M72+N72</f>
        <v>1446</v>
      </c>
      <c r="M74" s="470"/>
      <c r="N74" s="471"/>
      <c r="O74" s="114"/>
      <c r="P74" s="286"/>
      <c r="Q74" s="487"/>
      <c r="R74" s="470"/>
      <c r="S74" s="471"/>
      <c r="T74" s="114"/>
      <c r="U74" s="56"/>
      <c r="V74" s="56"/>
      <c r="W74" s="289"/>
      <c r="X74" s="289"/>
      <c r="Y74" s="289"/>
      <c r="Z74" s="114"/>
      <c r="AA74" s="261"/>
      <c r="AB74" s="286"/>
      <c r="AC74" s="287"/>
      <c r="AD74" s="263"/>
      <c r="AE74" s="263"/>
      <c r="AF74" s="263"/>
      <c r="AG74" s="263"/>
      <c r="AH74" s="479"/>
      <c r="AI74" s="479"/>
      <c r="AJ74" s="479"/>
      <c r="AK74" s="479"/>
    </row>
    <row r="75" spans="1:37" ht="20" hidden="1" x14ac:dyDescent="0.4">
      <c r="A75" s="481"/>
      <c r="B75" s="272" t="s">
        <v>247</v>
      </c>
      <c r="C75" s="484">
        <f>C73+D73+E73+F73</f>
        <v>73002</v>
      </c>
      <c r="D75" s="470"/>
      <c r="E75" s="470"/>
      <c r="F75" s="471"/>
      <c r="G75" s="484">
        <f>G73+H73+I73</f>
        <v>5842</v>
      </c>
      <c r="H75" s="470"/>
      <c r="I75" s="471"/>
      <c r="J75" s="273"/>
      <c r="K75" s="273"/>
      <c r="L75" s="469">
        <f>L73+M73+N73</f>
        <v>3120</v>
      </c>
      <c r="M75" s="470"/>
      <c r="N75" s="471"/>
      <c r="O75" s="114"/>
      <c r="P75" s="286"/>
      <c r="Q75" s="487"/>
      <c r="R75" s="470"/>
      <c r="S75" s="471"/>
      <c r="T75" s="114"/>
      <c r="U75" s="56"/>
      <c r="V75" s="56"/>
      <c r="W75" s="289"/>
      <c r="X75" s="289"/>
      <c r="Y75" s="289"/>
      <c r="Z75" s="114"/>
      <c r="AA75" s="261"/>
      <c r="AB75" s="286"/>
      <c r="AC75" s="287"/>
      <c r="AD75" s="263"/>
      <c r="AE75" s="263"/>
      <c r="AF75" s="263"/>
      <c r="AG75" s="263"/>
      <c r="AH75" s="479"/>
      <c r="AI75" s="479"/>
      <c r="AJ75" s="479"/>
      <c r="AK75" s="479"/>
    </row>
    <row r="76" spans="1:37" ht="22.5" hidden="1" x14ac:dyDescent="0.4">
      <c r="A76" s="481"/>
      <c r="B76" s="293" t="s">
        <v>254</v>
      </c>
      <c r="C76" s="472">
        <f>C74/C75</f>
        <v>0.85982575819840557</v>
      </c>
      <c r="D76" s="473"/>
      <c r="E76" s="473"/>
      <c r="F76" s="474"/>
      <c r="G76" s="472">
        <f>G74/G75</f>
        <v>0.71704895583704209</v>
      </c>
      <c r="H76" s="473"/>
      <c r="I76" s="474"/>
      <c r="J76" s="276"/>
      <c r="K76" s="276"/>
      <c r="L76" s="472">
        <f>L74/L75</f>
        <v>0.46346153846153848</v>
      </c>
      <c r="M76" s="475"/>
      <c r="N76" s="476"/>
      <c r="O76" s="280">
        <f t="shared" ref="O76:Z76" si="13">O72/O73</f>
        <v>0.99224806201550386</v>
      </c>
      <c r="P76" s="290">
        <f t="shared" si="13"/>
        <v>0.83480930164569456</v>
      </c>
      <c r="Q76" s="472">
        <f t="shared" si="13"/>
        <v>0.88807785888077861</v>
      </c>
      <c r="R76" s="473"/>
      <c r="S76" s="474"/>
      <c r="T76" s="280">
        <f t="shared" si="13"/>
        <v>0.74109853712393048</v>
      </c>
      <c r="U76" s="280">
        <f t="shared" si="13"/>
        <v>0.47710570944036179</v>
      </c>
      <c r="V76" s="280">
        <f t="shared" si="13"/>
        <v>0.53921568627450978</v>
      </c>
      <c r="W76" s="280">
        <f t="shared" si="13"/>
        <v>0.9285714285714286</v>
      </c>
      <c r="X76" s="280">
        <f t="shared" si="13"/>
        <v>0.71244131455399062</v>
      </c>
      <c r="Y76" s="280">
        <f t="shared" si="13"/>
        <v>0.80729166666666663</v>
      </c>
      <c r="Z76" s="280">
        <f t="shared" si="13"/>
        <v>0.59756097560975607</v>
      </c>
      <c r="AA76" s="265"/>
      <c r="AB76" s="290">
        <f>AB72/AB73</f>
        <v>0.76073700085240314</v>
      </c>
      <c r="AC76" s="291">
        <f>AC72/AC73</f>
        <v>0.82320430637738329</v>
      </c>
      <c r="AD76" s="281">
        <f>AD72/$AG$292</f>
        <v>10</v>
      </c>
      <c r="AE76" s="281">
        <f>AE72/$AG$292</f>
        <v>3</v>
      </c>
      <c r="AF76" s="281">
        <f>AF72/$AG$292</f>
        <v>8</v>
      </c>
      <c r="AG76" s="281">
        <f>AG72/$AG$292</f>
        <v>21</v>
      </c>
      <c r="AH76" s="479"/>
      <c r="AI76" s="479"/>
      <c r="AJ76" s="479"/>
      <c r="AK76" s="479"/>
    </row>
    <row r="77" spans="1:37" ht="22.5" hidden="1" x14ac:dyDescent="0.4">
      <c r="A77" s="481" t="s">
        <v>264</v>
      </c>
      <c r="B77" s="292" t="s">
        <v>252</v>
      </c>
      <c r="C77" s="258">
        <v>8457</v>
      </c>
      <c r="D77" s="258">
        <v>32868</v>
      </c>
      <c r="E77" s="258">
        <v>4407</v>
      </c>
      <c r="F77" s="258">
        <v>17296</v>
      </c>
      <c r="G77" s="258">
        <v>1538</v>
      </c>
      <c r="H77" s="258">
        <v>1303</v>
      </c>
      <c r="I77" s="258">
        <v>1366</v>
      </c>
      <c r="J77" s="258"/>
      <c r="K77" s="258"/>
      <c r="L77" s="258">
        <v>688</v>
      </c>
      <c r="M77" s="258">
        <v>652</v>
      </c>
      <c r="N77" s="258">
        <v>283</v>
      </c>
      <c r="O77" s="258">
        <v>129</v>
      </c>
      <c r="P77" s="286">
        <f>SUM(C77:O77)</f>
        <v>68987</v>
      </c>
      <c r="Q77" s="258">
        <v>1049</v>
      </c>
      <c r="R77" s="258">
        <v>3049</v>
      </c>
      <c r="S77" s="258">
        <v>1750</v>
      </c>
      <c r="T77" s="258">
        <v>2498</v>
      </c>
      <c r="U77" s="258">
        <v>1772</v>
      </c>
      <c r="V77" s="258">
        <v>55</v>
      </c>
      <c r="W77" s="258">
        <v>247</v>
      </c>
      <c r="X77" s="258">
        <v>610</v>
      </c>
      <c r="Y77" s="67">
        <v>173</v>
      </c>
      <c r="Z77" s="67">
        <v>98</v>
      </c>
      <c r="AA77" s="261"/>
      <c r="AB77" s="286">
        <f>SUM(Q77:AA77)</f>
        <v>11301</v>
      </c>
      <c r="AC77" s="287">
        <f>P77+AB77</f>
        <v>80288</v>
      </c>
      <c r="AD77" s="278">
        <v>10</v>
      </c>
      <c r="AE77" s="278">
        <v>4</v>
      </c>
      <c r="AF77" s="278">
        <v>7</v>
      </c>
      <c r="AG77" s="279">
        <f>SUM(AD77:AF77)</f>
        <v>21</v>
      </c>
      <c r="AH77" s="478">
        <v>2388</v>
      </c>
      <c r="AI77" s="478">
        <v>2422</v>
      </c>
      <c r="AJ77" s="478">
        <v>1566</v>
      </c>
      <c r="AK77" s="478">
        <f>SUM(AH77:AJ82)</f>
        <v>6376</v>
      </c>
    </row>
    <row r="78" spans="1:37" ht="22.5" hidden="1" x14ac:dyDescent="0.4">
      <c r="A78" s="481"/>
      <c r="B78" s="292" t="s">
        <v>265</v>
      </c>
      <c r="C78" s="258">
        <v>84.570000000000007</v>
      </c>
      <c r="D78" s="258">
        <v>657.36</v>
      </c>
      <c r="E78" s="258">
        <v>88.14</v>
      </c>
      <c r="F78" s="258">
        <v>345.92</v>
      </c>
      <c r="G78" s="258">
        <v>0</v>
      </c>
      <c r="H78" s="258">
        <v>0</v>
      </c>
      <c r="I78" s="258">
        <v>0</v>
      </c>
      <c r="J78" s="258"/>
      <c r="K78" s="258"/>
      <c r="L78" s="258">
        <v>13.76</v>
      </c>
      <c r="M78" s="258">
        <v>13.040000000000001</v>
      </c>
      <c r="N78" s="258">
        <v>19.810000000000002</v>
      </c>
      <c r="O78" s="258">
        <v>0</v>
      </c>
      <c r="P78" s="286">
        <f>SUM(C78:O78)</f>
        <v>1222.5999999999999</v>
      </c>
      <c r="Q78" s="258">
        <v>0</v>
      </c>
      <c r="R78" s="258">
        <v>0</v>
      </c>
      <c r="S78" s="258">
        <v>0</v>
      </c>
      <c r="T78" s="258">
        <v>199.84</v>
      </c>
      <c r="U78" s="258">
        <v>35.44</v>
      </c>
      <c r="V78" s="258">
        <v>0</v>
      </c>
      <c r="W78" s="258">
        <v>0</v>
      </c>
      <c r="X78" s="258">
        <v>144</v>
      </c>
      <c r="Y78" s="67">
        <v>0</v>
      </c>
      <c r="Z78" s="67">
        <v>39.200000000000003</v>
      </c>
      <c r="AA78" s="261"/>
      <c r="AB78" s="286">
        <f>SUM(Q78:AA78)</f>
        <v>418.47999999999996</v>
      </c>
      <c r="AC78" s="287">
        <f>P78+AB78</f>
        <v>1641.08</v>
      </c>
      <c r="AD78" s="278"/>
      <c r="AE78" s="278"/>
      <c r="AF78" s="278"/>
      <c r="AG78" s="279"/>
      <c r="AH78" s="479"/>
      <c r="AI78" s="479"/>
      <c r="AJ78" s="479"/>
      <c r="AK78" s="479"/>
    </row>
    <row r="79" spans="1:37" ht="22.5" hidden="1" x14ac:dyDescent="0.4">
      <c r="A79" s="481"/>
      <c r="B79" s="292" t="s">
        <v>253</v>
      </c>
      <c r="C79" s="288">
        <v>9252</v>
      </c>
      <c r="D79" s="288">
        <v>37456</v>
      </c>
      <c r="E79" s="294">
        <v>4675</v>
      </c>
      <c r="F79" s="288">
        <v>21619</v>
      </c>
      <c r="G79" s="288">
        <v>1602</v>
      </c>
      <c r="H79" s="56">
        <v>2770</v>
      </c>
      <c r="I79" s="114">
        <v>1470</v>
      </c>
      <c r="J79" s="114"/>
      <c r="K79" s="114"/>
      <c r="L79" s="114">
        <v>1097</v>
      </c>
      <c r="M79" s="114">
        <v>876</v>
      </c>
      <c r="N79" s="114">
        <v>1147</v>
      </c>
      <c r="O79" s="114">
        <v>129</v>
      </c>
      <c r="P79" s="286">
        <f>SUM(C79:O79)</f>
        <v>82093</v>
      </c>
      <c r="Q79" s="294">
        <v>1233</v>
      </c>
      <c r="R79" s="56">
        <v>3200</v>
      </c>
      <c r="S79" s="294">
        <v>2081</v>
      </c>
      <c r="T79" s="114">
        <v>3623</v>
      </c>
      <c r="U79" s="56">
        <v>3538</v>
      </c>
      <c r="V79" s="56">
        <v>102</v>
      </c>
      <c r="W79" s="289">
        <v>266</v>
      </c>
      <c r="X79" s="289">
        <v>852</v>
      </c>
      <c r="Y79" s="289">
        <v>192</v>
      </c>
      <c r="Z79" s="114">
        <v>164</v>
      </c>
      <c r="AA79" s="261"/>
      <c r="AB79" s="286">
        <f>SUM(Q79:AA79)</f>
        <v>15251</v>
      </c>
      <c r="AC79" s="287">
        <f>P79+AB79</f>
        <v>97344</v>
      </c>
      <c r="AD79" s="263"/>
      <c r="AE79" s="263"/>
      <c r="AF79" s="263"/>
      <c r="AG79" s="263"/>
      <c r="AH79" s="479"/>
      <c r="AI79" s="479"/>
      <c r="AJ79" s="479"/>
      <c r="AK79" s="479"/>
    </row>
    <row r="80" spans="1:37" ht="20" hidden="1" x14ac:dyDescent="0.4">
      <c r="A80" s="481"/>
      <c r="B80" s="272" t="s">
        <v>246</v>
      </c>
      <c r="C80" s="484">
        <f>C77+D77+E77+F77+C78+D78+E78+F78</f>
        <v>64203.99</v>
      </c>
      <c r="D80" s="485"/>
      <c r="E80" s="485"/>
      <c r="F80" s="486"/>
      <c r="G80" s="484">
        <f>G77+H77+I77+G78+H78+I78</f>
        <v>4207</v>
      </c>
      <c r="H80" s="470"/>
      <c r="I80" s="471"/>
      <c r="J80" s="274"/>
      <c r="K80" s="274"/>
      <c r="L80" s="490">
        <f>L77+M77+N77+L78+M78+N78</f>
        <v>1669.61</v>
      </c>
      <c r="M80" s="491"/>
      <c r="N80" s="491"/>
      <c r="O80" s="300"/>
      <c r="P80" s="286"/>
      <c r="Q80" s="487">
        <f>Q77+R77+S77+Q78+R78+S78</f>
        <v>5848</v>
      </c>
      <c r="R80" s="470"/>
      <c r="S80" s="471"/>
      <c r="T80" s="114"/>
      <c r="U80" s="56"/>
      <c r="V80" s="56"/>
      <c r="W80" s="289"/>
      <c r="X80" s="289"/>
      <c r="Y80" s="289"/>
      <c r="Z80" s="114"/>
      <c r="AA80" s="261"/>
      <c r="AB80" s="286"/>
      <c r="AC80" s="287"/>
      <c r="AD80" s="263"/>
      <c r="AE80" s="263"/>
      <c r="AF80" s="263"/>
      <c r="AG80" s="263"/>
      <c r="AH80" s="479"/>
      <c r="AI80" s="479"/>
      <c r="AJ80" s="479"/>
      <c r="AK80" s="479"/>
    </row>
    <row r="81" spans="1:37" ht="20" hidden="1" x14ac:dyDescent="0.4">
      <c r="A81" s="481"/>
      <c r="B81" s="272" t="s">
        <v>247</v>
      </c>
      <c r="C81" s="484">
        <f>C79+D79+E79+F79</f>
        <v>73002</v>
      </c>
      <c r="D81" s="485"/>
      <c r="E81" s="485"/>
      <c r="F81" s="486"/>
      <c r="G81" s="484">
        <f>G79+H79+I79</f>
        <v>5842</v>
      </c>
      <c r="H81" s="470"/>
      <c r="I81" s="471"/>
      <c r="J81" s="274"/>
      <c r="K81" s="274"/>
      <c r="L81" s="490">
        <f>L79+M79+N79</f>
        <v>3120</v>
      </c>
      <c r="M81" s="491"/>
      <c r="N81" s="491"/>
      <c r="O81" s="300"/>
      <c r="P81" s="286"/>
      <c r="Q81" s="487">
        <f>Q79+R79+S79</f>
        <v>6514</v>
      </c>
      <c r="R81" s="470"/>
      <c r="S81" s="471"/>
      <c r="T81" s="114"/>
      <c r="U81" s="56"/>
      <c r="V81" s="56"/>
      <c r="W81" s="289"/>
      <c r="X81" s="289"/>
      <c r="Y81" s="289"/>
      <c r="Z81" s="114"/>
      <c r="AA81" s="261"/>
      <c r="AB81" s="286"/>
      <c r="AC81" s="287"/>
      <c r="AD81" s="263"/>
      <c r="AE81" s="263"/>
      <c r="AF81" s="263"/>
      <c r="AG81" s="263"/>
      <c r="AH81" s="479"/>
      <c r="AI81" s="479"/>
      <c r="AJ81" s="479"/>
      <c r="AK81" s="479"/>
    </row>
    <row r="82" spans="1:37" ht="22.5" hidden="1" x14ac:dyDescent="0.4">
      <c r="A82" s="481"/>
      <c r="B82" s="293" t="s">
        <v>254</v>
      </c>
      <c r="C82" s="472">
        <f>C80/C81</f>
        <v>0.87948261691460505</v>
      </c>
      <c r="D82" s="475"/>
      <c r="E82" s="475"/>
      <c r="F82" s="476"/>
      <c r="G82" s="472">
        <f>G80/G81</f>
        <v>0.72013009243409787</v>
      </c>
      <c r="H82" s="473"/>
      <c r="I82" s="474"/>
      <c r="J82" s="277"/>
      <c r="K82" s="277"/>
      <c r="L82" s="492">
        <f>L80/L81</f>
        <v>0.5351314102564102</v>
      </c>
      <c r="M82" s="493"/>
      <c r="N82" s="493"/>
      <c r="O82" s="301">
        <v>1</v>
      </c>
      <c r="P82" s="290">
        <f t="shared" ref="P82:Z82" si="14">(P77+P78)/P79</f>
        <v>0.85524466154239709</v>
      </c>
      <c r="Q82" s="472">
        <f>Q80/Q81</f>
        <v>0.89775867362603623</v>
      </c>
      <c r="R82" s="473"/>
      <c r="S82" s="474"/>
      <c r="T82" s="280">
        <f t="shared" si="14"/>
        <v>0.74464256141319352</v>
      </c>
      <c r="U82" s="280">
        <f t="shared" si="14"/>
        <v>0.51086489542114188</v>
      </c>
      <c r="V82" s="280">
        <f t="shared" si="14"/>
        <v>0.53921568627450978</v>
      </c>
      <c r="W82" s="280">
        <f t="shared" si="14"/>
        <v>0.9285714285714286</v>
      </c>
      <c r="X82" s="280">
        <f t="shared" si="14"/>
        <v>0.88497652582159625</v>
      </c>
      <c r="Y82" s="280">
        <f t="shared" si="14"/>
        <v>0.90104166666666663</v>
      </c>
      <c r="Z82" s="280">
        <f t="shared" si="14"/>
        <v>0.8365853658536585</v>
      </c>
      <c r="AA82" s="265"/>
      <c r="AB82" s="290">
        <f>(AB77+AB78)/AB79</f>
        <v>0.76844010228837445</v>
      </c>
      <c r="AC82" s="291">
        <f>(AC77+AC78)/AC79</f>
        <v>0.84164488823142669</v>
      </c>
      <c r="AD82" s="281" t="e">
        <f>AD77/$AG$291</f>
        <v>#DIV/0!</v>
      </c>
      <c r="AE82" s="281" t="e">
        <f>AE77/$AG$291</f>
        <v>#DIV/0!</v>
      </c>
      <c r="AF82" s="281" t="e">
        <f>AF77/$AG$291</f>
        <v>#DIV/0!</v>
      </c>
      <c r="AG82" s="281" t="e">
        <f>AG77/$AG$291</f>
        <v>#DIV/0!</v>
      </c>
      <c r="AH82" s="479"/>
      <c r="AI82" s="479"/>
      <c r="AJ82" s="479"/>
      <c r="AK82" s="479"/>
    </row>
    <row r="83" spans="1:37" ht="22.5" hidden="1" x14ac:dyDescent="0.4">
      <c r="A83" s="481" t="s">
        <v>266</v>
      </c>
      <c r="B83" s="292" t="s">
        <v>252</v>
      </c>
      <c r="C83" s="258">
        <v>8338</v>
      </c>
      <c r="D83" s="258">
        <v>33389</v>
      </c>
      <c r="E83" s="258">
        <v>4203</v>
      </c>
      <c r="F83" s="258">
        <v>17666</v>
      </c>
      <c r="G83" s="258">
        <v>1549</v>
      </c>
      <c r="H83" s="258">
        <v>1888</v>
      </c>
      <c r="I83" s="258">
        <v>1397</v>
      </c>
      <c r="J83" s="258"/>
      <c r="K83" s="258"/>
      <c r="L83" s="258">
        <v>47</v>
      </c>
      <c r="M83" s="258">
        <v>667</v>
      </c>
      <c r="N83" s="258">
        <v>530</v>
      </c>
      <c r="O83" s="258">
        <v>129</v>
      </c>
      <c r="P83" s="286">
        <f>SUM(C83:O83)</f>
        <v>69803</v>
      </c>
      <c r="Q83" s="258">
        <v>1048</v>
      </c>
      <c r="R83" s="258">
        <v>3093</v>
      </c>
      <c r="S83" s="258">
        <v>1723</v>
      </c>
      <c r="T83" s="258">
        <v>2576</v>
      </c>
      <c r="U83" s="258">
        <v>1746</v>
      </c>
      <c r="V83" s="258">
        <v>680</v>
      </c>
      <c r="W83" s="258">
        <v>249</v>
      </c>
      <c r="X83" s="258">
        <v>616</v>
      </c>
      <c r="Y83" s="67">
        <v>176</v>
      </c>
      <c r="Z83" s="67">
        <v>100</v>
      </c>
      <c r="AA83" s="261"/>
      <c r="AB83" s="286">
        <f>SUM(Q83:AA83)</f>
        <v>12007</v>
      </c>
      <c r="AC83" s="287">
        <f>P83+AB83</f>
        <v>81810</v>
      </c>
      <c r="AD83" s="278">
        <v>9</v>
      </c>
      <c r="AE83" s="278">
        <v>8</v>
      </c>
      <c r="AF83" s="278">
        <v>4</v>
      </c>
      <c r="AG83" s="279">
        <f>SUM(AD83:AF83)</f>
        <v>21</v>
      </c>
      <c r="AH83" s="478">
        <v>1864</v>
      </c>
      <c r="AI83" s="478">
        <v>310</v>
      </c>
      <c r="AJ83" s="478">
        <v>2603</v>
      </c>
      <c r="AK83" s="478">
        <f>SUM(AH83:AJ88)</f>
        <v>4777</v>
      </c>
    </row>
    <row r="84" spans="1:37" ht="22.5" hidden="1" x14ac:dyDescent="0.4">
      <c r="A84" s="481"/>
      <c r="B84" s="292" t="s">
        <v>265</v>
      </c>
      <c r="C84" s="258">
        <v>83.38</v>
      </c>
      <c r="D84" s="258">
        <v>333.89</v>
      </c>
      <c r="E84" s="258">
        <v>42.03</v>
      </c>
      <c r="F84" s="258">
        <v>176.66</v>
      </c>
      <c r="G84" s="258">
        <v>0</v>
      </c>
      <c r="H84" s="258">
        <v>0</v>
      </c>
      <c r="I84" s="258">
        <v>0</v>
      </c>
      <c r="J84" s="258"/>
      <c r="K84" s="258"/>
      <c r="L84" s="258">
        <v>0</v>
      </c>
      <c r="M84" s="258">
        <v>13.34</v>
      </c>
      <c r="N84" s="258">
        <v>10.6</v>
      </c>
      <c r="O84" s="258">
        <v>0</v>
      </c>
      <c r="P84" s="286">
        <f>SUM(C84:O84)</f>
        <v>659.9</v>
      </c>
      <c r="Q84" s="258">
        <v>0</v>
      </c>
      <c r="R84" s="258">
        <v>0</v>
      </c>
      <c r="S84" s="258">
        <v>0</v>
      </c>
      <c r="T84" s="258">
        <v>128.80000000000001</v>
      </c>
      <c r="U84" s="258">
        <v>17.46</v>
      </c>
      <c r="V84" s="258">
        <v>0</v>
      </c>
      <c r="W84" s="258">
        <v>0</v>
      </c>
      <c r="X84" s="258">
        <v>123.2</v>
      </c>
      <c r="Y84" s="67">
        <v>0</v>
      </c>
      <c r="Z84" s="67">
        <v>35</v>
      </c>
      <c r="AA84" s="261"/>
      <c r="AB84" s="286">
        <f>SUM(Q84:AA84)</f>
        <v>304.46000000000004</v>
      </c>
      <c r="AC84" s="287">
        <f>P84+AB84</f>
        <v>964.36</v>
      </c>
      <c r="AD84" s="278"/>
      <c r="AE84" s="278"/>
      <c r="AF84" s="278"/>
      <c r="AG84" s="279"/>
      <c r="AH84" s="479"/>
      <c r="AI84" s="479"/>
      <c r="AJ84" s="479"/>
      <c r="AK84" s="479"/>
    </row>
    <row r="85" spans="1:37" ht="22.5" hidden="1" x14ac:dyDescent="0.4">
      <c r="A85" s="481"/>
      <c r="B85" s="292" t="s">
        <v>253</v>
      </c>
      <c r="C85" s="288">
        <v>9252</v>
      </c>
      <c r="D85" s="288">
        <v>37456</v>
      </c>
      <c r="E85" s="294">
        <v>4675</v>
      </c>
      <c r="F85" s="288">
        <v>21619</v>
      </c>
      <c r="G85" s="288">
        <v>1602</v>
      </c>
      <c r="H85" s="56">
        <v>2770</v>
      </c>
      <c r="I85" s="125">
        <v>1670</v>
      </c>
      <c r="J85" s="125"/>
      <c r="K85" s="125"/>
      <c r="L85" s="114">
        <v>102</v>
      </c>
      <c r="M85" s="114">
        <v>876</v>
      </c>
      <c r="N85" s="114">
        <v>1147</v>
      </c>
      <c r="O85" s="114">
        <v>129</v>
      </c>
      <c r="P85" s="286">
        <f>SUM(C85:O85)</f>
        <v>81298</v>
      </c>
      <c r="Q85" s="294">
        <v>1233</v>
      </c>
      <c r="R85" s="56">
        <v>3200</v>
      </c>
      <c r="S85" s="294">
        <v>2159</v>
      </c>
      <c r="T85" s="114">
        <v>3598</v>
      </c>
      <c r="U85" s="56">
        <v>3538</v>
      </c>
      <c r="V85" s="56">
        <v>851</v>
      </c>
      <c r="W85" s="289">
        <v>266</v>
      </c>
      <c r="X85" s="289">
        <v>852</v>
      </c>
      <c r="Y85" s="289">
        <v>192</v>
      </c>
      <c r="Z85" s="114">
        <v>164</v>
      </c>
      <c r="AA85" s="261"/>
      <c r="AB85" s="286">
        <f>SUM(Q85:AA85)</f>
        <v>16053</v>
      </c>
      <c r="AC85" s="287">
        <f>P85+AB85</f>
        <v>97351</v>
      </c>
      <c r="AD85" s="263"/>
      <c r="AE85" s="263"/>
      <c r="AF85" s="263"/>
      <c r="AG85" s="263"/>
      <c r="AH85" s="479"/>
      <c r="AI85" s="479"/>
      <c r="AJ85" s="479"/>
      <c r="AK85" s="479"/>
    </row>
    <row r="86" spans="1:37" ht="20" hidden="1" x14ac:dyDescent="0.4">
      <c r="A86" s="481"/>
      <c r="B86" s="272" t="s">
        <v>246</v>
      </c>
      <c r="C86" s="484">
        <f>C83+D83+E83+F83+C84+D84+E84+F84</f>
        <v>64231.96</v>
      </c>
      <c r="D86" s="470"/>
      <c r="E86" s="470"/>
      <c r="F86" s="471"/>
      <c r="G86" s="484">
        <f>G83+H83+I83+G84+H84+I84</f>
        <v>4834</v>
      </c>
      <c r="H86" s="470"/>
      <c r="I86" s="471"/>
      <c r="J86" s="273"/>
      <c r="K86" s="273"/>
      <c r="L86" s="469">
        <f>L83+M83+N83+L84+M84+N84</f>
        <v>1267.9399999999998</v>
      </c>
      <c r="M86" s="470"/>
      <c r="N86" s="471"/>
      <c r="O86" s="114"/>
      <c r="P86" s="286"/>
      <c r="Q86" s="487">
        <f>Q83+R83+S83+Q84+R84+S84</f>
        <v>5864</v>
      </c>
      <c r="R86" s="470"/>
      <c r="S86" s="471"/>
      <c r="T86" s="114"/>
      <c r="U86" s="56"/>
      <c r="V86" s="56"/>
      <c r="W86" s="289"/>
      <c r="X86" s="289"/>
      <c r="Y86" s="289"/>
      <c r="Z86" s="114"/>
      <c r="AA86" s="261"/>
      <c r="AB86" s="286"/>
      <c r="AC86" s="287"/>
      <c r="AD86" s="263"/>
      <c r="AE86" s="263"/>
      <c r="AF86" s="263"/>
      <c r="AG86" s="263"/>
      <c r="AH86" s="479"/>
      <c r="AI86" s="479"/>
      <c r="AJ86" s="479"/>
      <c r="AK86" s="479"/>
    </row>
    <row r="87" spans="1:37" ht="20" hidden="1" x14ac:dyDescent="0.4">
      <c r="A87" s="481"/>
      <c r="B87" s="272" t="s">
        <v>247</v>
      </c>
      <c r="C87" s="484">
        <f>C85+D85+E85+F85</f>
        <v>73002</v>
      </c>
      <c r="D87" s="470"/>
      <c r="E87" s="470"/>
      <c r="F87" s="471"/>
      <c r="G87" s="484">
        <f>G85+H85+I85</f>
        <v>6042</v>
      </c>
      <c r="H87" s="470"/>
      <c r="I87" s="471"/>
      <c r="J87" s="273"/>
      <c r="K87" s="273"/>
      <c r="L87" s="469">
        <f>L85+M85+N85</f>
        <v>2125</v>
      </c>
      <c r="M87" s="470"/>
      <c r="N87" s="471"/>
      <c r="O87" s="114"/>
      <c r="P87" s="286"/>
      <c r="Q87" s="487">
        <f>Q85+R85+S85</f>
        <v>6592</v>
      </c>
      <c r="R87" s="470"/>
      <c r="S87" s="471"/>
      <c r="T87" s="114"/>
      <c r="U87" s="56"/>
      <c r="V87" s="56"/>
      <c r="W87" s="289"/>
      <c r="X87" s="289"/>
      <c r="Y87" s="289"/>
      <c r="Z87" s="114"/>
      <c r="AA87" s="261"/>
      <c r="AB87" s="286"/>
      <c r="AC87" s="287"/>
      <c r="AD87" s="263"/>
      <c r="AE87" s="263"/>
      <c r="AF87" s="263"/>
      <c r="AG87" s="263"/>
      <c r="AH87" s="479"/>
      <c r="AI87" s="479"/>
      <c r="AJ87" s="479"/>
      <c r="AK87" s="479"/>
    </row>
    <row r="88" spans="1:37" ht="22.5" hidden="1" x14ac:dyDescent="0.4">
      <c r="A88" s="481"/>
      <c r="B88" s="293" t="s">
        <v>254</v>
      </c>
      <c r="C88" s="472">
        <f>C86/C87</f>
        <v>0.87986575710254511</v>
      </c>
      <c r="D88" s="473"/>
      <c r="E88" s="473"/>
      <c r="F88" s="474"/>
      <c r="G88" s="472">
        <f>G86/G87</f>
        <v>0.80006620324395894</v>
      </c>
      <c r="H88" s="473"/>
      <c r="I88" s="474"/>
      <c r="J88" s="276"/>
      <c r="K88" s="276"/>
      <c r="L88" s="472">
        <f>L86/L87</f>
        <v>0.59667764705882342</v>
      </c>
      <c r="M88" s="473"/>
      <c r="N88" s="474"/>
      <c r="O88" s="280">
        <f t="shared" ref="O88:Z88" si="15">(O83+O84)/O85</f>
        <v>1</v>
      </c>
      <c r="P88" s="290">
        <f t="shared" si="15"/>
        <v>0.8667236586385888</v>
      </c>
      <c r="Q88" s="472">
        <f>Q86/Q87</f>
        <v>0.8895631067961165</v>
      </c>
      <c r="R88" s="473"/>
      <c r="S88" s="474"/>
      <c r="T88" s="280">
        <f t="shared" si="15"/>
        <v>0.75175097276264602</v>
      </c>
      <c r="U88" s="280">
        <f t="shared" si="15"/>
        <v>0.49843414358394572</v>
      </c>
      <c r="V88" s="280">
        <f t="shared" si="15"/>
        <v>0.79905992949471205</v>
      </c>
      <c r="W88" s="280">
        <f t="shared" si="15"/>
        <v>0.93609022556390975</v>
      </c>
      <c r="X88" s="280">
        <f t="shared" si="15"/>
        <v>0.86760563380281697</v>
      </c>
      <c r="Y88" s="280">
        <f t="shared" si="15"/>
        <v>0.91666666666666663</v>
      </c>
      <c r="Z88" s="280">
        <f t="shared" si="15"/>
        <v>0.82317073170731703</v>
      </c>
      <c r="AA88" s="265"/>
      <c r="AB88" s="290">
        <f>(AB83+AB84)/AB85</f>
        <v>0.76692580826013823</v>
      </c>
      <c r="AC88" s="291">
        <f>(AC83+AC84)/AC85</f>
        <v>0.85026717753284509</v>
      </c>
      <c r="AD88" s="281" t="e">
        <f>AD83/$AG$290</f>
        <v>#DIV/0!</v>
      </c>
      <c r="AE88" s="281" t="e">
        <f>AE83/$AG$290</f>
        <v>#DIV/0!</v>
      </c>
      <c r="AF88" s="281" t="e">
        <f>AF83/$AG$290</f>
        <v>#DIV/0!</v>
      </c>
      <c r="AG88" s="281" t="e">
        <f>AG83/$AG$290</f>
        <v>#DIV/0!</v>
      </c>
      <c r="AH88" s="479"/>
      <c r="AI88" s="479"/>
      <c r="AJ88" s="479"/>
      <c r="AK88" s="479"/>
    </row>
    <row r="89" spans="1:37" ht="22.5" hidden="1" x14ac:dyDescent="0.4">
      <c r="A89" s="481" t="s">
        <v>267</v>
      </c>
      <c r="B89" s="292" t="s">
        <v>252</v>
      </c>
      <c r="C89" s="258">
        <v>8154</v>
      </c>
      <c r="D89" s="258">
        <v>32403</v>
      </c>
      <c r="E89" s="258">
        <v>4127</v>
      </c>
      <c r="F89" s="258">
        <v>17138</v>
      </c>
      <c r="G89" s="258">
        <v>1551</v>
      </c>
      <c r="H89" s="258">
        <v>2085</v>
      </c>
      <c r="I89" s="258">
        <v>1406</v>
      </c>
      <c r="J89" s="258"/>
      <c r="K89" s="258"/>
      <c r="L89" s="258">
        <v>67</v>
      </c>
      <c r="M89" s="258">
        <v>685</v>
      </c>
      <c r="N89" s="258">
        <v>537</v>
      </c>
      <c r="O89" s="258">
        <v>129</v>
      </c>
      <c r="P89" s="286">
        <f>SUM(C89:O89)</f>
        <v>68282</v>
      </c>
      <c r="Q89" s="258">
        <v>1047</v>
      </c>
      <c r="R89" s="258">
        <v>3006</v>
      </c>
      <c r="S89" s="258">
        <v>1728</v>
      </c>
      <c r="T89" s="258">
        <v>2518</v>
      </c>
      <c r="U89" s="258">
        <v>1585</v>
      </c>
      <c r="V89" s="258">
        <v>688</v>
      </c>
      <c r="W89" s="258">
        <v>252</v>
      </c>
      <c r="X89" s="258">
        <v>620</v>
      </c>
      <c r="Y89" s="67">
        <v>176</v>
      </c>
      <c r="Z89" s="67">
        <v>101</v>
      </c>
      <c r="AA89" s="261"/>
      <c r="AB89" s="286">
        <f>SUM(Q89:AA89)</f>
        <v>11721</v>
      </c>
      <c r="AC89" s="287">
        <f>P89+AB89</f>
        <v>80003</v>
      </c>
      <c r="AD89" s="278">
        <v>9</v>
      </c>
      <c r="AE89" s="278">
        <v>9</v>
      </c>
      <c r="AF89" s="278">
        <v>3</v>
      </c>
      <c r="AG89" s="279">
        <f>SUM(AD89:AF89)</f>
        <v>21</v>
      </c>
      <c r="AH89" s="478">
        <v>1682</v>
      </c>
      <c r="AI89" s="478">
        <v>3495</v>
      </c>
      <c r="AJ89" s="478">
        <v>2599</v>
      </c>
      <c r="AK89" s="478">
        <f>SUM(AH89:AJ94)</f>
        <v>7776</v>
      </c>
    </row>
    <row r="90" spans="1:37" ht="22.5" hidden="1" x14ac:dyDescent="0.4">
      <c r="A90" s="481"/>
      <c r="B90" s="292" t="s">
        <v>265</v>
      </c>
      <c r="C90" s="258">
        <v>81.540000000000006</v>
      </c>
      <c r="D90" s="258">
        <v>324.03000000000003</v>
      </c>
      <c r="E90" s="258">
        <v>41.27</v>
      </c>
      <c r="F90" s="258">
        <v>171.38</v>
      </c>
      <c r="G90" s="258">
        <v>0</v>
      </c>
      <c r="H90" s="258">
        <v>0</v>
      </c>
      <c r="I90" s="258">
        <v>0</v>
      </c>
      <c r="J90" s="258"/>
      <c r="K90" s="258"/>
      <c r="L90" s="258">
        <v>0</v>
      </c>
      <c r="M90" s="258">
        <v>13.700000000000001</v>
      </c>
      <c r="N90" s="258">
        <v>10.74</v>
      </c>
      <c r="O90" s="258">
        <v>0</v>
      </c>
      <c r="P90" s="286">
        <f>SUM(C90:O90)</f>
        <v>642.66000000000008</v>
      </c>
      <c r="Q90" s="258">
        <v>0</v>
      </c>
      <c r="R90" s="258">
        <v>0</v>
      </c>
      <c r="S90" s="258">
        <v>0</v>
      </c>
      <c r="T90" s="258">
        <v>188.85</v>
      </c>
      <c r="U90" s="258">
        <v>15.85</v>
      </c>
      <c r="V90" s="258">
        <v>0</v>
      </c>
      <c r="W90" s="258">
        <v>0</v>
      </c>
      <c r="X90" s="258">
        <v>124</v>
      </c>
      <c r="Y90" s="67">
        <v>0</v>
      </c>
      <c r="Z90" s="67">
        <v>35.349999999999994</v>
      </c>
      <c r="AA90" s="261"/>
      <c r="AB90" s="286">
        <f>SUM(Q90:AA90)</f>
        <v>364.04999999999995</v>
      </c>
      <c r="AC90" s="287">
        <f>P90+AB90</f>
        <v>1006.71</v>
      </c>
      <c r="AD90" s="278"/>
      <c r="AE90" s="278"/>
      <c r="AF90" s="278"/>
      <c r="AG90" s="279"/>
      <c r="AH90" s="479"/>
      <c r="AI90" s="479"/>
      <c r="AJ90" s="479"/>
      <c r="AK90" s="479"/>
    </row>
    <row r="91" spans="1:37" ht="22.5" hidden="1" x14ac:dyDescent="0.4">
      <c r="A91" s="481"/>
      <c r="B91" s="292" t="s">
        <v>253</v>
      </c>
      <c r="C91" s="288">
        <v>9252</v>
      </c>
      <c r="D91" s="288">
        <v>37456</v>
      </c>
      <c r="E91" s="294">
        <v>4675</v>
      </c>
      <c r="F91" s="288">
        <v>21619</v>
      </c>
      <c r="G91" s="288">
        <v>1602</v>
      </c>
      <c r="H91" s="56">
        <v>2770</v>
      </c>
      <c r="I91" s="125">
        <v>1670</v>
      </c>
      <c r="J91" s="125"/>
      <c r="K91" s="125"/>
      <c r="L91" s="114">
        <v>102</v>
      </c>
      <c r="M91" s="114">
        <v>876</v>
      </c>
      <c r="N91" s="114">
        <v>1147</v>
      </c>
      <c r="O91" s="114">
        <v>129</v>
      </c>
      <c r="P91" s="286">
        <f>SUM(C91:O91)</f>
        <v>81298</v>
      </c>
      <c r="Q91" s="294">
        <v>1233</v>
      </c>
      <c r="R91" s="56">
        <v>3200</v>
      </c>
      <c r="S91" s="294">
        <v>2159</v>
      </c>
      <c r="T91" s="114">
        <v>3598</v>
      </c>
      <c r="U91" s="56">
        <v>3538</v>
      </c>
      <c r="V91" s="56">
        <v>851</v>
      </c>
      <c r="W91" s="289">
        <v>266</v>
      </c>
      <c r="X91" s="289">
        <v>852</v>
      </c>
      <c r="Y91" s="289">
        <v>192</v>
      </c>
      <c r="Z91" s="114">
        <v>164</v>
      </c>
      <c r="AA91" s="261"/>
      <c r="AB91" s="286">
        <f>SUM(Q91:AA91)</f>
        <v>16053</v>
      </c>
      <c r="AC91" s="287">
        <f>P91+AB91</f>
        <v>97351</v>
      </c>
      <c r="AD91" s="263"/>
      <c r="AE91" s="263"/>
      <c r="AF91" s="263"/>
      <c r="AG91" s="263"/>
      <c r="AH91" s="479"/>
      <c r="AI91" s="479"/>
      <c r="AJ91" s="479"/>
      <c r="AK91" s="479"/>
    </row>
    <row r="92" spans="1:37" ht="20" hidden="1" x14ac:dyDescent="0.4">
      <c r="A92" s="481"/>
      <c r="B92" s="272" t="s">
        <v>246</v>
      </c>
      <c r="C92" s="484">
        <f>C89+D89+E89+F89+C90+D90+E90+F90</f>
        <v>62440.219999999994</v>
      </c>
      <c r="D92" s="470"/>
      <c r="E92" s="470"/>
      <c r="F92" s="471"/>
      <c r="G92" s="484">
        <f>G89+H89+I89+G90+H90+I90</f>
        <v>5042</v>
      </c>
      <c r="H92" s="470"/>
      <c r="I92" s="471"/>
      <c r="J92" s="273"/>
      <c r="K92" s="273"/>
      <c r="L92" s="469">
        <f>L89+M89+N89+L90+M90+N90</f>
        <v>1313.44</v>
      </c>
      <c r="M92" s="470"/>
      <c r="N92" s="471"/>
      <c r="O92" s="114"/>
      <c r="P92" s="286"/>
      <c r="Q92" s="487">
        <f>Q89+R89+S89+Q90+R90+S90</f>
        <v>5781</v>
      </c>
      <c r="R92" s="488"/>
      <c r="S92" s="489"/>
      <c r="T92" s="114"/>
      <c r="U92" s="56"/>
      <c r="V92" s="56"/>
      <c r="W92" s="289"/>
      <c r="X92" s="289"/>
      <c r="Y92" s="289"/>
      <c r="Z92" s="114"/>
      <c r="AA92" s="261"/>
      <c r="AB92" s="286"/>
      <c r="AC92" s="287"/>
      <c r="AD92" s="263"/>
      <c r="AE92" s="263"/>
      <c r="AF92" s="263"/>
      <c r="AG92" s="263"/>
      <c r="AH92" s="479"/>
      <c r="AI92" s="479"/>
      <c r="AJ92" s="479"/>
      <c r="AK92" s="479"/>
    </row>
    <row r="93" spans="1:37" ht="20" hidden="1" x14ac:dyDescent="0.4">
      <c r="A93" s="481"/>
      <c r="B93" s="272" t="s">
        <v>247</v>
      </c>
      <c r="C93" s="484">
        <f>C91+D91+E91+F91</f>
        <v>73002</v>
      </c>
      <c r="D93" s="470"/>
      <c r="E93" s="470"/>
      <c r="F93" s="471"/>
      <c r="G93" s="484">
        <f>G91+H91+I91</f>
        <v>6042</v>
      </c>
      <c r="H93" s="470"/>
      <c r="I93" s="471"/>
      <c r="J93" s="273"/>
      <c r="K93" s="273"/>
      <c r="L93" s="469">
        <f>L91+M91+N91</f>
        <v>2125</v>
      </c>
      <c r="M93" s="470"/>
      <c r="N93" s="471"/>
      <c r="O93" s="114"/>
      <c r="P93" s="286"/>
      <c r="Q93" s="487">
        <f>Q91+R91+S91</f>
        <v>6592</v>
      </c>
      <c r="R93" s="488"/>
      <c r="S93" s="489"/>
      <c r="T93" s="114"/>
      <c r="U93" s="56"/>
      <c r="V93" s="56"/>
      <c r="W93" s="289"/>
      <c r="X93" s="289"/>
      <c r="Y93" s="289"/>
      <c r="Z93" s="114"/>
      <c r="AA93" s="261"/>
      <c r="AB93" s="286"/>
      <c r="AC93" s="287"/>
      <c r="AD93" s="263"/>
      <c r="AE93" s="263"/>
      <c r="AF93" s="263"/>
      <c r="AG93" s="263"/>
      <c r="AH93" s="479"/>
      <c r="AI93" s="479"/>
      <c r="AJ93" s="479"/>
      <c r="AK93" s="479"/>
    </row>
    <row r="94" spans="1:37" ht="22.5" hidden="1" x14ac:dyDescent="0.4">
      <c r="A94" s="481"/>
      <c r="B94" s="293" t="s">
        <v>254</v>
      </c>
      <c r="C94" s="472">
        <f>C92/C93</f>
        <v>0.8553220459713432</v>
      </c>
      <c r="D94" s="473"/>
      <c r="E94" s="473"/>
      <c r="F94" s="474"/>
      <c r="G94" s="472">
        <f>G92/G93</f>
        <v>0.83449189010261504</v>
      </c>
      <c r="H94" s="473"/>
      <c r="I94" s="474"/>
      <c r="J94" s="276"/>
      <c r="K94" s="276"/>
      <c r="L94" s="472">
        <f>L92/L93</f>
        <v>0.61808941176470589</v>
      </c>
      <c r="M94" s="473"/>
      <c r="N94" s="474"/>
      <c r="O94" s="280">
        <f t="shared" ref="O94:Z94" si="16">(O89+O90)/O91</f>
        <v>1</v>
      </c>
      <c r="P94" s="290">
        <f t="shared" si="16"/>
        <v>0.8478026519717583</v>
      </c>
      <c r="Q94" s="472">
        <f>Q92/Q93</f>
        <v>0.87697208737864074</v>
      </c>
      <c r="R94" s="475"/>
      <c r="S94" s="476"/>
      <c r="T94" s="280">
        <f t="shared" si="16"/>
        <v>0.7523207337409672</v>
      </c>
      <c r="U94" s="280">
        <f t="shared" si="16"/>
        <v>0.45247314867156585</v>
      </c>
      <c r="V94" s="280">
        <f t="shared" si="16"/>
        <v>0.80846063454759109</v>
      </c>
      <c r="W94" s="280">
        <f t="shared" si="16"/>
        <v>0.94736842105263153</v>
      </c>
      <c r="X94" s="280">
        <f t="shared" si="16"/>
        <v>0.87323943661971826</v>
      </c>
      <c r="Y94" s="280">
        <f t="shared" si="16"/>
        <v>0.91666666666666663</v>
      </c>
      <c r="Z94" s="280">
        <f t="shared" si="16"/>
        <v>0.83140243902439026</v>
      </c>
      <c r="AA94" s="265"/>
      <c r="AB94" s="290">
        <f>(AB89+AB90)/AB91</f>
        <v>0.75282190244814051</v>
      </c>
      <c r="AC94" s="291">
        <f>(AC89+AC90)/AC91</f>
        <v>0.83214050189520405</v>
      </c>
      <c r="AD94" s="281" t="e">
        <f>AD89/$AG$289</f>
        <v>#DIV/0!</v>
      </c>
      <c r="AE94" s="281" t="e">
        <f>AE89/$AG$289</f>
        <v>#DIV/0!</v>
      </c>
      <c r="AF94" s="281" t="e">
        <f>AF89/$AG$289</f>
        <v>#DIV/0!</v>
      </c>
      <c r="AG94" s="281" t="e">
        <f>AG89/$AG$289</f>
        <v>#DIV/0!</v>
      </c>
      <c r="AH94" s="479"/>
      <c r="AI94" s="479"/>
      <c r="AJ94" s="479"/>
      <c r="AK94" s="479"/>
    </row>
    <row r="95" spans="1:37" ht="22.5" hidden="1" x14ac:dyDescent="0.4">
      <c r="A95" s="481" t="s">
        <v>268</v>
      </c>
      <c r="B95" s="292" t="s">
        <v>269</v>
      </c>
      <c r="C95" s="258">
        <v>8115</v>
      </c>
      <c r="D95" s="258">
        <v>31842</v>
      </c>
      <c r="E95" s="258">
        <v>4128</v>
      </c>
      <c r="F95" s="258">
        <v>16813</v>
      </c>
      <c r="G95" s="258">
        <v>1563</v>
      </c>
      <c r="H95" s="258">
        <v>2562</v>
      </c>
      <c r="I95" s="258">
        <v>1442</v>
      </c>
      <c r="J95" s="258"/>
      <c r="K95" s="258"/>
      <c r="L95" s="258">
        <v>70</v>
      </c>
      <c r="M95" s="258">
        <v>697</v>
      </c>
      <c r="N95" s="258">
        <v>544</v>
      </c>
      <c r="O95" s="258">
        <v>129</v>
      </c>
      <c r="P95" s="286">
        <f>SUM(C95:O95)</f>
        <v>67905</v>
      </c>
      <c r="Q95" s="258">
        <v>1054</v>
      </c>
      <c r="R95" s="258">
        <v>3004</v>
      </c>
      <c r="S95" s="258">
        <v>1736</v>
      </c>
      <c r="T95" s="258">
        <v>2360</v>
      </c>
      <c r="U95" s="258">
        <v>1772</v>
      </c>
      <c r="V95" s="258">
        <v>689</v>
      </c>
      <c r="W95" s="258">
        <v>253</v>
      </c>
      <c r="X95" s="258">
        <v>627</v>
      </c>
      <c r="Y95" s="67">
        <v>170</v>
      </c>
      <c r="Z95" s="67">
        <v>102</v>
      </c>
      <c r="AA95" s="261"/>
      <c r="AB95" s="286">
        <f>SUM(Q95:AA95)</f>
        <v>11767</v>
      </c>
      <c r="AC95" s="287">
        <f>P95+AB95</f>
        <v>79672</v>
      </c>
      <c r="AD95" s="278">
        <v>8</v>
      </c>
      <c r="AE95" s="278">
        <v>10</v>
      </c>
      <c r="AF95" s="278">
        <v>3</v>
      </c>
      <c r="AG95" s="279">
        <f>SUM(AD95:AF95)</f>
        <v>21</v>
      </c>
      <c r="AH95" s="478">
        <v>2050</v>
      </c>
      <c r="AI95" s="478">
        <v>2394</v>
      </c>
      <c r="AJ95" s="478">
        <v>1972</v>
      </c>
      <c r="AK95" s="478">
        <f>SUM(AH95:AJ100)</f>
        <v>6416</v>
      </c>
    </row>
    <row r="96" spans="1:37" ht="22.5" hidden="1" x14ac:dyDescent="0.4">
      <c r="A96" s="481"/>
      <c r="B96" s="292" t="s">
        <v>265</v>
      </c>
      <c r="C96" s="258">
        <v>40.575000000000003</v>
      </c>
      <c r="D96" s="258">
        <v>159.21</v>
      </c>
      <c r="E96" s="258">
        <v>20.64</v>
      </c>
      <c r="F96" s="258">
        <v>84.064999999999998</v>
      </c>
      <c r="G96" s="258">
        <v>0</v>
      </c>
      <c r="H96" s="258">
        <v>0</v>
      </c>
      <c r="I96" s="258">
        <v>0</v>
      </c>
      <c r="J96" s="258"/>
      <c r="K96" s="258"/>
      <c r="L96" s="258">
        <v>0</v>
      </c>
      <c r="M96" s="258">
        <v>13.94</v>
      </c>
      <c r="N96" s="258">
        <v>10.88</v>
      </c>
      <c r="O96" s="258">
        <v>0</v>
      </c>
      <c r="P96" s="286">
        <f>SUM(C96:O96)</f>
        <v>329.31</v>
      </c>
      <c r="Q96" s="258">
        <v>0</v>
      </c>
      <c r="R96" s="258">
        <v>0</v>
      </c>
      <c r="S96" s="258">
        <v>0</v>
      </c>
      <c r="T96" s="258">
        <v>118</v>
      </c>
      <c r="U96" s="258">
        <v>0</v>
      </c>
      <c r="V96" s="258">
        <v>0</v>
      </c>
      <c r="W96" s="258">
        <v>0</v>
      </c>
      <c r="X96" s="258">
        <v>94.05</v>
      </c>
      <c r="Y96" s="67">
        <v>0</v>
      </c>
      <c r="Z96" s="67">
        <v>35.699999999999996</v>
      </c>
      <c r="AA96" s="261"/>
      <c r="AB96" s="286">
        <f>SUM(Q96:AA96)</f>
        <v>247.75</v>
      </c>
      <c r="AC96" s="287">
        <f>P96+AB96</f>
        <v>577.05999999999995</v>
      </c>
      <c r="AD96" s="278"/>
      <c r="AE96" s="278"/>
      <c r="AF96" s="278"/>
      <c r="AG96" s="279"/>
      <c r="AH96" s="479"/>
      <c r="AI96" s="479"/>
      <c r="AJ96" s="479"/>
      <c r="AK96" s="479"/>
    </row>
    <row r="97" spans="1:37" ht="22.5" hidden="1" x14ac:dyDescent="0.4">
      <c r="A97" s="481"/>
      <c r="B97" s="292" t="s">
        <v>253</v>
      </c>
      <c r="C97" s="288">
        <v>9252</v>
      </c>
      <c r="D97" s="288">
        <v>37456</v>
      </c>
      <c r="E97" s="288">
        <v>4675</v>
      </c>
      <c r="F97" s="288">
        <v>21619</v>
      </c>
      <c r="G97" s="288">
        <v>1602</v>
      </c>
      <c r="H97" s="288">
        <v>3014</v>
      </c>
      <c r="I97" s="288">
        <v>1854</v>
      </c>
      <c r="J97" s="288"/>
      <c r="K97" s="288"/>
      <c r="L97" s="288">
        <v>102</v>
      </c>
      <c r="M97" s="114">
        <v>876</v>
      </c>
      <c r="N97" s="114">
        <v>1147</v>
      </c>
      <c r="O97" s="288">
        <v>129</v>
      </c>
      <c r="P97" s="286">
        <f>SUM(C97:O97)</f>
        <v>81726</v>
      </c>
      <c r="Q97" s="288">
        <v>1171</v>
      </c>
      <c r="R97" s="288">
        <v>3193</v>
      </c>
      <c r="S97" s="288">
        <v>2043</v>
      </c>
      <c r="T97" s="288">
        <v>3147</v>
      </c>
      <c r="U97" s="288">
        <v>2777</v>
      </c>
      <c r="V97" s="114">
        <v>851</v>
      </c>
      <c r="W97" s="288">
        <v>292</v>
      </c>
      <c r="X97" s="114">
        <v>852</v>
      </c>
      <c r="Y97" s="288">
        <v>204</v>
      </c>
      <c r="Z97" s="114">
        <v>164</v>
      </c>
      <c r="AA97" s="261"/>
      <c r="AB97" s="286">
        <f>SUM(Q97:AA97)</f>
        <v>14694</v>
      </c>
      <c r="AC97" s="287">
        <f>P97+AB97</f>
        <v>96420</v>
      </c>
      <c r="AD97" s="263"/>
      <c r="AE97" s="263"/>
      <c r="AF97" s="263"/>
      <c r="AG97" s="263"/>
      <c r="AH97" s="479"/>
      <c r="AI97" s="479"/>
      <c r="AJ97" s="479"/>
      <c r="AK97" s="479"/>
    </row>
    <row r="98" spans="1:37" ht="20" hidden="1" x14ac:dyDescent="0.4">
      <c r="A98" s="481"/>
      <c r="B98" s="272" t="s">
        <v>246</v>
      </c>
      <c r="C98" s="484">
        <f>C95+D95+E95+F95+C96+D96+E96+F96</f>
        <v>61202.49</v>
      </c>
      <c r="D98" s="470"/>
      <c r="E98" s="470"/>
      <c r="F98" s="471"/>
      <c r="G98" s="484">
        <f>G95+H95+I95+G96+H96+I96</f>
        <v>5567</v>
      </c>
      <c r="H98" s="485"/>
      <c r="I98" s="486"/>
      <c r="J98" s="299"/>
      <c r="K98" s="299"/>
      <c r="L98" s="469">
        <f>L95+M95+N95+L96+M96+N96</f>
        <v>1335.8200000000002</v>
      </c>
      <c r="M98" s="470"/>
      <c r="N98" s="471"/>
      <c r="O98" s="288"/>
      <c r="P98" s="286"/>
      <c r="Q98" s="487">
        <f>Q95+R95+S95+Q96+R96+S96</f>
        <v>5794</v>
      </c>
      <c r="R98" s="470"/>
      <c r="S98" s="471"/>
      <c r="T98" s="288"/>
      <c r="U98" s="288"/>
      <c r="V98" s="114"/>
      <c r="W98" s="288"/>
      <c r="X98" s="114"/>
      <c r="Y98" s="288"/>
      <c r="Z98" s="114"/>
      <c r="AA98" s="261"/>
      <c r="AB98" s="286"/>
      <c r="AC98" s="287"/>
      <c r="AD98" s="263"/>
      <c r="AE98" s="263"/>
      <c r="AF98" s="263"/>
      <c r="AG98" s="263"/>
      <c r="AH98" s="479"/>
      <c r="AI98" s="479"/>
      <c r="AJ98" s="479"/>
      <c r="AK98" s="479"/>
    </row>
    <row r="99" spans="1:37" ht="20" hidden="1" x14ac:dyDescent="0.4">
      <c r="A99" s="481"/>
      <c r="B99" s="272" t="s">
        <v>247</v>
      </c>
      <c r="C99" s="484">
        <f>C97+D97+E97+F97</f>
        <v>73002</v>
      </c>
      <c r="D99" s="470"/>
      <c r="E99" s="470"/>
      <c r="F99" s="471"/>
      <c r="G99" s="484">
        <f>G97+H97+I97</f>
        <v>6470</v>
      </c>
      <c r="H99" s="485"/>
      <c r="I99" s="486"/>
      <c r="J99" s="299"/>
      <c r="K99" s="299"/>
      <c r="L99" s="469">
        <f>L97+M97+N97</f>
        <v>2125</v>
      </c>
      <c r="M99" s="470"/>
      <c r="N99" s="471"/>
      <c r="O99" s="288"/>
      <c r="P99" s="286"/>
      <c r="Q99" s="487">
        <f>Q97+R97+S97</f>
        <v>6407</v>
      </c>
      <c r="R99" s="470"/>
      <c r="S99" s="471"/>
      <c r="T99" s="288"/>
      <c r="U99" s="288"/>
      <c r="V99" s="114"/>
      <c r="W99" s="288"/>
      <c r="X99" s="114"/>
      <c r="Y99" s="288"/>
      <c r="Z99" s="114"/>
      <c r="AA99" s="261"/>
      <c r="AB99" s="286"/>
      <c r="AC99" s="287"/>
      <c r="AD99" s="263"/>
      <c r="AE99" s="263"/>
      <c r="AF99" s="263"/>
      <c r="AG99" s="263"/>
      <c r="AH99" s="479"/>
      <c r="AI99" s="479"/>
      <c r="AJ99" s="479"/>
      <c r="AK99" s="479"/>
    </row>
    <row r="100" spans="1:37" ht="22.5" hidden="1" x14ac:dyDescent="0.4">
      <c r="A100" s="481"/>
      <c r="B100" s="293" t="s">
        <v>254</v>
      </c>
      <c r="C100" s="472">
        <f>C98/C99</f>
        <v>0.83836730500534229</v>
      </c>
      <c r="D100" s="473"/>
      <c r="E100" s="473"/>
      <c r="F100" s="474"/>
      <c r="G100" s="472">
        <f>G98/G99</f>
        <v>0.86043276661514678</v>
      </c>
      <c r="H100" s="475"/>
      <c r="I100" s="476"/>
      <c r="J100" s="298"/>
      <c r="K100" s="298"/>
      <c r="L100" s="472">
        <f>L98/L99</f>
        <v>0.62862117647058835</v>
      </c>
      <c r="M100" s="473"/>
      <c r="N100" s="474"/>
      <c r="O100" s="280">
        <f t="shared" ref="O100:Z100" si="17">(O95+O96)/O97</f>
        <v>1</v>
      </c>
      <c r="P100" s="290">
        <f t="shared" si="17"/>
        <v>0.83491557154393947</v>
      </c>
      <c r="Q100" s="472">
        <f>Q98/Q99</f>
        <v>0.90432339628531289</v>
      </c>
      <c r="R100" s="473"/>
      <c r="S100" s="474"/>
      <c r="T100" s="280">
        <f t="shared" si="17"/>
        <v>0.78741658722592944</v>
      </c>
      <c r="U100" s="280">
        <f t="shared" si="17"/>
        <v>0.63809866762693557</v>
      </c>
      <c r="V100" s="280">
        <f t="shared" si="17"/>
        <v>0.80963572267920092</v>
      </c>
      <c r="W100" s="280">
        <f t="shared" si="17"/>
        <v>0.86643835616438358</v>
      </c>
      <c r="X100" s="280">
        <f t="shared" si="17"/>
        <v>0.84630281690140841</v>
      </c>
      <c r="Y100" s="280">
        <f t="shared" si="17"/>
        <v>0.83333333333333337</v>
      </c>
      <c r="Z100" s="280">
        <f t="shared" si="17"/>
        <v>0.83963414634146338</v>
      </c>
      <c r="AA100" s="265"/>
      <c r="AB100" s="290">
        <f>(AB95+AB96)/AB97</f>
        <v>0.81766367224717573</v>
      </c>
      <c r="AC100" s="291">
        <f>(AC95+AC96)/AC97</f>
        <v>0.83228645509230448</v>
      </c>
      <c r="AD100" s="281" t="e">
        <f>AD95/$AG$288</f>
        <v>#DIV/0!</v>
      </c>
      <c r="AE100" s="281" t="e">
        <f>AE95/$AG$288</f>
        <v>#DIV/0!</v>
      </c>
      <c r="AF100" s="281" t="e">
        <f>AF95/$AG$288</f>
        <v>#DIV/0!</v>
      </c>
      <c r="AG100" s="281" t="e">
        <f>AG95/$AG$288</f>
        <v>#DIV/0!</v>
      </c>
      <c r="AH100" s="479"/>
      <c r="AI100" s="479"/>
      <c r="AJ100" s="479"/>
      <c r="AK100" s="479"/>
    </row>
    <row r="101" spans="1:37" ht="22.5" hidden="1" x14ac:dyDescent="0.4">
      <c r="A101" s="481" t="s">
        <v>270</v>
      </c>
      <c r="B101" s="292" t="s">
        <v>269</v>
      </c>
      <c r="C101" s="258">
        <v>8165</v>
      </c>
      <c r="D101" s="258">
        <v>32018</v>
      </c>
      <c r="E101" s="258">
        <v>3695</v>
      </c>
      <c r="F101" s="258">
        <v>16678</v>
      </c>
      <c r="G101" s="258">
        <v>1563</v>
      </c>
      <c r="H101" s="258">
        <v>2658</v>
      </c>
      <c r="I101" s="258">
        <v>1869</v>
      </c>
      <c r="J101" s="258"/>
      <c r="K101" s="258"/>
      <c r="L101" s="258">
        <v>77</v>
      </c>
      <c r="M101" s="258">
        <v>709</v>
      </c>
      <c r="N101" s="258">
        <v>546</v>
      </c>
      <c r="O101" s="258">
        <v>129</v>
      </c>
      <c r="P101" s="286">
        <f>SUM(C101:O101)</f>
        <v>68107</v>
      </c>
      <c r="Q101" s="258">
        <v>1077</v>
      </c>
      <c r="R101" s="258">
        <v>2952</v>
      </c>
      <c r="S101" s="258">
        <v>1786</v>
      </c>
      <c r="T101" s="258">
        <v>2371</v>
      </c>
      <c r="U101" s="258">
        <v>1751</v>
      </c>
      <c r="V101" s="258">
        <v>667</v>
      </c>
      <c r="W101" s="258">
        <v>261</v>
      </c>
      <c r="X101" s="258">
        <v>637</v>
      </c>
      <c r="Y101" s="67">
        <v>173</v>
      </c>
      <c r="Z101" s="67">
        <v>102</v>
      </c>
      <c r="AA101" s="261"/>
      <c r="AB101" s="286">
        <f>SUM(Q101:AA101)</f>
        <v>11777</v>
      </c>
      <c r="AC101" s="287">
        <f>P101+AB101</f>
        <v>79884</v>
      </c>
      <c r="AD101" s="278">
        <v>10</v>
      </c>
      <c r="AE101" s="278">
        <v>8</v>
      </c>
      <c r="AF101" s="278">
        <v>3</v>
      </c>
      <c r="AG101" s="279">
        <f>SUM(AD101:AF101)</f>
        <v>21</v>
      </c>
      <c r="AH101" s="478">
        <v>1936</v>
      </c>
      <c r="AI101" s="478">
        <v>1565</v>
      </c>
      <c r="AJ101" s="478">
        <v>1131</v>
      </c>
      <c r="AK101" s="478">
        <f>SUM(AH101:AJ106)</f>
        <v>4632</v>
      </c>
    </row>
    <row r="102" spans="1:37" ht="22.5" hidden="1" x14ac:dyDescent="0.4">
      <c r="A102" s="481"/>
      <c r="B102" s="292" t="s">
        <v>265</v>
      </c>
      <c r="C102" s="258">
        <v>40.825000000000003</v>
      </c>
      <c r="D102" s="258">
        <v>160.09</v>
      </c>
      <c r="E102" s="258">
        <v>18.475000000000001</v>
      </c>
      <c r="F102" s="258">
        <v>83.39</v>
      </c>
      <c r="G102" s="258">
        <v>0</v>
      </c>
      <c r="H102" s="258">
        <v>0</v>
      </c>
      <c r="I102" s="258">
        <v>0</v>
      </c>
      <c r="J102" s="258"/>
      <c r="K102" s="258"/>
      <c r="L102" s="258">
        <v>0</v>
      </c>
      <c r="M102" s="258">
        <v>14.18</v>
      </c>
      <c r="N102" s="258">
        <v>10.92</v>
      </c>
      <c r="O102" s="258">
        <v>0</v>
      </c>
      <c r="P102" s="286">
        <f>SUM(C102:O102)</f>
        <v>327.88000000000005</v>
      </c>
      <c r="Q102" s="258">
        <v>0</v>
      </c>
      <c r="R102" s="258">
        <v>0</v>
      </c>
      <c r="S102" s="258">
        <v>0</v>
      </c>
      <c r="T102" s="258">
        <v>118.55000000000001</v>
      </c>
      <c r="U102" s="258">
        <v>0</v>
      </c>
      <c r="V102" s="258">
        <v>0</v>
      </c>
      <c r="W102" s="258">
        <v>0</v>
      </c>
      <c r="X102" s="258">
        <v>95.55</v>
      </c>
      <c r="Y102" s="67">
        <v>0</v>
      </c>
      <c r="Z102" s="67">
        <v>35.699999999999996</v>
      </c>
      <c r="AA102" s="261"/>
      <c r="AB102" s="286">
        <f>SUM(Q102:AA102)</f>
        <v>249.8</v>
      </c>
      <c r="AC102" s="287">
        <f>P102+AB102</f>
        <v>577.68000000000006</v>
      </c>
      <c r="AD102" s="278"/>
      <c r="AE102" s="278"/>
      <c r="AF102" s="278"/>
      <c r="AG102" s="279"/>
      <c r="AH102" s="479"/>
      <c r="AI102" s="479"/>
      <c r="AJ102" s="479"/>
      <c r="AK102" s="479"/>
    </row>
    <row r="103" spans="1:37" ht="22.5" hidden="1" x14ac:dyDescent="0.4">
      <c r="A103" s="481"/>
      <c r="B103" s="292" t="s">
        <v>253</v>
      </c>
      <c r="C103" s="114">
        <v>9252</v>
      </c>
      <c r="D103" s="114">
        <v>37456</v>
      </c>
      <c r="E103" s="114">
        <v>4675</v>
      </c>
      <c r="F103" s="114">
        <v>21619</v>
      </c>
      <c r="G103" s="114">
        <v>1602</v>
      </c>
      <c r="H103" s="114">
        <v>3014</v>
      </c>
      <c r="I103" s="114">
        <v>3000</v>
      </c>
      <c r="J103" s="114"/>
      <c r="K103" s="114"/>
      <c r="L103" s="114">
        <v>102</v>
      </c>
      <c r="M103" s="114">
        <v>876</v>
      </c>
      <c r="N103" s="114">
        <v>1147</v>
      </c>
      <c r="O103" s="114">
        <v>129</v>
      </c>
      <c r="P103" s="286">
        <f>SUM(C103:O103)</f>
        <v>82872</v>
      </c>
      <c r="Q103" s="114">
        <v>1171</v>
      </c>
      <c r="R103" s="114">
        <v>3193</v>
      </c>
      <c r="S103" s="114">
        <v>2043</v>
      </c>
      <c r="T103" s="114">
        <v>3147</v>
      </c>
      <c r="U103" s="114">
        <v>2777</v>
      </c>
      <c r="V103" s="114">
        <v>851</v>
      </c>
      <c r="W103" s="114">
        <v>292</v>
      </c>
      <c r="X103" s="114">
        <v>852</v>
      </c>
      <c r="Y103" s="114">
        <v>204</v>
      </c>
      <c r="Z103" s="114">
        <v>164</v>
      </c>
      <c r="AA103" s="261"/>
      <c r="AB103" s="286">
        <f>SUM(Q103:AA103)</f>
        <v>14694</v>
      </c>
      <c r="AC103" s="287">
        <f>P103+AB103</f>
        <v>97566</v>
      </c>
      <c r="AD103" s="263"/>
      <c r="AE103" s="263"/>
      <c r="AF103" s="263"/>
      <c r="AG103" s="263"/>
      <c r="AH103" s="479"/>
      <c r="AI103" s="479"/>
      <c r="AJ103" s="479"/>
      <c r="AK103" s="479"/>
    </row>
    <row r="104" spans="1:37" ht="20" hidden="1" x14ac:dyDescent="0.4">
      <c r="A104" s="481"/>
      <c r="B104" s="272" t="s">
        <v>246</v>
      </c>
      <c r="C104" s="484">
        <f>C101+D101+E101+F101+C102+D102+E102+F102</f>
        <v>60858.779999999992</v>
      </c>
      <c r="D104" s="470"/>
      <c r="E104" s="470"/>
      <c r="F104" s="471"/>
      <c r="G104" s="469">
        <f>G101+H101+I101+G102+H102+I102</f>
        <v>6090</v>
      </c>
      <c r="H104" s="470"/>
      <c r="I104" s="471"/>
      <c r="J104" s="273"/>
      <c r="K104" s="273"/>
      <c r="L104" s="469">
        <f>L101+M101+N101+L102+M102+N102</f>
        <v>1357.1000000000001</v>
      </c>
      <c r="M104" s="470"/>
      <c r="N104" s="471"/>
      <c r="O104" s="114"/>
      <c r="P104" s="286"/>
      <c r="Q104" s="469">
        <f>Q101+R101+S101+Q102+R102+S102</f>
        <v>5815</v>
      </c>
      <c r="R104" s="470"/>
      <c r="S104" s="471"/>
      <c r="T104" s="114"/>
      <c r="U104" s="114"/>
      <c r="V104" s="114"/>
      <c r="W104" s="114"/>
      <c r="X104" s="114"/>
      <c r="Y104" s="114"/>
      <c r="Z104" s="114"/>
      <c r="AA104" s="261"/>
      <c r="AB104" s="286"/>
      <c r="AC104" s="287"/>
      <c r="AD104" s="263"/>
      <c r="AE104" s="263"/>
      <c r="AF104" s="263"/>
      <c r="AG104" s="263"/>
      <c r="AH104" s="479"/>
      <c r="AI104" s="479"/>
      <c r="AJ104" s="479"/>
      <c r="AK104" s="479"/>
    </row>
    <row r="105" spans="1:37" ht="20" hidden="1" x14ac:dyDescent="0.4">
      <c r="A105" s="481"/>
      <c r="B105" s="272" t="s">
        <v>247</v>
      </c>
      <c r="C105" s="484">
        <f>C103+D103+E103+F103</f>
        <v>73002</v>
      </c>
      <c r="D105" s="470"/>
      <c r="E105" s="470"/>
      <c r="F105" s="471"/>
      <c r="G105" s="469">
        <f>G103+H103+I103</f>
        <v>7616</v>
      </c>
      <c r="H105" s="470"/>
      <c r="I105" s="471"/>
      <c r="J105" s="273"/>
      <c r="K105" s="273"/>
      <c r="L105" s="469">
        <f>L103+M103+N103</f>
        <v>2125</v>
      </c>
      <c r="M105" s="470"/>
      <c r="N105" s="471"/>
      <c r="O105" s="114"/>
      <c r="P105" s="286"/>
      <c r="Q105" s="469">
        <f>Q103+R103+S103</f>
        <v>6407</v>
      </c>
      <c r="R105" s="470"/>
      <c r="S105" s="471"/>
      <c r="T105" s="114"/>
      <c r="U105" s="114"/>
      <c r="V105" s="114"/>
      <c r="W105" s="114"/>
      <c r="X105" s="114"/>
      <c r="Y105" s="114"/>
      <c r="Z105" s="114"/>
      <c r="AA105" s="261"/>
      <c r="AB105" s="286"/>
      <c r="AC105" s="287"/>
      <c r="AD105" s="263"/>
      <c r="AE105" s="263"/>
      <c r="AF105" s="263"/>
      <c r="AG105" s="263"/>
      <c r="AH105" s="479"/>
      <c r="AI105" s="479"/>
      <c r="AJ105" s="479"/>
      <c r="AK105" s="479"/>
    </row>
    <row r="106" spans="1:37" ht="22.5" hidden="1" x14ac:dyDescent="0.4">
      <c r="A106" s="481"/>
      <c r="B106" s="293" t="s">
        <v>254</v>
      </c>
      <c r="C106" s="472">
        <f>C104/C105</f>
        <v>0.83365907783348392</v>
      </c>
      <c r="D106" s="473"/>
      <c r="E106" s="473"/>
      <c r="F106" s="474"/>
      <c r="G106" s="472">
        <f>G104/G105</f>
        <v>0.79963235294117652</v>
      </c>
      <c r="H106" s="473"/>
      <c r="I106" s="474"/>
      <c r="J106" s="276"/>
      <c r="K106" s="276"/>
      <c r="L106" s="472">
        <f>L104/L105</f>
        <v>0.63863529411764708</v>
      </c>
      <c r="M106" s="473"/>
      <c r="N106" s="474"/>
      <c r="O106" s="280">
        <f t="shared" ref="O106:Z106" si="18">(O101+O102)/O103</f>
        <v>1</v>
      </c>
      <c r="P106" s="290">
        <f t="shared" si="18"/>
        <v>0.8257901341828362</v>
      </c>
      <c r="Q106" s="472">
        <f>Q104/Q105</f>
        <v>0.9076010613391603</v>
      </c>
      <c r="R106" s="473"/>
      <c r="S106" s="474"/>
      <c r="T106" s="280">
        <f t="shared" si="18"/>
        <v>0.79108674928503342</v>
      </c>
      <c r="U106" s="280">
        <f t="shared" si="18"/>
        <v>0.63053655023406552</v>
      </c>
      <c r="V106" s="280">
        <f t="shared" si="18"/>
        <v>0.78378378378378377</v>
      </c>
      <c r="W106" s="280">
        <f t="shared" si="18"/>
        <v>0.89383561643835618</v>
      </c>
      <c r="X106" s="280">
        <f t="shared" si="18"/>
        <v>0.85980046948356803</v>
      </c>
      <c r="Y106" s="280">
        <f t="shared" si="18"/>
        <v>0.84803921568627449</v>
      </c>
      <c r="Z106" s="280">
        <f t="shared" si="18"/>
        <v>0.83963414634146338</v>
      </c>
      <c r="AA106" s="265"/>
      <c r="AB106" s="290">
        <f>(AB101+AB102)/AB103</f>
        <v>0.81848373485776504</v>
      </c>
      <c r="AC106" s="291">
        <f>(AC101+AC102)/AC103</f>
        <v>0.82468974847795329</v>
      </c>
      <c r="AD106" s="281">
        <f>AD101/$AG$287</f>
        <v>0.47619047619047616</v>
      </c>
      <c r="AE106" s="281">
        <f>AE101/$AG$287</f>
        <v>0.38095238095238093</v>
      </c>
      <c r="AF106" s="281">
        <f>AF101/$AG$287</f>
        <v>0.14285714285714285</v>
      </c>
      <c r="AG106" s="281">
        <f>AG101/$AG$287</f>
        <v>1</v>
      </c>
      <c r="AH106" s="479"/>
      <c r="AI106" s="479"/>
      <c r="AJ106" s="479"/>
      <c r="AK106" s="479"/>
    </row>
    <row r="107" spans="1:37" ht="22.5" hidden="1" x14ac:dyDescent="0.4">
      <c r="A107" s="481" t="s">
        <v>271</v>
      </c>
      <c r="B107" s="292" t="s">
        <v>269</v>
      </c>
      <c r="C107" s="258">
        <v>8190</v>
      </c>
      <c r="D107" s="258">
        <v>30904</v>
      </c>
      <c r="E107" s="258">
        <v>3728</v>
      </c>
      <c r="F107" s="258">
        <v>16543</v>
      </c>
      <c r="G107" s="258">
        <v>1560</v>
      </c>
      <c r="H107" s="258">
        <v>2639</v>
      </c>
      <c r="I107" s="258">
        <v>1951</v>
      </c>
      <c r="J107" s="258"/>
      <c r="K107" s="258"/>
      <c r="L107" s="258">
        <v>86</v>
      </c>
      <c r="M107" s="258">
        <v>711</v>
      </c>
      <c r="N107" s="258">
        <v>545</v>
      </c>
      <c r="O107" s="258">
        <v>129</v>
      </c>
      <c r="P107" s="286">
        <f>SUM(C107:O107)</f>
        <v>66986</v>
      </c>
      <c r="Q107" s="258">
        <v>1073</v>
      </c>
      <c r="R107" s="258">
        <v>3197</v>
      </c>
      <c r="S107" s="258">
        <v>1862</v>
      </c>
      <c r="T107" s="258">
        <v>2412</v>
      </c>
      <c r="U107" s="258">
        <v>1470</v>
      </c>
      <c r="V107" s="258">
        <v>678</v>
      </c>
      <c r="W107" s="258">
        <v>266</v>
      </c>
      <c r="X107" s="258">
        <v>648</v>
      </c>
      <c r="Y107" s="67">
        <v>177</v>
      </c>
      <c r="Z107" s="67">
        <v>102</v>
      </c>
      <c r="AA107" s="261"/>
      <c r="AB107" s="286">
        <f>SUM(Q107:AA107)</f>
        <v>11885</v>
      </c>
      <c r="AC107" s="287">
        <f>P107+AB107</f>
        <v>78871</v>
      </c>
      <c r="AD107" s="278">
        <v>9</v>
      </c>
      <c r="AE107" s="278">
        <v>9</v>
      </c>
      <c r="AF107" s="278">
        <v>3</v>
      </c>
      <c r="AG107" s="279">
        <f>SUM(AD107:AF107)</f>
        <v>21</v>
      </c>
      <c r="AH107" s="478">
        <v>1983</v>
      </c>
      <c r="AI107" s="478">
        <v>3182</v>
      </c>
      <c r="AJ107" s="478">
        <v>1264</v>
      </c>
      <c r="AK107" s="478">
        <f>SUM(AH107:AJ112)</f>
        <v>6429</v>
      </c>
    </row>
    <row r="108" spans="1:37" ht="22.5" hidden="1" x14ac:dyDescent="0.4">
      <c r="A108" s="481"/>
      <c r="B108" s="292" t="s">
        <v>265</v>
      </c>
      <c r="C108" s="258">
        <v>40.950000000000003</v>
      </c>
      <c r="D108" s="258">
        <v>154.52000000000001</v>
      </c>
      <c r="E108" s="258">
        <v>18.64</v>
      </c>
      <c r="F108" s="258">
        <v>82.715000000000003</v>
      </c>
      <c r="G108" s="258">
        <v>0</v>
      </c>
      <c r="H108" s="258">
        <v>0</v>
      </c>
      <c r="I108" s="258">
        <v>0</v>
      </c>
      <c r="J108" s="258"/>
      <c r="K108" s="258"/>
      <c r="L108" s="258">
        <v>0</v>
      </c>
      <c r="M108" s="258">
        <v>14.22</v>
      </c>
      <c r="N108" s="258">
        <v>10.9</v>
      </c>
      <c r="O108" s="258">
        <v>0</v>
      </c>
      <c r="P108" s="286">
        <f>SUM(C108:O108)</f>
        <v>321.94500000000005</v>
      </c>
      <c r="Q108" s="258">
        <v>0</v>
      </c>
      <c r="R108" s="258">
        <v>0</v>
      </c>
      <c r="S108" s="258">
        <v>0</v>
      </c>
      <c r="T108" s="258">
        <v>120.60000000000001</v>
      </c>
      <c r="U108" s="258">
        <v>0</v>
      </c>
      <c r="V108" s="258">
        <v>0</v>
      </c>
      <c r="W108" s="258">
        <v>0</v>
      </c>
      <c r="X108" s="258">
        <v>97.2</v>
      </c>
      <c r="Y108" s="67">
        <v>0</v>
      </c>
      <c r="Z108" s="67">
        <v>35.699999999999996</v>
      </c>
      <c r="AA108" s="261"/>
      <c r="AB108" s="286">
        <f>SUM(Q108:AA108)</f>
        <v>253.5</v>
      </c>
      <c r="AC108" s="287">
        <f>P108+AB108</f>
        <v>575.44500000000005</v>
      </c>
      <c r="AD108" s="278"/>
      <c r="AE108" s="278"/>
      <c r="AF108" s="278"/>
      <c r="AG108" s="279"/>
      <c r="AH108" s="479"/>
      <c r="AI108" s="479"/>
      <c r="AJ108" s="479"/>
      <c r="AK108" s="479"/>
    </row>
    <row r="109" spans="1:37" ht="22.5" hidden="1" x14ac:dyDescent="0.4">
      <c r="A109" s="481"/>
      <c r="B109" s="292" t="s">
        <v>253</v>
      </c>
      <c r="C109" s="114">
        <v>9252</v>
      </c>
      <c r="D109" s="114">
        <v>37456</v>
      </c>
      <c r="E109" s="114">
        <v>4675</v>
      </c>
      <c r="F109" s="114">
        <v>21619</v>
      </c>
      <c r="G109" s="114">
        <v>1602</v>
      </c>
      <c r="H109" s="114">
        <v>3014</v>
      </c>
      <c r="I109" s="114">
        <v>3000</v>
      </c>
      <c r="J109" s="114"/>
      <c r="K109" s="114"/>
      <c r="L109" s="114">
        <v>102</v>
      </c>
      <c r="M109" s="114">
        <v>876</v>
      </c>
      <c r="N109" s="114">
        <v>1147</v>
      </c>
      <c r="O109" s="114">
        <v>129</v>
      </c>
      <c r="P109" s="286">
        <f>SUM(C109:O109)</f>
        <v>82872</v>
      </c>
      <c r="Q109" s="114">
        <v>1171</v>
      </c>
      <c r="R109" s="114">
        <v>3885</v>
      </c>
      <c r="S109" s="114">
        <v>2043</v>
      </c>
      <c r="T109" s="114">
        <v>3147</v>
      </c>
      <c r="U109" s="114">
        <v>2052</v>
      </c>
      <c r="V109" s="114">
        <v>851</v>
      </c>
      <c r="W109" s="114">
        <v>292</v>
      </c>
      <c r="X109" s="114">
        <v>852</v>
      </c>
      <c r="Y109" s="114">
        <v>204</v>
      </c>
      <c r="Z109" s="114">
        <v>164</v>
      </c>
      <c r="AA109" s="261"/>
      <c r="AB109" s="286">
        <f>SUM(Q109:AA109)</f>
        <v>14661</v>
      </c>
      <c r="AC109" s="287">
        <f>P109+AB109</f>
        <v>97533</v>
      </c>
      <c r="AD109" s="263"/>
      <c r="AE109" s="263"/>
      <c r="AF109" s="263"/>
      <c r="AG109" s="263"/>
      <c r="AH109" s="479"/>
      <c r="AI109" s="479"/>
      <c r="AJ109" s="479"/>
      <c r="AK109" s="479"/>
    </row>
    <row r="110" spans="1:37" ht="20" hidden="1" x14ac:dyDescent="0.4">
      <c r="A110" s="481"/>
      <c r="B110" s="272" t="s">
        <v>246</v>
      </c>
      <c r="C110" s="484">
        <f>C107+D107+E107+F107+C108+D108+E108+F108</f>
        <v>59661.82499999999</v>
      </c>
      <c r="D110" s="470"/>
      <c r="E110" s="470"/>
      <c r="F110" s="471"/>
      <c r="G110" s="469">
        <f>G107+H107+I107+G108+H108+I108</f>
        <v>6150</v>
      </c>
      <c r="H110" s="470"/>
      <c r="I110" s="471"/>
      <c r="J110" s="273"/>
      <c r="K110" s="273"/>
      <c r="L110" s="469">
        <f>L107+M107+N107+L108+M108+N108</f>
        <v>1367.1200000000001</v>
      </c>
      <c r="M110" s="470"/>
      <c r="N110" s="471"/>
      <c r="O110" s="114"/>
      <c r="P110" s="286"/>
      <c r="Q110" s="469">
        <f>Q107+R107+S107+Q108+R108+S108</f>
        <v>6132</v>
      </c>
      <c r="R110" s="470"/>
      <c r="S110" s="471"/>
      <c r="T110" s="114"/>
      <c r="U110" s="114"/>
      <c r="V110" s="114"/>
      <c r="W110" s="114"/>
      <c r="X110" s="114"/>
      <c r="Y110" s="114"/>
      <c r="Z110" s="114"/>
      <c r="AA110" s="261"/>
      <c r="AB110" s="286"/>
      <c r="AC110" s="287"/>
      <c r="AD110" s="263"/>
      <c r="AE110" s="263"/>
      <c r="AF110" s="263"/>
      <c r="AG110" s="263"/>
      <c r="AH110" s="479"/>
      <c r="AI110" s="479"/>
      <c r="AJ110" s="479"/>
      <c r="AK110" s="479"/>
    </row>
    <row r="111" spans="1:37" ht="20" hidden="1" x14ac:dyDescent="0.4">
      <c r="A111" s="481"/>
      <c r="B111" s="272" t="s">
        <v>247</v>
      </c>
      <c r="C111" s="484">
        <f>C109+D109+E109+F109</f>
        <v>73002</v>
      </c>
      <c r="D111" s="470"/>
      <c r="E111" s="470"/>
      <c r="F111" s="471"/>
      <c r="G111" s="469">
        <f>G109+H109+I109</f>
        <v>7616</v>
      </c>
      <c r="H111" s="470"/>
      <c r="I111" s="471"/>
      <c r="J111" s="273"/>
      <c r="K111" s="273"/>
      <c r="L111" s="469">
        <f>L109+M109+N109</f>
        <v>2125</v>
      </c>
      <c r="M111" s="470"/>
      <c r="N111" s="471"/>
      <c r="O111" s="114"/>
      <c r="P111" s="286"/>
      <c r="Q111" s="469">
        <f>Q109+R109+S109</f>
        <v>7099</v>
      </c>
      <c r="R111" s="470"/>
      <c r="S111" s="471"/>
      <c r="T111" s="114"/>
      <c r="U111" s="114"/>
      <c r="V111" s="114"/>
      <c r="W111" s="114"/>
      <c r="X111" s="114"/>
      <c r="Y111" s="114"/>
      <c r="Z111" s="114"/>
      <c r="AA111" s="261"/>
      <c r="AB111" s="286"/>
      <c r="AC111" s="287"/>
      <c r="AD111" s="263"/>
      <c r="AE111" s="263"/>
      <c r="AF111" s="263"/>
      <c r="AG111" s="263"/>
      <c r="AH111" s="479"/>
      <c r="AI111" s="479"/>
      <c r="AJ111" s="479"/>
      <c r="AK111" s="479"/>
    </row>
    <row r="112" spans="1:37" ht="22.5" hidden="1" x14ac:dyDescent="0.4">
      <c r="A112" s="481"/>
      <c r="B112" s="293" t="s">
        <v>254</v>
      </c>
      <c r="C112" s="472">
        <f>C110/C111</f>
        <v>0.81726288320867913</v>
      </c>
      <c r="D112" s="473"/>
      <c r="E112" s="473"/>
      <c r="F112" s="474"/>
      <c r="G112" s="472">
        <f>G110/G111</f>
        <v>0.80751050420168069</v>
      </c>
      <c r="H112" s="473"/>
      <c r="I112" s="474"/>
      <c r="J112" s="276"/>
      <c r="K112" s="276"/>
      <c r="L112" s="472">
        <f>L110/L111</f>
        <v>0.64335058823529412</v>
      </c>
      <c r="M112" s="473"/>
      <c r="N112" s="474"/>
      <c r="O112" s="280">
        <f t="shared" ref="O112:Z112" si="19">(O107+O108)/O109</f>
        <v>1</v>
      </c>
      <c r="P112" s="290">
        <f t="shared" si="19"/>
        <v>0.81219163287962171</v>
      </c>
      <c r="Q112" s="472">
        <f>Q110/Q111</f>
        <v>0.86378363149739401</v>
      </c>
      <c r="R112" s="473"/>
      <c r="S112" s="474"/>
      <c r="T112" s="280">
        <f t="shared" si="19"/>
        <v>0.80476644423260246</v>
      </c>
      <c r="U112" s="280">
        <f t="shared" si="19"/>
        <v>0.716374269005848</v>
      </c>
      <c r="V112" s="280">
        <f t="shared" si="19"/>
        <v>0.7967097532314924</v>
      </c>
      <c r="W112" s="280">
        <f t="shared" si="19"/>
        <v>0.91095890410958902</v>
      </c>
      <c r="X112" s="280">
        <f t="shared" si="19"/>
        <v>0.87464788732394372</v>
      </c>
      <c r="Y112" s="280">
        <f t="shared" si="19"/>
        <v>0.86764705882352944</v>
      </c>
      <c r="Z112" s="280">
        <f t="shared" si="19"/>
        <v>0.83963414634146338</v>
      </c>
      <c r="AA112" s="265"/>
      <c r="AB112" s="290">
        <f>(AB107+AB108)/AB109</f>
        <v>0.82794488779755815</v>
      </c>
      <c r="AC112" s="291">
        <f>(AC107+AC108)/AC109</f>
        <v>0.81455963622568783</v>
      </c>
      <c r="AD112" s="281">
        <f>AD107/$AG$286</f>
        <v>9</v>
      </c>
      <c r="AE112" s="281">
        <f>AE107/$AG$286</f>
        <v>9</v>
      </c>
      <c r="AF112" s="281">
        <f>AF107/$AG$286</f>
        <v>3</v>
      </c>
      <c r="AG112" s="281">
        <f>AG107/$AG$286</f>
        <v>21</v>
      </c>
      <c r="AH112" s="479"/>
      <c r="AI112" s="479"/>
      <c r="AJ112" s="479"/>
      <c r="AK112" s="479"/>
    </row>
    <row r="113" spans="1:37" ht="22.5" hidden="1" x14ac:dyDescent="0.4">
      <c r="A113" s="481" t="s">
        <v>272</v>
      </c>
      <c r="B113" s="292" t="s">
        <v>269</v>
      </c>
      <c r="C113" s="258">
        <v>7903</v>
      </c>
      <c r="D113" s="258">
        <v>31484</v>
      </c>
      <c r="E113" s="258">
        <v>3697</v>
      </c>
      <c r="F113" s="258">
        <v>15999</v>
      </c>
      <c r="G113" s="258">
        <v>1559</v>
      </c>
      <c r="H113" s="258">
        <v>2632</v>
      </c>
      <c r="I113" s="258">
        <v>2168</v>
      </c>
      <c r="J113" s="258"/>
      <c r="K113" s="258"/>
      <c r="L113" s="258">
        <v>71</v>
      </c>
      <c r="M113" s="258">
        <v>733</v>
      </c>
      <c r="N113" s="258">
        <v>548</v>
      </c>
      <c r="O113" s="258">
        <v>129</v>
      </c>
      <c r="P113" s="286">
        <f>SUM(C113:O113)</f>
        <v>66923</v>
      </c>
      <c r="Q113" s="258">
        <v>1031</v>
      </c>
      <c r="R113" s="258">
        <v>3188</v>
      </c>
      <c r="S113" s="258">
        <v>1892</v>
      </c>
      <c r="T113" s="258">
        <v>2450</v>
      </c>
      <c r="U113" s="258">
        <v>1399</v>
      </c>
      <c r="V113" s="258">
        <v>687</v>
      </c>
      <c r="W113" s="258">
        <v>267</v>
      </c>
      <c r="X113" s="258">
        <v>649</v>
      </c>
      <c r="Y113" s="67">
        <v>179</v>
      </c>
      <c r="Z113" s="67">
        <v>104</v>
      </c>
      <c r="AA113" s="261"/>
      <c r="AB113" s="286">
        <f>SUM(Q113:AA113)</f>
        <v>11846</v>
      </c>
      <c r="AC113" s="287">
        <f>P113+AB113</f>
        <v>78769</v>
      </c>
      <c r="AD113" s="278">
        <v>8</v>
      </c>
      <c r="AE113" s="278">
        <v>8</v>
      </c>
      <c r="AF113" s="278">
        <v>5</v>
      </c>
      <c r="AG113" s="279">
        <f>SUM(AD113:AF113)</f>
        <v>21</v>
      </c>
      <c r="AH113" s="478">
        <v>2268</v>
      </c>
      <c r="AI113" s="478">
        <v>2288</v>
      </c>
      <c r="AJ113" s="478">
        <v>1522</v>
      </c>
      <c r="AK113" s="478">
        <f>SUM(AH113:AJ118)</f>
        <v>6078</v>
      </c>
    </row>
    <row r="114" spans="1:37" ht="22.5" hidden="1" x14ac:dyDescent="0.4">
      <c r="A114" s="481"/>
      <c r="B114" s="292" t="s">
        <v>265</v>
      </c>
      <c r="C114" s="258">
        <v>39.515000000000001</v>
      </c>
      <c r="D114" s="258">
        <v>157.42000000000002</v>
      </c>
      <c r="E114" s="258">
        <v>18.484999999999999</v>
      </c>
      <c r="F114" s="258">
        <v>79.995000000000005</v>
      </c>
      <c r="G114" s="258">
        <v>0</v>
      </c>
      <c r="H114" s="258">
        <v>0</v>
      </c>
      <c r="I114" s="258">
        <v>0</v>
      </c>
      <c r="J114" s="258"/>
      <c r="K114" s="258"/>
      <c r="L114" s="258">
        <v>0</v>
      </c>
      <c r="M114" s="258">
        <v>14.66</v>
      </c>
      <c r="N114" s="258">
        <v>10.96</v>
      </c>
      <c r="O114" s="258">
        <v>0</v>
      </c>
      <c r="P114" s="286">
        <f>SUM(C114:O114)</f>
        <v>321.03500000000003</v>
      </c>
      <c r="Q114" s="258">
        <v>0</v>
      </c>
      <c r="R114" s="258">
        <v>0</v>
      </c>
      <c r="S114" s="258">
        <v>0</v>
      </c>
      <c r="T114" s="258">
        <v>122.5</v>
      </c>
      <c r="U114" s="258">
        <v>0</v>
      </c>
      <c r="V114" s="258">
        <v>0</v>
      </c>
      <c r="W114" s="258">
        <v>0</v>
      </c>
      <c r="X114" s="258">
        <v>97.35</v>
      </c>
      <c r="Y114" s="67">
        <v>0</v>
      </c>
      <c r="Z114" s="67">
        <v>36.049999999999997</v>
      </c>
      <c r="AA114" s="261"/>
      <c r="AB114" s="286">
        <f>SUM(Q114:AA114)</f>
        <v>255.89999999999998</v>
      </c>
      <c r="AC114" s="287">
        <f>P114+AB114</f>
        <v>576.93499999999995</v>
      </c>
      <c r="AD114" s="278"/>
      <c r="AE114" s="278"/>
      <c r="AF114" s="278"/>
      <c r="AG114" s="279"/>
      <c r="AH114" s="479"/>
      <c r="AI114" s="479"/>
      <c r="AJ114" s="479"/>
      <c r="AK114" s="479"/>
    </row>
    <row r="115" spans="1:37" ht="22.5" hidden="1" x14ac:dyDescent="0.4">
      <c r="A115" s="481"/>
      <c r="B115" s="292" t="s">
        <v>253</v>
      </c>
      <c r="C115" s="114">
        <v>9252</v>
      </c>
      <c r="D115" s="114">
        <v>37456</v>
      </c>
      <c r="E115" s="114">
        <v>4675</v>
      </c>
      <c r="F115" s="114">
        <v>21619</v>
      </c>
      <c r="G115" s="114">
        <v>1602</v>
      </c>
      <c r="H115" s="114">
        <v>3014</v>
      </c>
      <c r="I115" s="114">
        <v>3000</v>
      </c>
      <c r="J115" s="114"/>
      <c r="K115" s="114"/>
      <c r="L115" s="114">
        <v>102</v>
      </c>
      <c r="M115" s="114">
        <v>876</v>
      </c>
      <c r="N115" s="114">
        <v>1147</v>
      </c>
      <c r="O115" s="114">
        <v>129</v>
      </c>
      <c r="P115" s="286">
        <f>SUM(C115:O115)</f>
        <v>82872</v>
      </c>
      <c r="Q115" s="114">
        <v>1171</v>
      </c>
      <c r="R115" s="114">
        <v>3885</v>
      </c>
      <c r="S115" s="114">
        <v>2043</v>
      </c>
      <c r="T115" s="114">
        <v>3147</v>
      </c>
      <c r="U115" s="114">
        <v>2052</v>
      </c>
      <c r="V115" s="114">
        <v>851</v>
      </c>
      <c r="W115" s="114">
        <v>292</v>
      </c>
      <c r="X115" s="114">
        <v>852</v>
      </c>
      <c r="Y115" s="114">
        <v>204</v>
      </c>
      <c r="Z115" s="114">
        <v>164</v>
      </c>
      <c r="AA115" s="261"/>
      <c r="AB115" s="286">
        <f>SUM(Q115:AA115)</f>
        <v>14661</v>
      </c>
      <c r="AC115" s="287">
        <f>P115+AB115</f>
        <v>97533</v>
      </c>
      <c r="AD115" s="263"/>
      <c r="AE115" s="263"/>
      <c r="AF115" s="263"/>
      <c r="AG115" s="263"/>
      <c r="AH115" s="479"/>
      <c r="AI115" s="479"/>
      <c r="AJ115" s="479"/>
      <c r="AK115" s="479"/>
    </row>
    <row r="116" spans="1:37" ht="20" hidden="1" x14ac:dyDescent="0.4">
      <c r="A116" s="481"/>
      <c r="B116" s="272" t="s">
        <v>246</v>
      </c>
      <c r="C116" s="469">
        <f>C113+D113+E113+F113+C114+D114+E114+F114</f>
        <v>59378.415000000001</v>
      </c>
      <c r="D116" s="470"/>
      <c r="E116" s="470"/>
      <c r="F116" s="471"/>
      <c r="G116" s="469">
        <f>G113+H113+I113+G114+H114+I114</f>
        <v>6359</v>
      </c>
      <c r="H116" s="470"/>
      <c r="I116" s="471"/>
      <c r="J116" s="273"/>
      <c r="K116" s="273"/>
      <c r="L116" s="469">
        <f>L113+M113+N113+L114+M114+N114</f>
        <v>1377.6200000000001</v>
      </c>
      <c r="M116" s="470"/>
      <c r="N116" s="471"/>
      <c r="O116" s="114"/>
      <c r="P116" s="286"/>
      <c r="Q116" s="469">
        <f>Q113+R113+S113+Q114+R114+S114</f>
        <v>6111</v>
      </c>
      <c r="R116" s="470"/>
      <c r="S116" s="471"/>
      <c r="T116" s="114"/>
      <c r="U116" s="114"/>
      <c r="V116" s="114"/>
      <c r="W116" s="114"/>
      <c r="X116" s="114"/>
      <c r="Y116" s="114"/>
      <c r="Z116" s="114"/>
      <c r="AA116" s="261"/>
      <c r="AB116" s="286"/>
      <c r="AC116" s="287"/>
      <c r="AD116" s="263"/>
      <c r="AE116" s="263"/>
      <c r="AF116" s="263"/>
      <c r="AG116" s="263"/>
      <c r="AH116" s="479"/>
      <c r="AI116" s="479"/>
      <c r="AJ116" s="479"/>
      <c r="AK116" s="479"/>
    </row>
    <row r="117" spans="1:37" ht="20" hidden="1" x14ac:dyDescent="0.4">
      <c r="A117" s="481"/>
      <c r="B117" s="272" t="s">
        <v>247</v>
      </c>
      <c r="C117" s="469">
        <f>C115+D115+E115+F115</f>
        <v>73002</v>
      </c>
      <c r="D117" s="470"/>
      <c r="E117" s="470"/>
      <c r="F117" s="471"/>
      <c r="G117" s="469">
        <f>G115+H115+I115</f>
        <v>7616</v>
      </c>
      <c r="H117" s="470"/>
      <c r="I117" s="471"/>
      <c r="J117" s="273"/>
      <c r="K117" s="273"/>
      <c r="L117" s="469">
        <f>L115+M115+N115</f>
        <v>2125</v>
      </c>
      <c r="M117" s="470"/>
      <c r="N117" s="471"/>
      <c r="O117" s="114"/>
      <c r="P117" s="286"/>
      <c r="Q117" s="469">
        <f>Q115+R115+S115</f>
        <v>7099</v>
      </c>
      <c r="R117" s="470"/>
      <c r="S117" s="471"/>
      <c r="T117" s="114"/>
      <c r="U117" s="114"/>
      <c r="V117" s="114"/>
      <c r="W117" s="114"/>
      <c r="X117" s="114"/>
      <c r="Y117" s="114"/>
      <c r="Z117" s="114"/>
      <c r="AA117" s="261"/>
      <c r="AB117" s="286"/>
      <c r="AC117" s="287"/>
      <c r="AD117" s="263"/>
      <c r="AE117" s="263"/>
      <c r="AF117" s="263"/>
      <c r="AG117" s="263"/>
      <c r="AH117" s="479"/>
      <c r="AI117" s="479"/>
      <c r="AJ117" s="479"/>
      <c r="AK117" s="479"/>
    </row>
    <row r="118" spans="1:37" ht="22.5" hidden="1" x14ac:dyDescent="0.4">
      <c r="A118" s="481"/>
      <c r="B118" s="293" t="s">
        <v>254</v>
      </c>
      <c r="C118" s="472">
        <f>C116/C117</f>
        <v>0.81338066080381366</v>
      </c>
      <c r="D118" s="473"/>
      <c r="E118" s="473"/>
      <c r="F118" s="474"/>
      <c r="G118" s="472">
        <f>G116/G117</f>
        <v>0.83495273109243695</v>
      </c>
      <c r="H118" s="473"/>
      <c r="I118" s="474"/>
      <c r="J118" s="276"/>
      <c r="K118" s="276"/>
      <c r="L118" s="472">
        <f>L116/L117</f>
        <v>0.64829176470588246</v>
      </c>
      <c r="M118" s="473"/>
      <c r="N118" s="474"/>
      <c r="O118" s="280">
        <f>(O113+O114)/O115</f>
        <v>1</v>
      </c>
      <c r="P118" s="290">
        <f t="shared" ref="P118:Z118" si="20">(P113+P114)/P115</f>
        <v>0.81142044357563481</v>
      </c>
      <c r="Q118" s="472">
        <f>Q116/Q117</f>
        <v>0.86082546837582763</v>
      </c>
      <c r="R118" s="473"/>
      <c r="S118" s="474"/>
      <c r="T118" s="280">
        <f t="shared" si="20"/>
        <v>0.81744518589132509</v>
      </c>
      <c r="U118" s="280">
        <f t="shared" si="20"/>
        <v>0.68177387914230014</v>
      </c>
      <c r="V118" s="280">
        <f t="shared" si="20"/>
        <v>0.80728554641598116</v>
      </c>
      <c r="W118" s="280">
        <f t="shared" si="20"/>
        <v>0.91438356164383561</v>
      </c>
      <c r="X118" s="280">
        <f t="shared" si="20"/>
        <v>0.87599765258215967</v>
      </c>
      <c r="Y118" s="280">
        <f t="shared" si="20"/>
        <v>0.87745098039215685</v>
      </c>
      <c r="Z118" s="280">
        <f t="shared" si="20"/>
        <v>0.85396341463414638</v>
      </c>
      <c r="AA118" s="265"/>
      <c r="AB118" s="290">
        <f>(AB113+AB114)/AB115</f>
        <v>0.82544846872655342</v>
      </c>
      <c r="AC118" s="291">
        <f>(AC113+AC114)/AC115</f>
        <v>0.81352911322321675</v>
      </c>
      <c r="AD118" s="281" t="e">
        <f>AD113/$AG$285</f>
        <v>#DIV/0!</v>
      </c>
      <c r="AE118" s="281" t="e">
        <f>AE113/$AG$285</f>
        <v>#DIV/0!</v>
      </c>
      <c r="AF118" s="281" t="e">
        <f>AF113/$AG$285</f>
        <v>#DIV/0!</v>
      </c>
      <c r="AG118" s="281" t="e">
        <f>AG113/$AG$285</f>
        <v>#DIV/0!</v>
      </c>
      <c r="AH118" s="479"/>
      <c r="AI118" s="479"/>
      <c r="AJ118" s="479"/>
      <c r="AK118" s="479"/>
    </row>
    <row r="119" spans="1:37" ht="22.5" hidden="1" x14ac:dyDescent="0.4">
      <c r="A119" s="481" t="s">
        <v>273</v>
      </c>
      <c r="B119" s="292" t="s">
        <v>269</v>
      </c>
      <c r="C119" s="258">
        <v>7954</v>
      </c>
      <c r="D119" s="258">
        <v>32151</v>
      </c>
      <c r="E119" s="258">
        <v>3893</v>
      </c>
      <c r="F119" s="258">
        <v>16429</v>
      </c>
      <c r="G119" s="258">
        <v>1531</v>
      </c>
      <c r="H119" s="258">
        <v>2610</v>
      </c>
      <c r="I119" s="258">
        <v>2301</v>
      </c>
      <c r="J119" s="258"/>
      <c r="K119" s="258"/>
      <c r="L119" s="258">
        <v>79</v>
      </c>
      <c r="M119" s="258">
        <v>758</v>
      </c>
      <c r="N119" s="258">
        <v>562</v>
      </c>
      <c r="O119" s="258">
        <v>129</v>
      </c>
      <c r="P119" s="286">
        <f>SUM(C119:O119)</f>
        <v>68397</v>
      </c>
      <c r="Q119" s="258">
        <v>1101</v>
      </c>
      <c r="R119" s="258">
        <v>3249</v>
      </c>
      <c r="S119" s="258">
        <v>1960</v>
      </c>
      <c r="T119" s="258">
        <v>2463</v>
      </c>
      <c r="U119" s="258">
        <v>1413</v>
      </c>
      <c r="V119" s="258">
        <v>692</v>
      </c>
      <c r="W119" s="258">
        <v>268</v>
      </c>
      <c r="X119" s="258">
        <v>654</v>
      </c>
      <c r="Y119" s="67">
        <v>172</v>
      </c>
      <c r="Z119" s="67">
        <v>106</v>
      </c>
      <c r="AA119" s="261"/>
      <c r="AB119" s="286">
        <f>SUM(Q119:AA119)</f>
        <v>12078</v>
      </c>
      <c r="AC119" s="287">
        <f>P119+AB119</f>
        <v>80475</v>
      </c>
      <c r="AD119" s="278">
        <v>11</v>
      </c>
      <c r="AE119" s="278">
        <v>8</v>
      </c>
      <c r="AF119" s="278">
        <v>2</v>
      </c>
      <c r="AG119" s="279">
        <f>SUM(AD119:AF119)</f>
        <v>21</v>
      </c>
      <c r="AH119" s="478">
        <v>2690</v>
      </c>
      <c r="AI119" s="478">
        <v>1058</v>
      </c>
      <c r="AJ119" s="478">
        <v>705</v>
      </c>
      <c r="AK119" s="478">
        <f>SUM(AH119:AJ124)</f>
        <v>4453</v>
      </c>
    </row>
    <row r="120" spans="1:37" ht="22.5" hidden="1" x14ac:dyDescent="0.4">
      <c r="A120" s="481"/>
      <c r="B120" s="292" t="s">
        <v>265</v>
      </c>
      <c r="C120" s="258">
        <v>39.770000000000003</v>
      </c>
      <c r="D120" s="258">
        <v>160.755</v>
      </c>
      <c r="E120" s="258">
        <v>19.465</v>
      </c>
      <c r="F120" s="258">
        <v>82.144999999999996</v>
      </c>
      <c r="G120" s="258">
        <v>0</v>
      </c>
      <c r="H120" s="258">
        <v>0</v>
      </c>
      <c r="I120" s="258">
        <v>0</v>
      </c>
      <c r="J120" s="258"/>
      <c r="K120" s="258"/>
      <c r="L120" s="258">
        <v>0</v>
      </c>
      <c r="M120" s="258">
        <v>15.16</v>
      </c>
      <c r="N120" s="258">
        <v>11.24</v>
      </c>
      <c r="O120" s="258">
        <v>0</v>
      </c>
      <c r="P120" s="286">
        <f>SUM(C120:O120)</f>
        <v>328.53500000000003</v>
      </c>
      <c r="Q120" s="258">
        <v>11.01</v>
      </c>
      <c r="R120" s="258">
        <v>0</v>
      </c>
      <c r="S120" s="258">
        <v>0</v>
      </c>
      <c r="T120" s="258">
        <v>123.15</v>
      </c>
      <c r="U120" s="258">
        <v>0</v>
      </c>
      <c r="V120" s="258">
        <v>0</v>
      </c>
      <c r="W120" s="258">
        <v>0</v>
      </c>
      <c r="X120" s="258">
        <v>98.1</v>
      </c>
      <c r="Y120" s="67">
        <v>0</v>
      </c>
      <c r="Z120" s="67">
        <v>37.099999999999994</v>
      </c>
      <c r="AA120" s="261"/>
      <c r="AB120" s="286">
        <f>SUM(Q120:AA120)</f>
        <v>269.36</v>
      </c>
      <c r="AC120" s="287">
        <f>P120+AB120</f>
        <v>597.89499999999998</v>
      </c>
      <c r="AD120" s="278"/>
      <c r="AE120" s="278"/>
      <c r="AF120" s="278"/>
      <c r="AG120" s="279"/>
      <c r="AH120" s="479"/>
      <c r="AI120" s="479"/>
      <c r="AJ120" s="479"/>
      <c r="AK120" s="479"/>
    </row>
    <row r="121" spans="1:37" ht="22.5" hidden="1" x14ac:dyDescent="0.4">
      <c r="A121" s="481"/>
      <c r="B121" s="292" t="s">
        <v>253</v>
      </c>
      <c r="C121" s="114">
        <v>9252</v>
      </c>
      <c r="D121" s="114">
        <v>37456</v>
      </c>
      <c r="E121" s="114">
        <v>4675</v>
      </c>
      <c r="F121" s="114">
        <v>21619</v>
      </c>
      <c r="G121" s="114">
        <v>1602</v>
      </c>
      <c r="H121" s="114">
        <v>3014</v>
      </c>
      <c r="I121" s="114">
        <v>3000</v>
      </c>
      <c r="J121" s="114"/>
      <c r="K121" s="114"/>
      <c r="L121" s="114">
        <v>102</v>
      </c>
      <c r="M121" s="114">
        <v>876</v>
      </c>
      <c r="N121" s="114">
        <v>1147</v>
      </c>
      <c r="O121" s="114">
        <v>129</v>
      </c>
      <c r="P121" s="286">
        <f>SUM(C121:O121)</f>
        <v>82872</v>
      </c>
      <c r="Q121" s="114">
        <v>1187</v>
      </c>
      <c r="R121" s="114">
        <v>3885</v>
      </c>
      <c r="S121" s="114">
        <v>2020</v>
      </c>
      <c r="T121" s="114">
        <v>3147</v>
      </c>
      <c r="U121" s="114">
        <v>2052</v>
      </c>
      <c r="V121" s="114">
        <v>851</v>
      </c>
      <c r="W121" s="114">
        <v>292</v>
      </c>
      <c r="X121" s="114">
        <v>852</v>
      </c>
      <c r="Y121" s="114">
        <v>204</v>
      </c>
      <c r="Z121" s="114">
        <v>164</v>
      </c>
      <c r="AA121" s="261"/>
      <c r="AB121" s="286">
        <f>SUM(Q121:AA121)</f>
        <v>14654</v>
      </c>
      <c r="AC121" s="287">
        <f>P121+AB121</f>
        <v>97526</v>
      </c>
      <c r="AD121" s="263"/>
      <c r="AE121" s="263"/>
      <c r="AF121" s="263"/>
      <c r="AG121" s="263"/>
      <c r="AH121" s="479"/>
      <c r="AI121" s="479"/>
      <c r="AJ121" s="479"/>
      <c r="AK121" s="479"/>
    </row>
    <row r="122" spans="1:37" ht="20" hidden="1" x14ac:dyDescent="0.4">
      <c r="A122" s="481"/>
      <c r="B122" s="272" t="s">
        <v>246</v>
      </c>
      <c r="C122" s="469">
        <f>C119+D119+E119+F119+C120+D120+E120+F120</f>
        <v>60729.134999999987</v>
      </c>
      <c r="D122" s="470"/>
      <c r="E122" s="470"/>
      <c r="F122" s="471"/>
      <c r="G122" s="469">
        <f>G119+H119+I119+G120+H120+I120</f>
        <v>6442</v>
      </c>
      <c r="H122" s="470"/>
      <c r="I122" s="471"/>
      <c r="J122" s="273"/>
      <c r="K122" s="273"/>
      <c r="L122" s="469">
        <f>L119+M119+N119+L120+M120+N120</f>
        <v>1425.4</v>
      </c>
      <c r="M122" s="470"/>
      <c r="N122" s="471"/>
      <c r="O122" s="114"/>
      <c r="P122" s="286"/>
      <c r="Q122" s="469">
        <f>Q119+R119+S119+Q120+R120+S120</f>
        <v>6321.01</v>
      </c>
      <c r="R122" s="470"/>
      <c r="S122" s="471"/>
      <c r="T122" s="114"/>
      <c r="U122" s="114"/>
      <c r="V122" s="114"/>
      <c r="W122" s="114"/>
      <c r="X122" s="114"/>
      <c r="Y122" s="114"/>
      <c r="Z122" s="114"/>
      <c r="AA122" s="261"/>
      <c r="AB122" s="286"/>
      <c r="AC122" s="287"/>
      <c r="AD122" s="263"/>
      <c r="AE122" s="263"/>
      <c r="AF122" s="263"/>
      <c r="AG122" s="263"/>
      <c r="AH122" s="479"/>
      <c r="AI122" s="479"/>
      <c r="AJ122" s="479"/>
      <c r="AK122" s="479"/>
    </row>
    <row r="123" spans="1:37" ht="20" hidden="1" x14ac:dyDescent="0.4">
      <c r="A123" s="481"/>
      <c r="B123" s="272" t="s">
        <v>247</v>
      </c>
      <c r="C123" s="469">
        <f>C121+D121+E121+F121</f>
        <v>73002</v>
      </c>
      <c r="D123" s="470"/>
      <c r="E123" s="470"/>
      <c r="F123" s="471"/>
      <c r="G123" s="469">
        <f>G121+H121+I121</f>
        <v>7616</v>
      </c>
      <c r="H123" s="470"/>
      <c r="I123" s="471"/>
      <c r="J123" s="273"/>
      <c r="K123" s="273"/>
      <c r="L123" s="469">
        <f>L121+M121+N121</f>
        <v>2125</v>
      </c>
      <c r="M123" s="470"/>
      <c r="N123" s="471"/>
      <c r="O123" s="114"/>
      <c r="P123" s="286"/>
      <c r="Q123" s="469">
        <f>Q121+R121+S121</f>
        <v>7092</v>
      </c>
      <c r="R123" s="470"/>
      <c r="S123" s="471"/>
      <c r="T123" s="114"/>
      <c r="U123" s="114"/>
      <c r="V123" s="114"/>
      <c r="W123" s="114"/>
      <c r="X123" s="114"/>
      <c r="Y123" s="114"/>
      <c r="Z123" s="114"/>
      <c r="AA123" s="261"/>
      <c r="AB123" s="286"/>
      <c r="AC123" s="287"/>
      <c r="AD123" s="263"/>
      <c r="AE123" s="263"/>
      <c r="AF123" s="263"/>
      <c r="AG123" s="263"/>
      <c r="AH123" s="479"/>
      <c r="AI123" s="479"/>
      <c r="AJ123" s="479"/>
      <c r="AK123" s="479"/>
    </row>
    <row r="124" spans="1:37" ht="22.5" hidden="1" x14ac:dyDescent="0.4">
      <c r="A124" s="481"/>
      <c r="B124" s="293" t="s">
        <v>254</v>
      </c>
      <c r="C124" s="472">
        <f>C122/C123</f>
        <v>0.83188316758444958</v>
      </c>
      <c r="D124" s="473"/>
      <c r="E124" s="473"/>
      <c r="F124" s="474"/>
      <c r="G124" s="472">
        <f>G122/G123</f>
        <v>0.84585084033613445</v>
      </c>
      <c r="H124" s="473"/>
      <c r="I124" s="474"/>
      <c r="J124" s="276"/>
      <c r="K124" s="276"/>
      <c r="L124" s="472">
        <f>L122/L123</f>
        <v>0.67077647058823531</v>
      </c>
      <c r="M124" s="473"/>
      <c r="N124" s="474"/>
      <c r="O124" s="280">
        <f>(O119+O120)/O121</f>
        <v>1</v>
      </c>
      <c r="P124" s="290">
        <f t="shared" ref="P124:Z124" si="21">(P119+P120)/P121</f>
        <v>0.82929741046433059</v>
      </c>
      <c r="Q124" s="472">
        <f>Q122/Q123</f>
        <v>0.89128736604624936</v>
      </c>
      <c r="R124" s="473"/>
      <c r="S124" s="474"/>
      <c r="T124" s="280">
        <f t="shared" si="21"/>
        <v>0.82178265014299334</v>
      </c>
      <c r="U124" s="280">
        <f t="shared" si="21"/>
        <v>0.68859649122807021</v>
      </c>
      <c r="V124" s="280">
        <f t="shared" si="21"/>
        <v>0.81316098707403051</v>
      </c>
      <c r="W124" s="280">
        <f t="shared" si="21"/>
        <v>0.9178082191780822</v>
      </c>
      <c r="X124" s="280">
        <f t="shared" si="21"/>
        <v>0.88274647887323943</v>
      </c>
      <c r="Y124" s="280">
        <f t="shared" si="21"/>
        <v>0.84313725490196079</v>
      </c>
      <c r="Z124" s="280">
        <f t="shared" si="21"/>
        <v>0.8725609756097561</v>
      </c>
      <c r="AA124" s="265"/>
      <c r="AB124" s="290">
        <f>(AB119+AB120)/AB121</f>
        <v>0.84259314862836088</v>
      </c>
      <c r="AC124" s="291">
        <f>(AC119+AC120)/AC121</f>
        <v>0.83129519307671806</v>
      </c>
      <c r="AD124" s="281" t="e">
        <f>AD119/$AG$284</f>
        <v>#DIV/0!</v>
      </c>
      <c r="AE124" s="281" t="e">
        <f>AE119/$AG$284</f>
        <v>#DIV/0!</v>
      </c>
      <c r="AF124" s="281" t="e">
        <f>AF119/$AG$284</f>
        <v>#DIV/0!</v>
      </c>
      <c r="AG124" s="281" t="e">
        <f>AG119/$AG$284</f>
        <v>#DIV/0!</v>
      </c>
      <c r="AH124" s="479"/>
      <c r="AI124" s="479"/>
      <c r="AJ124" s="479"/>
      <c r="AK124" s="479"/>
    </row>
    <row r="125" spans="1:37" ht="22.5" hidden="1" x14ac:dyDescent="0.4">
      <c r="A125" s="481" t="s">
        <v>274</v>
      </c>
      <c r="B125" s="292" t="s">
        <v>269</v>
      </c>
      <c r="C125" s="258">
        <v>8025</v>
      </c>
      <c r="D125" s="258">
        <v>32343</v>
      </c>
      <c r="E125" s="258">
        <v>3955</v>
      </c>
      <c r="F125" s="258">
        <v>16767</v>
      </c>
      <c r="G125" s="258">
        <v>1517</v>
      </c>
      <c r="H125" s="258">
        <v>3228</v>
      </c>
      <c r="I125" s="258">
        <v>1813</v>
      </c>
      <c r="J125" s="258"/>
      <c r="K125" s="258"/>
      <c r="L125" s="258">
        <v>79</v>
      </c>
      <c r="M125" s="258">
        <v>701</v>
      </c>
      <c r="N125" s="258">
        <v>573</v>
      </c>
      <c r="O125" s="258">
        <v>128</v>
      </c>
      <c r="P125" s="286">
        <f>SUM(C125:O125)</f>
        <v>69129</v>
      </c>
      <c r="Q125" s="258">
        <v>1092</v>
      </c>
      <c r="R125" s="258">
        <v>2417</v>
      </c>
      <c r="S125" s="258">
        <v>1872</v>
      </c>
      <c r="T125" s="258">
        <v>2525</v>
      </c>
      <c r="U125" s="258">
        <v>2137</v>
      </c>
      <c r="V125" s="258">
        <v>690</v>
      </c>
      <c r="W125" s="258">
        <v>270</v>
      </c>
      <c r="X125" s="258">
        <v>659</v>
      </c>
      <c r="Y125" s="67">
        <v>172</v>
      </c>
      <c r="Z125" s="67">
        <v>106</v>
      </c>
      <c r="AA125" s="261"/>
      <c r="AB125" s="286">
        <f>SUM(Q125:AA125)</f>
        <v>11940</v>
      </c>
      <c r="AC125" s="287">
        <f>P125+AB125</f>
        <v>81069</v>
      </c>
      <c r="AD125" s="278">
        <v>10</v>
      </c>
      <c r="AE125" s="278">
        <v>8</v>
      </c>
      <c r="AF125" s="278">
        <v>3</v>
      </c>
      <c r="AG125" s="279">
        <f>SUM(AD125:AF125)</f>
        <v>21</v>
      </c>
      <c r="AH125" s="478">
        <v>1840</v>
      </c>
      <c r="AI125" s="478">
        <v>1250</v>
      </c>
      <c r="AJ125" s="478">
        <v>2101</v>
      </c>
      <c r="AK125" s="478">
        <f>SUM(AH125:AJ130)</f>
        <v>5191</v>
      </c>
    </row>
    <row r="126" spans="1:37" ht="22.5" hidden="1" x14ac:dyDescent="0.4">
      <c r="A126" s="481"/>
      <c r="B126" s="292" t="s">
        <v>265</v>
      </c>
      <c r="C126" s="258">
        <v>40.125</v>
      </c>
      <c r="D126" s="258">
        <v>161.715</v>
      </c>
      <c r="E126" s="258">
        <v>19.775000000000002</v>
      </c>
      <c r="F126" s="258">
        <v>83.835000000000008</v>
      </c>
      <c r="G126" s="258">
        <v>0</v>
      </c>
      <c r="H126" s="258">
        <v>0</v>
      </c>
      <c r="I126" s="258">
        <v>0</v>
      </c>
      <c r="J126" s="258"/>
      <c r="K126" s="258"/>
      <c r="L126" s="258">
        <v>0</v>
      </c>
      <c r="M126" s="258">
        <v>14.02</v>
      </c>
      <c r="N126" s="258">
        <v>11.46</v>
      </c>
      <c r="O126" s="258">
        <v>0</v>
      </c>
      <c r="P126" s="286">
        <f>SUM(C126:O126)</f>
        <v>330.93</v>
      </c>
      <c r="Q126" s="258">
        <v>10.92</v>
      </c>
      <c r="R126" s="258">
        <v>0</v>
      </c>
      <c r="S126" s="258">
        <v>0</v>
      </c>
      <c r="T126" s="258">
        <v>126.25</v>
      </c>
      <c r="U126" s="258">
        <v>0</v>
      </c>
      <c r="V126" s="258">
        <v>0</v>
      </c>
      <c r="W126" s="258">
        <v>0</v>
      </c>
      <c r="X126" s="258">
        <v>98.85</v>
      </c>
      <c r="Y126" s="67">
        <v>0</v>
      </c>
      <c r="Z126" s="67">
        <v>37.099999999999994</v>
      </c>
      <c r="AA126" s="261"/>
      <c r="AB126" s="286">
        <f>SUM(Q126:AA126)</f>
        <v>273.12</v>
      </c>
      <c r="AC126" s="287">
        <f>P126+AB126</f>
        <v>604.04999999999995</v>
      </c>
      <c r="AD126" s="278"/>
      <c r="AE126" s="278"/>
      <c r="AF126" s="278"/>
      <c r="AG126" s="279"/>
      <c r="AH126" s="479"/>
      <c r="AI126" s="479"/>
      <c r="AJ126" s="479"/>
      <c r="AK126" s="479"/>
    </row>
    <row r="127" spans="1:37" ht="22.5" hidden="1" x14ac:dyDescent="0.4">
      <c r="A127" s="481"/>
      <c r="B127" s="292" t="s">
        <v>253</v>
      </c>
      <c r="C127" s="114">
        <v>9252</v>
      </c>
      <c r="D127" s="114">
        <v>37456</v>
      </c>
      <c r="E127" s="114">
        <v>4675</v>
      </c>
      <c r="F127" s="114">
        <v>21619</v>
      </c>
      <c r="G127" s="114">
        <v>1602</v>
      </c>
      <c r="H127" s="114">
        <v>6242</v>
      </c>
      <c r="I127" s="114">
        <v>2442</v>
      </c>
      <c r="J127" s="114"/>
      <c r="K127" s="114"/>
      <c r="L127" s="114">
        <v>102</v>
      </c>
      <c r="M127" s="114">
        <v>876</v>
      </c>
      <c r="N127" s="114">
        <v>1147</v>
      </c>
      <c r="O127" s="114">
        <v>129</v>
      </c>
      <c r="P127" s="286">
        <f>SUM(C127:O127)</f>
        <v>85542</v>
      </c>
      <c r="Q127" s="114">
        <v>1187</v>
      </c>
      <c r="R127" s="114">
        <v>2718</v>
      </c>
      <c r="S127" s="114">
        <v>2020</v>
      </c>
      <c r="T127" s="114">
        <v>3147</v>
      </c>
      <c r="U127" s="114">
        <v>4086</v>
      </c>
      <c r="V127" s="114">
        <v>851</v>
      </c>
      <c r="W127" s="114">
        <v>292</v>
      </c>
      <c r="X127" s="114">
        <v>852</v>
      </c>
      <c r="Y127" s="114">
        <v>204</v>
      </c>
      <c r="Z127" s="114">
        <v>164</v>
      </c>
      <c r="AA127" s="261"/>
      <c r="AB127" s="286">
        <f>SUM(Q127:AA127)</f>
        <v>15521</v>
      </c>
      <c r="AC127" s="287">
        <f>P127+AB127</f>
        <v>101063</v>
      </c>
      <c r="AD127" s="263"/>
      <c r="AE127" s="263"/>
      <c r="AF127" s="263"/>
      <c r="AG127" s="263"/>
      <c r="AH127" s="479"/>
      <c r="AI127" s="479"/>
      <c r="AJ127" s="479"/>
      <c r="AK127" s="479"/>
    </row>
    <row r="128" spans="1:37" ht="25" hidden="1" x14ac:dyDescent="0.4">
      <c r="A128" s="481"/>
      <c r="B128" s="292" t="s">
        <v>275</v>
      </c>
      <c r="C128" s="469">
        <f>C125+D125+E125+F125+C126+D126+E126+F126</f>
        <v>61395.45</v>
      </c>
      <c r="D128" s="470"/>
      <c r="E128" s="470"/>
      <c r="F128" s="471"/>
      <c r="G128" s="469">
        <f>G125+H125+I125+G126+H126+I126</f>
        <v>6558</v>
      </c>
      <c r="H128" s="470"/>
      <c r="I128" s="471"/>
      <c r="J128" s="273"/>
      <c r="K128" s="273"/>
      <c r="L128" s="469">
        <f>L125+M125+N125+L126+M126+N126</f>
        <v>1378.48</v>
      </c>
      <c r="M128" s="482"/>
      <c r="N128" s="483"/>
      <c r="O128" s="114"/>
      <c r="P128" s="286"/>
      <c r="Q128" s="469">
        <f>Q125+R125+S125+Q126+R126+S126</f>
        <v>5391.92</v>
      </c>
      <c r="R128" s="470"/>
      <c r="S128" s="471"/>
      <c r="T128" s="114"/>
      <c r="U128" s="114"/>
      <c r="V128" s="114"/>
      <c r="W128" s="114"/>
      <c r="X128" s="114"/>
      <c r="Y128" s="114"/>
      <c r="Z128" s="114"/>
      <c r="AA128" s="261"/>
      <c r="AB128" s="286"/>
      <c r="AC128" s="287"/>
      <c r="AD128" s="263"/>
      <c r="AE128" s="263"/>
      <c r="AF128" s="263"/>
      <c r="AG128" s="263"/>
      <c r="AH128" s="479"/>
      <c r="AI128" s="479"/>
      <c r="AJ128" s="479"/>
      <c r="AK128" s="479"/>
    </row>
    <row r="129" spans="1:37" ht="25" hidden="1" x14ac:dyDescent="0.4">
      <c r="A129" s="481"/>
      <c r="B129" s="302" t="s">
        <v>247</v>
      </c>
      <c r="C129" s="469">
        <f>C127+D127+E127+F127</f>
        <v>73002</v>
      </c>
      <c r="D129" s="470"/>
      <c r="E129" s="470"/>
      <c r="F129" s="471"/>
      <c r="G129" s="469">
        <f>G127+H127+I127</f>
        <v>10286</v>
      </c>
      <c r="H129" s="470"/>
      <c r="I129" s="471"/>
      <c r="J129" s="273"/>
      <c r="K129" s="273"/>
      <c r="L129" s="469">
        <f>L127+M127+N127</f>
        <v>2125</v>
      </c>
      <c r="M129" s="482"/>
      <c r="N129" s="483"/>
      <c r="O129" s="114"/>
      <c r="P129" s="286"/>
      <c r="Q129" s="469">
        <f>Q127+R127+S127</f>
        <v>5925</v>
      </c>
      <c r="R129" s="470"/>
      <c r="S129" s="471"/>
      <c r="T129" s="114"/>
      <c r="U129" s="114"/>
      <c r="V129" s="114"/>
      <c r="W129" s="114"/>
      <c r="X129" s="114"/>
      <c r="Y129" s="114"/>
      <c r="Z129" s="114"/>
      <c r="AA129" s="261"/>
      <c r="AB129" s="286"/>
      <c r="AC129" s="287"/>
      <c r="AD129" s="263"/>
      <c r="AE129" s="263"/>
      <c r="AF129" s="263"/>
      <c r="AG129" s="263"/>
      <c r="AH129" s="479"/>
      <c r="AI129" s="479"/>
      <c r="AJ129" s="479"/>
      <c r="AK129" s="479"/>
    </row>
    <row r="130" spans="1:37" ht="22.5" hidden="1" x14ac:dyDescent="0.4">
      <c r="A130" s="481"/>
      <c r="B130" s="293" t="s">
        <v>254</v>
      </c>
      <c r="C130" s="472">
        <f>C128/C129</f>
        <v>0.8410105202597189</v>
      </c>
      <c r="D130" s="473"/>
      <c r="E130" s="473"/>
      <c r="F130" s="474"/>
      <c r="G130" s="472">
        <f>G128/G129</f>
        <v>0.63756562317713394</v>
      </c>
      <c r="H130" s="473"/>
      <c r="I130" s="474"/>
      <c r="J130" s="276"/>
      <c r="K130" s="276"/>
      <c r="L130" s="472">
        <f>L128/L129</f>
        <v>0.64869647058823532</v>
      </c>
      <c r="M130" s="475"/>
      <c r="N130" s="476"/>
      <c r="O130" s="280">
        <f t="shared" ref="O130:Z130" si="22">(O125+O126)/O127</f>
        <v>0.99224806201550386</v>
      </c>
      <c r="P130" s="290">
        <f t="shared" si="22"/>
        <v>0.81199796591148199</v>
      </c>
      <c r="Q130" s="472">
        <f>Q128/Q129</f>
        <v>0.91002869198312242</v>
      </c>
      <c r="R130" s="473"/>
      <c r="S130" s="474"/>
      <c r="T130" s="280">
        <f t="shared" si="22"/>
        <v>0.84246901811248809</v>
      </c>
      <c r="U130" s="280">
        <f t="shared" si="22"/>
        <v>0.52300538423886445</v>
      </c>
      <c r="V130" s="280">
        <f t="shared" si="22"/>
        <v>0.81081081081081086</v>
      </c>
      <c r="W130" s="280">
        <f t="shared" si="22"/>
        <v>0.92465753424657537</v>
      </c>
      <c r="X130" s="280">
        <f t="shared" si="22"/>
        <v>0.88949530516431929</v>
      </c>
      <c r="Y130" s="280">
        <f>(Y125+Y126)/Y127</f>
        <v>0.84313725490196079</v>
      </c>
      <c r="Z130" s="280">
        <f t="shared" si="22"/>
        <v>0.8725609756097561</v>
      </c>
      <c r="AA130" s="265"/>
      <c r="AB130" s="290">
        <f>(AB125+AB126)/AB127</f>
        <v>0.78687713420527028</v>
      </c>
      <c r="AC130" s="291">
        <f>(AC125+AC126)/AC127</f>
        <v>0.80813997209661304</v>
      </c>
      <c r="AD130" s="281" t="e">
        <f>AD125/$AG$283</f>
        <v>#DIV/0!</v>
      </c>
      <c r="AE130" s="281" t="e">
        <f>AE125/$AG$283</f>
        <v>#DIV/0!</v>
      </c>
      <c r="AF130" s="281" t="e">
        <f>AF125/$AG$283</f>
        <v>#DIV/0!</v>
      </c>
      <c r="AG130" s="281" t="e">
        <f>AG125/$AG$283</f>
        <v>#DIV/0!</v>
      </c>
      <c r="AH130" s="479"/>
      <c r="AI130" s="479"/>
      <c r="AJ130" s="479"/>
      <c r="AK130" s="479"/>
    </row>
    <row r="131" spans="1:37" ht="22.5" hidden="1" x14ac:dyDescent="0.4">
      <c r="A131" s="481" t="s">
        <v>276</v>
      </c>
      <c r="B131" s="292" t="s">
        <v>269</v>
      </c>
      <c r="C131" s="258">
        <v>7960</v>
      </c>
      <c r="D131" s="258">
        <v>32413</v>
      </c>
      <c r="E131" s="258">
        <v>3993</v>
      </c>
      <c r="F131" s="258">
        <v>16858</v>
      </c>
      <c r="G131" s="258">
        <v>1528</v>
      </c>
      <c r="H131" s="258">
        <v>3224</v>
      </c>
      <c r="I131" s="258">
        <v>1932</v>
      </c>
      <c r="J131" s="258"/>
      <c r="K131" s="258"/>
      <c r="L131" s="258">
        <v>84</v>
      </c>
      <c r="M131" s="258">
        <v>712</v>
      </c>
      <c r="N131" s="258">
        <v>576</v>
      </c>
      <c r="O131" s="258">
        <v>128</v>
      </c>
      <c r="P131" s="286">
        <f>SUM(C131:O131)</f>
        <v>69408</v>
      </c>
      <c r="Q131" s="258">
        <v>1108</v>
      </c>
      <c r="R131" s="258">
        <v>2450</v>
      </c>
      <c r="S131" s="258">
        <v>1970</v>
      </c>
      <c r="T131" s="258">
        <v>2600</v>
      </c>
      <c r="U131" s="258">
        <v>2134</v>
      </c>
      <c r="V131" s="258">
        <v>695</v>
      </c>
      <c r="W131" s="258">
        <v>272</v>
      </c>
      <c r="X131" s="258">
        <v>622</v>
      </c>
      <c r="Y131" s="67">
        <v>177</v>
      </c>
      <c r="Z131" s="67">
        <v>107</v>
      </c>
      <c r="AA131" s="261"/>
      <c r="AB131" s="286">
        <f>SUM(Q131:AA131)</f>
        <v>12135</v>
      </c>
      <c r="AC131" s="287">
        <f>P131+AB131</f>
        <v>81543</v>
      </c>
      <c r="AD131" s="278">
        <v>9</v>
      </c>
      <c r="AE131" s="278">
        <v>9</v>
      </c>
      <c r="AF131" s="278">
        <v>3</v>
      </c>
      <c r="AG131" s="279">
        <f>SUM(AD131:AF131)</f>
        <v>21</v>
      </c>
      <c r="AH131" s="478">
        <v>2198</v>
      </c>
      <c r="AI131" s="478">
        <v>2516</v>
      </c>
      <c r="AJ131" s="478">
        <v>1194</v>
      </c>
      <c r="AK131" s="478">
        <f>SUM(AH131:AJ136)</f>
        <v>5908</v>
      </c>
    </row>
    <row r="132" spans="1:37" ht="22.5" hidden="1" x14ac:dyDescent="0.4">
      <c r="A132" s="481"/>
      <c r="B132" s="292" t="s">
        <v>265</v>
      </c>
      <c r="C132" s="258">
        <v>39.800000000000004</v>
      </c>
      <c r="D132" s="258">
        <v>162.065</v>
      </c>
      <c r="E132" s="258">
        <v>19.965</v>
      </c>
      <c r="F132" s="258">
        <v>84.29</v>
      </c>
      <c r="G132" s="258">
        <v>0</v>
      </c>
      <c r="H132" s="258">
        <v>0</v>
      </c>
      <c r="I132" s="258">
        <v>0</v>
      </c>
      <c r="J132" s="258"/>
      <c r="K132" s="258"/>
      <c r="L132" s="258">
        <v>0</v>
      </c>
      <c r="M132" s="258">
        <v>14.24</v>
      </c>
      <c r="N132" s="258">
        <v>11.52</v>
      </c>
      <c r="O132" s="258">
        <v>0</v>
      </c>
      <c r="P132" s="286">
        <f>SUM(C132:O132)</f>
        <v>331.88</v>
      </c>
      <c r="Q132" s="258">
        <v>11.08</v>
      </c>
      <c r="R132" s="258">
        <v>0</v>
      </c>
      <c r="S132" s="258">
        <v>0</v>
      </c>
      <c r="T132" s="258">
        <v>78</v>
      </c>
      <c r="U132" s="258">
        <v>0</v>
      </c>
      <c r="V132" s="258">
        <v>0</v>
      </c>
      <c r="W132" s="258">
        <v>0</v>
      </c>
      <c r="X132" s="258">
        <v>93.3</v>
      </c>
      <c r="Y132" s="67">
        <v>0</v>
      </c>
      <c r="Z132" s="67">
        <v>33.17</v>
      </c>
      <c r="AA132" s="261"/>
      <c r="AB132" s="286">
        <f>SUM(Q132:AA132)</f>
        <v>215.55</v>
      </c>
      <c r="AC132" s="287">
        <f>P132+AB132</f>
        <v>547.43000000000006</v>
      </c>
      <c r="AD132" s="278"/>
      <c r="AE132" s="278"/>
      <c r="AF132" s="278"/>
      <c r="AG132" s="279"/>
      <c r="AH132" s="479"/>
      <c r="AI132" s="479"/>
      <c r="AJ132" s="479"/>
      <c r="AK132" s="479"/>
    </row>
    <row r="133" spans="1:37" ht="22.5" hidden="1" x14ac:dyDescent="0.4">
      <c r="A133" s="481"/>
      <c r="B133" s="292" t="s">
        <v>253</v>
      </c>
      <c r="C133" s="114">
        <v>9252</v>
      </c>
      <c r="D133" s="114">
        <v>37456</v>
      </c>
      <c r="E133" s="114">
        <v>4675</v>
      </c>
      <c r="F133" s="114">
        <v>21619</v>
      </c>
      <c r="G133" s="114">
        <v>1602</v>
      </c>
      <c r="H133" s="114">
        <v>6242</v>
      </c>
      <c r="I133" s="114">
        <v>2442</v>
      </c>
      <c r="J133" s="114"/>
      <c r="K133" s="114"/>
      <c r="L133" s="114">
        <v>102</v>
      </c>
      <c r="M133" s="114">
        <v>876</v>
      </c>
      <c r="N133" s="114">
        <v>1147</v>
      </c>
      <c r="O133" s="114">
        <v>129</v>
      </c>
      <c r="P133" s="286">
        <f>SUM(C133:O133)</f>
        <v>85542</v>
      </c>
      <c r="Q133" s="114">
        <v>1187</v>
      </c>
      <c r="R133" s="114">
        <v>2718</v>
      </c>
      <c r="S133" s="114">
        <v>2020</v>
      </c>
      <c r="T133" s="114">
        <v>3147</v>
      </c>
      <c r="U133" s="114">
        <v>4086</v>
      </c>
      <c r="V133" s="114">
        <v>851</v>
      </c>
      <c r="W133" s="114">
        <v>292</v>
      </c>
      <c r="X133" s="114">
        <v>852</v>
      </c>
      <c r="Y133" s="114">
        <v>204</v>
      </c>
      <c r="Z133" s="114">
        <v>164</v>
      </c>
      <c r="AA133" s="261"/>
      <c r="AB133" s="286">
        <f>SUM(Q133:AA133)</f>
        <v>15521</v>
      </c>
      <c r="AC133" s="287">
        <f>P133+AB133</f>
        <v>101063</v>
      </c>
      <c r="AD133" s="263"/>
      <c r="AE133" s="263"/>
      <c r="AF133" s="263"/>
      <c r="AG133" s="263"/>
      <c r="AH133" s="479"/>
      <c r="AI133" s="479"/>
      <c r="AJ133" s="479"/>
      <c r="AK133" s="479"/>
    </row>
    <row r="134" spans="1:37" ht="25" hidden="1" x14ac:dyDescent="0.4">
      <c r="A134" s="481"/>
      <c r="B134" s="292" t="s">
        <v>275</v>
      </c>
      <c r="C134" s="469">
        <f>C131+D131+E131+F131+C132+D132+E132+F132</f>
        <v>61530.12</v>
      </c>
      <c r="D134" s="470"/>
      <c r="E134" s="470"/>
      <c r="F134" s="471"/>
      <c r="G134" s="469">
        <f>G131+H131+I131+G132+H132+I132</f>
        <v>6684</v>
      </c>
      <c r="H134" s="470"/>
      <c r="I134" s="471"/>
      <c r="J134" s="273"/>
      <c r="K134" s="273"/>
      <c r="L134" s="469">
        <f>L131+M131+N131+L132+M132+N132</f>
        <v>1397.76</v>
      </c>
      <c r="M134" s="482"/>
      <c r="N134" s="483"/>
      <c r="O134" s="114"/>
      <c r="P134" s="286"/>
      <c r="Q134" s="469">
        <f>Q131+R131+S131+Q132+R132+S132</f>
        <v>5539.08</v>
      </c>
      <c r="R134" s="470"/>
      <c r="S134" s="471"/>
      <c r="T134" s="114"/>
      <c r="U134" s="114"/>
      <c r="V134" s="114"/>
      <c r="W134" s="114"/>
      <c r="X134" s="114"/>
      <c r="Y134" s="114"/>
      <c r="Z134" s="114"/>
      <c r="AA134" s="261"/>
      <c r="AB134" s="286"/>
      <c r="AC134" s="287"/>
      <c r="AD134" s="263"/>
      <c r="AE134" s="263"/>
      <c r="AF134" s="263"/>
      <c r="AG134" s="263"/>
      <c r="AH134" s="479"/>
      <c r="AI134" s="479"/>
      <c r="AJ134" s="479"/>
      <c r="AK134" s="479"/>
    </row>
    <row r="135" spans="1:37" ht="25" hidden="1" x14ac:dyDescent="0.4">
      <c r="A135" s="481"/>
      <c r="B135" s="302" t="s">
        <v>247</v>
      </c>
      <c r="C135" s="469">
        <f>C133+D133+E133+F133</f>
        <v>73002</v>
      </c>
      <c r="D135" s="470"/>
      <c r="E135" s="470"/>
      <c r="F135" s="471"/>
      <c r="G135" s="469">
        <f>G133+H133+I133</f>
        <v>10286</v>
      </c>
      <c r="H135" s="470"/>
      <c r="I135" s="471"/>
      <c r="J135" s="273"/>
      <c r="K135" s="273"/>
      <c r="L135" s="469">
        <f>L133+M133+N133</f>
        <v>2125</v>
      </c>
      <c r="M135" s="482"/>
      <c r="N135" s="483"/>
      <c r="O135" s="114"/>
      <c r="P135" s="286"/>
      <c r="Q135" s="469">
        <f>Q133+R133+S133</f>
        <v>5925</v>
      </c>
      <c r="R135" s="470"/>
      <c r="S135" s="471"/>
      <c r="T135" s="114"/>
      <c r="U135" s="114"/>
      <c r="V135" s="114"/>
      <c r="W135" s="114"/>
      <c r="X135" s="114"/>
      <c r="Y135" s="114"/>
      <c r="Z135" s="114"/>
      <c r="AA135" s="261"/>
      <c r="AB135" s="286"/>
      <c r="AC135" s="287"/>
      <c r="AD135" s="263"/>
      <c r="AE135" s="263"/>
      <c r="AF135" s="263"/>
      <c r="AG135" s="263"/>
      <c r="AH135" s="479"/>
      <c r="AI135" s="479"/>
      <c r="AJ135" s="479"/>
      <c r="AK135" s="479"/>
    </row>
    <row r="136" spans="1:37" ht="22.5" hidden="1" x14ac:dyDescent="0.4">
      <c r="A136" s="481"/>
      <c r="B136" s="293" t="s">
        <v>254</v>
      </c>
      <c r="C136" s="472">
        <f>C134/C135</f>
        <v>0.84285526423933599</v>
      </c>
      <c r="D136" s="473"/>
      <c r="E136" s="473"/>
      <c r="F136" s="474"/>
      <c r="G136" s="472">
        <f>G134/G135</f>
        <v>0.64981528290880808</v>
      </c>
      <c r="H136" s="473"/>
      <c r="I136" s="474"/>
      <c r="J136" s="276"/>
      <c r="K136" s="276"/>
      <c r="L136" s="472">
        <f>L134/L135</f>
        <v>0.65776941176470582</v>
      </c>
      <c r="M136" s="475"/>
      <c r="N136" s="476"/>
      <c r="O136" s="280">
        <f t="shared" ref="O136:Z136" si="23">(O131+O132)/O133</f>
        <v>0.99224806201550386</v>
      </c>
      <c r="P136" s="290">
        <f t="shared" si="23"/>
        <v>0.81527062729419475</v>
      </c>
      <c r="Q136" s="472">
        <f>Q134/Q135</f>
        <v>0.93486582278481012</v>
      </c>
      <c r="R136" s="473"/>
      <c r="S136" s="474"/>
      <c r="T136" s="280">
        <f t="shared" si="23"/>
        <v>0.85096917699396246</v>
      </c>
      <c r="U136" s="280">
        <f>(U131+U132)/U133</f>
        <v>0.52227116984826238</v>
      </c>
      <c r="V136" s="280">
        <f t="shared" si="23"/>
        <v>0.8166862514688602</v>
      </c>
      <c r="W136" s="280">
        <f t="shared" si="23"/>
        <v>0.93150684931506844</v>
      </c>
      <c r="X136" s="280">
        <f t="shared" si="23"/>
        <v>0.83955399061032854</v>
      </c>
      <c r="Y136" s="280">
        <f t="shared" si="23"/>
        <v>0.86764705882352944</v>
      </c>
      <c r="Z136" s="280">
        <f t="shared" si="23"/>
        <v>0.85469512195121966</v>
      </c>
      <c r="AA136" s="265"/>
      <c r="AB136" s="290">
        <f>(AB131+AB132)/AB133</f>
        <v>0.795731589459442</v>
      </c>
      <c r="AC136" s="291">
        <f>(AC131+AC132)/AC133</f>
        <v>0.81226987126841665</v>
      </c>
      <c r="AD136" s="281" t="e">
        <f>AD131/$AG$282</f>
        <v>#DIV/0!</v>
      </c>
      <c r="AE136" s="281" t="e">
        <f>AE131/$AG$282</f>
        <v>#DIV/0!</v>
      </c>
      <c r="AF136" s="281" t="e">
        <f>AF131/$AG$282</f>
        <v>#DIV/0!</v>
      </c>
      <c r="AG136" s="281" t="e">
        <f>AG131/$AG$282</f>
        <v>#DIV/0!</v>
      </c>
      <c r="AH136" s="479"/>
      <c r="AI136" s="479"/>
      <c r="AJ136" s="479"/>
      <c r="AK136" s="479"/>
    </row>
    <row r="137" spans="1:37" ht="22.5" x14ac:dyDescent="0.4">
      <c r="A137" s="481" t="s">
        <v>277</v>
      </c>
      <c r="B137" s="292" t="s">
        <v>269</v>
      </c>
      <c r="C137" s="258">
        <v>7938</v>
      </c>
      <c r="D137" s="258">
        <v>31993</v>
      </c>
      <c r="E137" s="258">
        <v>4091</v>
      </c>
      <c r="F137" s="258">
        <v>17618</v>
      </c>
      <c r="G137" s="258">
        <v>1542</v>
      </c>
      <c r="H137" s="258">
        <v>3195</v>
      </c>
      <c r="I137" s="258">
        <v>1974</v>
      </c>
      <c r="J137" s="258"/>
      <c r="K137" s="258"/>
      <c r="L137" s="303">
        <v>84</v>
      </c>
      <c r="M137" s="258">
        <v>735</v>
      </c>
      <c r="N137" s="258">
        <v>582</v>
      </c>
      <c r="O137" s="258">
        <v>128</v>
      </c>
      <c r="P137" s="286">
        <f>SUM(C137:O137)</f>
        <v>69880</v>
      </c>
      <c r="Q137" s="258">
        <v>1123</v>
      </c>
      <c r="R137" s="258">
        <v>2536</v>
      </c>
      <c r="S137" s="258">
        <v>1949</v>
      </c>
      <c r="T137" s="258">
        <v>2640</v>
      </c>
      <c r="U137" s="258">
        <v>2203</v>
      </c>
      <c r="V137" s="258">
        <v>704</v>
      </c>
      <c r="W137" s="258">
        <v>273</v>
      </c>
      <c r="X137" s="258">
        <v>633</v>
      </c>
      <c r="Y137" s="67">
        <v>181</v>
      </c>
      <c r="Z137" s="67">
        <v>108</v>
      </c>
      <c r="AA137" s="261"/>
      <c r="AB137" s="286">
        <f>SUM(Q137:AA137)</f>
        <v>12350</v>
      </c>
      <c r="AC137" s="287">
        <f>P137+AB137</f>
        <v>82230</v>
      </c>
      <c r="AD137" s="278">
        <v>9</v>
      </c>
      <c r="AE137" s="278">
        <v>9</v>
      </c>
      <c r="AF137" s="278">
        <v>3</v>
      </c>
      <c r="AG137" s="279">
        <f>SUM(AD137:AF137)</f>
        <v>21</v>
      </c>
      <c r="AH137" s="478">
        <v>1953</v>
      </c>
      <c r="AI137" s="478">
        <v>2976</v>
      </c>
      <c r="AJ137" s="478">
        <v>1849</v>
      </c>
      <c r="AK137" s="478">
        <f>SUM(AH137:AJ142)</f>
        <v>6778</v>
      </c>
    </row>
    <row r="138" spans="1:37" ht="22.5" x14ac:dyDescent="0.4">
      <c r="A138" s="481"/>
      <c r="B138" s="292" t="s">
        <v>265</v>
      </c>
      <c r="C138" s="258">
        <v>39.69</v>
      </c>
      <c r="D138" s="258">
        <v>159.965</v>
      </c>
      <c r="E138" s="258">
        <v>20.455000000000002</v>
      </c>
      <c r="F138" s="258">
        <v>88.09</v>
      </c>
      <c r="G138" s="258">
        <v>0</v>
      </c>
      <c r="H138" s="258">
        <v>0</v>
      </c>
      <c r="I138" s="258">
        <v>0</v>
      </c>
      <c r="J138" s="258"/>
      <c r="K138" s="258"/>
      <c r="L138" s="303">
        <v>0</v>
      </c>
      <c r="M138" s="258">
        <v>14.700000000000001</v>
      </c>
      <c r="N138" s="258">
        <v>11.64</v>
      </c>
      <c r="O138" s="258">
        <v>0</v>
      </c>
      <c r="P138" s="286">
        <f>SUM(C138:O138)</f>
        <v>334.54</v>
      </c>
      <c r="Q138" s="258">
        <v>11.23</v>
      </c>
      <c r="R138" s="258">
        <v>0</v>
      </c>
      <c r="S138" s="258">
        <v>0</v>
      </c>
      <c r="T138" s="258">
        <v>52.800000000000004</v>
      </c>
      <c r="U138" s="258">
        <v>0</v>
      </c>
      <c r="V138" s="258">
        <v>0</v>
      </c>
      <c r="W138" s="258">
        <v>0</v>
      </c>
      <c r="X138" s="258">
        <v>94.95</v>
      </c>
      <c r="Y138" s="67">
        <v>0</v>
      </c>
      <c r="Z138" s="67">
        <v>32.4</v>
      </c>
      <c r="AA138" s="261"/>
      <c r="AB138" s="286">
        <f>SUM(Q138:AA138)</f>
        <v>191.38000000000002</v>
      </c>
      <c r="AC138" s="287">
        <f>P138+AB138</f>
        <v>525.92000000000007</v>
      </c>
      <c r="AD138" s="278"/>
      <c r="AE138" s="278"/>
      <c r="AF138" s="278"/>
      <c r="AG138" s="279"/>
      <c r="AH138" s="479"/>
      <c r="AI138" s="479"/>
      <c r="AJ138" s="479"/>
      <c r="AK138" s="479"/>
    </row>
    <row r="139" spans="1:37" ht="22.5" x14ac:dyDescent="0.4">
      <c r="A139" s="481"/>
      <c r="B139" s="292" t="s">
        <v>253</v>
      </c>
      <c r="C139" s="114">
        <v>9252</v>
      </c>
      <c r="D139" s="114">
        <v>37456</v>
      </c>
      <c r="E139" s="114">
        <v>4675</v>
      </c>
      <c r="F139" s="114">
        <v>21619</v>
      </c>
      <c r="G139" s="114">
        <v>1602</v>
      </c>
      <c r="H139" s="114">
        <v>6242</v>
      </c>
      <c r="I139" s="114">
        <v>2442</v>
      </c>
      <c r="J139" s="114"/>
      <c r="K139" s="114"/>
      <c r="L139" s="114">
        <v>102</v>
      </c>
      <c r="M139" s="114">
        <v>876</v>
      </c>
      <c r="N139" s="114">
        <v>1147</v>
      </c>
      <c r="O139" s="114">
        <v>129</v>
      </c>
      <c r="P139" s="286">
        <f>SUM(C139:O139)</f>
        <v>85542</v>
      </c>
      <c r="Q139" s="114">
        <v>1187</v>
      </c>
      <c r="R139" s="114">
        <v>2718</v>
      </c>
      <c r="S139" s="114">
        <v>2020</v>
      </c>
      <c r="T139" s="114">
        <v>3147</v>
      </c>
      <c r="U139" s="114">
        <v>4086</v>
      </c>
      <c r="V139" s="114">
        <v>851</v>
      </c>
      <c r="W139" s="114">
        <v>292</v>
      </c>
      <c r="X139" s="114">
        <v>852</v>
      </c>
      <c r="Y139" s="114">
        <v>204</v>
      </c>
      <c r="Z139" s="114">
        <v>164</v>
      </c>
      <c r="AA139" s="261"/>
      <c r="AB139" s="286">
        <f>SUM(Q139:AA139)</f>
        <v>15521</v>
      </c>
      <c r="AC139" s="287">
        <f>P139+AB139</f>
        <v>101063</v>
      </c>
      <c r="AD139" s="263"/>
      <c r="AE139" s="263"/>
      <c r="AF139" s="263"/>
      <c r="AG139" s="263"/>
      <c r="AH139" s="479"/>
      <c r="AI139" s="479"/>
      <c r="AJ139" s="479"/>
      <c r="AK139" s="479"/>
    </row>
    <row r="140" spans="1:37" ht="25" x14ac:dyDescent="0.4">
      <c r="A140" s="481"/>
      <c r="B140" s="292" t="s">
        <v>275</v>
      </c>
      <c r="C140" s="469">
        <f>C137+D137+E137+F137+C138+D138+E138+F138</f>
        <v>61948.2</v>
      </c>
      <c r="D140" s="470"/>
      <c r="E140" s="470"/>
      <c r="F140" s="471"/>
      <c r="G140" s="469">
        <f>G137+H137+I137+G138+H138+I138</f>
        <v>6711</v>
      </c>
      <c r="H140" s="470"/>
      <c r="I140" s="471"/>
      <c r="J140" s="273"/>
      <c r="K140" s="273"/>
      <c r="L140" s="469">
        <f>L137+M137+N137+L138+M138+N138</f>
        <v>1427.3400000000001</v>
      </c>
      <c r="M140" s="482"/>
      <c r="N140" s="483"/>
      <c r="O140" s="114"/>
      <c r="P140" s="286"/>
      <c r="Q140" s="469">
        <f>Q137+R137+S137+Q138+R138+S138</f>
        <v>5619.23</v>
      </c>
      <c r="R140" s="470"/>
      <c r="S140" s="471"/>
      <c r="T140" s="114"/>
      <c r="U140" s="114"/>
      <c r="V140" s="114"/>
      <c r="W140" s="114"/>
      <c r="X140" s="114"/>
      <c r="Y140" s="114"/>
      <c r="Z140" s="114"/>
      <c r="AA140" s="261"/>
      <c r="AB140" s="286"/>
      <c r="AC140" s="287"/>
      <c r="AD140" s="263"/>
      <c r="AE140" s="263"/>
      <c r="AF140" s="263"/>
      <c r="AG140" s="263"/>
      <c r="AH140" s="479"/>
      <c r="AI140" s="479"/>
      <c r="AJ140" s="479"/>
      <c r="AK140" s="479"/>
    </row>
    <row r="141" spans="1:37" ht="25" x14ac:dyDescent="0.4">
      <c r="A141" s="481"/>
      <c r="B141" s="302" t="s">
        <v>247</v>
      </c>
      <c r="C141" s="469">
        <f>C139+D139+E139+F139</f>
        <v>73002</v>
      </c>
      <c r="D141" s="470"/>
      <c r="E141" s="470"/>
      <c r="F141" s="471"/>
      <c r="G141" s="469">
        <f>G139+H139+I139</f>
        <v>10286</v>
      </c>
      <c r="H141" s="470"/>
      <c r="I141" s="471"/>
      <c r="J141" s="273"/>
      <c r="K141" s="273"/>
      <c r="L141" s="469">
        <f>L139+M139+N139</f>
        <v>2125</v>
      </c>
      <c r="M141" s="482"/>
      <c r="N141" s="483"/>
      <c r="O141" s="114"/>
      <c r="P141" s="286"/>
      <c r="Q141" s="469">
        <f>Q139+R139+S139</f>
        <v>5925</v>
      </c>
      <c r="R141" s="470"/>
      <c r="S141" s="471"/>
      <c r="T141" s="114"/>
      <c r="U141" s="114"/>
      <c r="V141" s="114"/>
      <c r="W141" s="114"/>
      <c r="X141" s="114"/>
      <c r="Y141" s="114"/>
      <c r="Z141" s="114"/>
      <c r="AA141" s="261"/>
      <c r="AB141" s="286"/>
      <c r="AC141" s="287"/>
      <c r="AD141" s="263"/>
      <c r="AE141" s="263"/>
      <c r="AF141" s="263"/>
      <c r="AG141" s="263"/>
      <c r="AH141" s="479"/>
      <c r="AI141" s="479"/>
      <c r="AJ141" s="479"/>
      <c r="AK141" s="479"/>
    </row>
    <row r="142" spans="1:37" ht="22.5" x14ac:dyDescent="0.4">
      <c r="A142" s="481"/>
      <c r="B142" s="293" t="s">
        <v>254</v>
      </c>
      <c r="C142" s="472">
        <f>C140/C141</f>
        <v>0.84858223062381843</v>
      </c>
      <c r="D142" s="473"/>
      <c r="E142" s="473"/>
      <c r="F142" s="474"/>
      <c r="G142" s="472">
        <f>G140/G141</f>
        <v>0.65244020999416685</v>
      </c>
      <c r="H142" s="473"/>
      <c r="I142" s="474"/>
      <c r="J142" s="276"/>
      <c r="K142" s="276"/>
      <c r="L142" s="472">
        <f>L140/L141</f>
        <v>0.67168941176470598</v>
      </c>
      <c r="M142" s="475"/>
      <c r="N142" s="476"/>
      <c r="O142" s="280">
        <f t="shared" ref="O142:Z142" si="24">(O137+O138)/O139</f>
        <v>0.99224806201550386</v>
      </c>
      <c r="P142" s="290">
        <f t="shared" si="24"/>
        <v>0.82081948048911635</v>
      </c>
      <c r="Q142" s="472">
        <f>Q140/Q141</f>
        <v>0.94839324894514765</v>
      </c>
      <c r="R142" s="473"/>
      <c r="S142" s="474"/>
      <c r="T142" s="280">
        <f t="shared" si="24"/>
        <v>0.85567206863679701</v>
      </c>
      <c r="U142" s="280">
        <f t="shared" si="24"/>
        <v>0.53915810083210969</v>
      </c>
      <c r="V142" s="280">
        <f t="shared" si="24"/>
        <v>0.82726204465334896</v>
      </c>
      <c r="W142" s="280">
        <f t="shared" si="24"/>
        <v>0.93493150684931503</v>
      </c>
      <c r="X142" s="280">
        <f t="shared" si="24"/>
        <v>0.85440140845070423</v>
      </c>
      <c r="Y142" s="280">
        <f t="shared" si="24"/>
        <v>0.88725490196078427</v>
      </c>
      <c r="Z142" s="280">
        <f t="shared" si="24"/>
        <v>0.85609756097560974</v>
      </c>
      <c r="AA142" s="265"/>
      <c r="AB142" s="290">
        <f>(AB137+AB138)/AB139</f>
        <v>0.80802654468139934</v>
      </c>
      <c r="AC142" s="291">
        <f>(AC137+AC138)/AC139</f>
        <v>0.8188547737549845</v>
      </c>
      <c r="AD142" s="281">
        <f>AD137/$AG$281</f>
        <v>0.42857142857142855</v>
      </c>
      <c r="AE142" s="281">
        <f>AE137/$AG$281</f>
        <v>0.42857142857142855</v>
      </c>
      <c r="AF142" s="281">
        <f>AF137/$AG$281</f>
        <v>0.14285714285714285</v>
      </c>
      <c r="AG142" s="281">
        <f>AG137/$AG$281</f>
        <v>1</v>
      </c>
      <c r="AH142" s="479"/>
      <c r="AI142" s="479"/>
      <c r="AJ142" s="479"/>
      <c r="AK142" s="479"/>
    </row>
    <row r="143" spans="1:37" ht="22.5" x14ac:dyDescent="0.4">
      <c r="A143" s="481" t="s">
        <v>278</v>
      </c>
      <c r="B143" s="292" t="s">
        <v>269</v>
      </c>
      <c r="C143" s="258">
        <v>7885</v>
      </c>
      <c r="D143" s="258">
        <v>31911</v>
      </c>
      <c r="E143" s="258">
        <v>4093</v>
      </c>
      <c r="F143" s="258">
        <v>17737</v>
      </c>
      <c r="G143" s="258">
        <v>1542</v>
      </c>
      <c r="H143" s="258">
        <v>3167</v>
      </c>
      <c r="I143" s="258">
        <v>1991</v>
      </c>
      <c r="J143" s="258"/>
      <c r="K143" s="258"/>
      <c r="L143" s="303">
        <v>74</v>
      </c>
      <c r="M143" s="258">
        <v>741</v>
      </c>
      <c r="N143" s="258">
        <v>582</v>
      </c>
      <c r="O143" s="258">
        <v>128</v>
      </c>
      <c r="P143" s="286">
        <f>SUM(C143:O143)</f>
        <v>69851</v>
      </c>
      <c r="Q143" s="258">
        <v>1132</v>
      </c>
      <c r="R143" s="258">
        <v>2543</v>
      </c>
      <c r="S143" s="258">
        <v>1959</v>
      </c>
      <c r="T143" s="258">
        <v>2660</v>
      </c>
      <c r="U143" s="258">
        <v>2244</v>
      </c>
      <c r="V143" s="258">
        <v>704</v>
      </c>
      <c r="W143" s="258">
        <v>274</v>
      </c>
      <c r="X143" s="258">
        <v>639</v>
      </c>
      <c r="Y143" s="67">
        <v>186</v>
      </c>
      <c r="Z143" s="67">
        <v>123</v>
      </c>
      <c r="AA143" s="261"/>
      <c r="AB143" s="286">
        <f>SUM(Q143:AA143)</f>
        <v>12464</v>
      </c>
      <c r="AC143" s="287">
        <f>P143+AB143</f>
        <v>82315</v>
      </c>
      <c r="AD143" s="278">
        <v>9</v>
      </c>
      <c r="AE143" s="278">
        <v>9</v>
      </c>
      <c r="AF143" s="278">
        <v>3</v>
      </c>
      <c r="AG143" s="279">
        <f>SUM(AD143:AF143)</f>
        <v>21</v>
      </c>
      <c r="AH143" s="478">
        <v>1690</v>
      </c>
      <c r="AI143" s="478">
        <v>2253</v>
      </c>
      <c r="AJ143" s="478">
        <v>772</v>
      </c>
      <c r="AK143" s="478">
        <f>SUM(AH143:AJ148)</f>
        <v>4715</v>
      </c>
    </row>
    <row r="144" spans="1:37" ht="22.5" x14ac:dyDescent="0.4">
      <c r="A144" s="481"/>
      <c r="B144" s="292" t="s">
        <v>265</v>
      </c>
      <c r="C144" s="258">
        <v>39.425000000000004</v>
      </c>
      <c r="D144" s="258">
        <v>159.55500000000001</v>
      </c>
      <c r="E144" s="258">
        <v>20.465</v>
      </c>
      <c r="F144" s="258">
        <v>88.685000000000002</v>
      </c>
      <c r="G144" s="258">
        <v>0</v>
      </c>
      <c r="H144" s="258">
        <v>0</v>
      </c>
      <c r="I144" s="258">
        <v>0</v>
      </c>
      <c r="J144" s="258"/>
      <c r="K144" s="258"/>
      <c r="L144" s="303">
        <v>4</v>
      </c>
      <c r="M144" s="258">
        <v>3.7050000000000001</v>
      </c>
      <c r="N144" s="258">
        <v>2.91</v>
      </c>
      <c r="O144" s="258">
        <v>0</v>
      </c>
      <c r="P144" s="286">
        <f>SUM(C144:O144)</f>
        <v>318.745</v>
      </c>
      <c r="Q144" s="258">
        <v>11.32</v>
      </c>
      <c r="R144" s="258">
        <v>0</v>
      </c>
      <c r="S144" s="258">
        <v>0</v>
      </c>
      <c r="T144" s="258">
        <v>26.6</v>
      </c>
      <c r="U144" s="258">
        <v>0</v>
      </c>
      <c r="V144" s="258">
        <v>0</v>
      </c>
      <c r="W144" s="258">
        <v>0</v>
      </c>
      <c r="X144" s="258">
        <v>89.460000000000008</v>
      </c>
      <c r="Y144" s="258">
        <v>0</v>
      </c>
      <c r="Z144" s="67">
        <v>36.9</v>
      </c>
      <c r="AA144" s="261"/>
      <c r="AB144" s="286">
        <f>SUM(Q144:AA144)</f>
        <v>164.28</v>
      </c>
      <c r="AC144" s="287">
        <f>P144+AB144</f>
        <v>483.02499999999998</v>
      </c>
      <c r="AD144" s="278"/>
      <c r="AE144" s="278"/>
      <c r="AF144" s="278"/>
      <c r="AG144" s="279"/>
      <c r="AH144" s="479"/>
      <c r="AI144" s="479"/>
      <c r="AJ144" s="479"/>
      <c r="AK144" s="479"/>
    </row>
    <row r="145" spans="1:37" ht="22.5" x14ac:dyDescent="0.4">
      <c r="A145" s="481"/>
      <c r="B145" s="292" t="s">
        <v>253</v>
      </c>
      <c r="C145" s="114">
        <v>9252</v>
      </c>
      <c r="D145" s="114">
        <v>37456</v>
      </c>
      <c r="E145" s="114">
        <v>4675</v>
      </c>
      <c r="F145" s="114">
        <v>21619</v>
      </c>
      <c r="G145" s="114">
        <v>1602</v>
      </c>
      <c r="H145" s="114">
        <v>6242</v>
      </c>
      <c r="I145" s="114">
        <v>2442</v>
      </c>
      <c r="J145" s="114"/>
      <c r="K145" s="114"/>
      <c r="L145" s="114">
        <v>102</v>
      </c>
      <c r="M145" s="114">
        <v>876</v>
      </c>
      <c r="N145" s="114">
        <v>1147</v>
      </c>
      <c r="O145" s="114">
        <v>129</v>
      </c>
      <c r="P145" s="286">
        <f>SUM(C145:O145)</f>
        <v>85542</v>
      </c>
      <c r="Q145" s="114">
        <v>1187</v>
      </c>
      <c r="R145" s="114">
        <v>2718</v>
      </c>
      <c r="S145" s="114">
        <v>2020</v>
      </c>
      <c r="T145" s="114">
        <v>3147</v>
      </c>
      <c r="U145" s="114">
        <v>4086</v>
      </c>
      <c r="V145" s="114">
        <v>851</v>
      </c>
      <c r="W145" s="114">
        <v>292</v>
      </c>
      <c r="X145" s="114">
        <v>852</v>
      </c>
      <c r="Y145" s="114">
        <v>204</v>
      </c>
      <c r="Z145" s="114">
        <v>164</v>
      </c>
      <c r="AA145" s="261"/>
      <c r="AB145" s="286">
        <f>SUM(Q145:AA145)</f>
        <v>15521</v>
      </c>
      <c r="AC145" s="287">
        <f>P145+AB145</f>
        <v>101063</v>
      </c>
      <c r="AD145" s="263"/>
      <c r="AE145" s="263"/>
      <c r="AF145" s="263"/>
      <c r="AG145" s="263"/>
      <c r="AH145" s="479"/>
      <c r="AI145" s="479"/>
      <c r="AJ145" s="479"/>
      <c r="AK145" s="479"/>
    </row>
    <row r="146" spans="1:37" ht="25" x14ac:dyDescent="0.4">
      <c r="A146" s="481"/>
      <c r="B146" s="292" t="s">
        <v>275</v>
      </c>
      <c r="C146" s="469">
        <f>C143+D143+E143+F143+C144+D144+E144+F144</f>
        <v>61934.13</v>
      </c>
      <c r="D146" s="470"/>
      <c r="E146" s="470"/>
      <c r="F146" s="471"/>
      <c r="G146" s="469">
        <f>G143+H143+I143+G144+H144+I144</f>
        <v>6700</v>
      </c>
      <c r="H146" s="470"/>
      <c r="I146" s="471"/>
      <c r="J146" s="273"/>
      <c r="K146" s="273"/>
      <c r="L146" s="469">
        <f>L143+M143+N143+L144+M144+N144</f>
        <v>1407.615</v>
      </c>
      <c r="M146" s="482"/>
      <c r="N146" s="483"/>
      <c r="O146" s="114"/>
      <c r="P146" s="286"/>
      <c r="Q146" s="469">
        <f>Q143+R143+S143+Q144+R144+S144</f>
        <v>5645.32</v>
      </c>
      <c r="R146" s="470"/>
      <c r="S146" s="471"/>
      <c r="T146" s="114"/>
      <c r="U146" s="114"/>
      <c r="V146" s="114"/>
      <c r="W146" s="114"/>
      <c r="X146" s="114"/>
      <c r="Y146" s="114"/>
      <c r="Z146" s="114"/>
      <c r="AA146" s="261"/>
      <c r="AB146" s="286"/>
      <c r="AC146" s="287"/>
      <c r="AD146" s="263"/>
      <c r="AE146" s="263"/>
      <c r="AF146" s="263"/>
      <c r="AG146" s="263"/>
      <c r="AH146" s="479"/>
      <c r="AI146" s="479"/>
      <c r="AJ146" s="479"/>
      <c r="AK146" s="479"/>
    </row>
    <row r="147" spans="1:37" ht="25" x14ac:dyDescent="0.4">
      <c r="A147" s="481"/>
      <c r="B147" s="302" t="s">
        <v>247</v>
      </c>
      <c r="C147" s="469">
        <f>C145+D145+E145+F145</f>
        <v>73002</v>
      </c>
      <c r="D147" s="470"/>
      <c r="E147" s="470"/>
      <c r="F147" s="471"/>
      <c r="G147" s="469">
        <f>G145+H145+I145</f>
        <v>10286</v>
      </c>
      <c r="H147" s="470"/>
      <c r="I147" s="471"/>
      <c r="J147" s="273"/>
      <c r="K147" s="273"/>
      <c r="L147" s="469">
        <f>L145+M145+N145</f>
        <v>2125</v>
      </c>
      <c r="M147" s="482"/>
      <c r="N147" s="483"/>
      <c r="O147" s="114"/>
      <c r="P147" s="286"/>
      <c r="Q147" s="469">
        <f>Q145+R145+S145</f>
        <v>5925</v>
      </c>
      <c r="R147" s="470"/>
      <c r="S147" s="471"/>
      <c r="T147" s="114"/>
      <c r="U147" s="114"/>
      <c r="V147" s="114"/>
      <c r="W147" s="114"/>
      <c r="X147" s="114"/>
      <c r="Y147" s="114"/>
      <c r="Z147" s="114"/>
      <c r="AA147" s="261"/>
      <c r="AB147" s="286"/>
      <c r="AC147" s="287"/>
      <c r="AD147" s="263"/>
      <c r="AE147" s="263"/>
      <c r="AF147" s="263"/>
      <c r="AG147" s="263"/>
      <c r="AH147" s="479"/>
      <c r="AI147" s="479"/>
      <c r="AJ147" s="479"/>
      <c r="AK147" s="479"/>
    </row>
    <row r="148" spans="1:37" ht="22.5" x14ac:dyDescent="0.4">
      <c r="A148" s="481"/>
      <c r="B148" s="293" t="s">
        <v>254</v>
      </c>
      <c r="C148" s="472">
        <f>C146/C147</f>
        <v>0.84838949617818682</v>
      </c>
      <c r="D148" s="473"/>
      <c r="E148" s="473"/>
      <c r="F148" s="474"/>
      <c r="G148" s="472">
        <f>G146/G147</f>
        <v>0.65137079525568731</v>
      </c>
      <c r="H148" s="473"/>
      <c r="I148" s="474"/>
      <c r="J148" s="276"/>
      <c r="K148" s="276"/>
      <c r="L148" s="472">
        <f>L146/L147</f>
        <v>0.66240705882352946</v>
      </c>
      <c r="M148" s="475"/>
      <c r="N148" s="476"/>
      <c r="O148" s="280">
        <f t="shared" ref="O148:Z148" si="25">(O143+O144)/O145</f>
        <v>0.99224806201550386</v>
      </c>
      <c r="P148" s="290">
        <f t="shared" si="25"/>
        <v>0.82029581959739073</v>
      </c>
      <c r="Q148" s="472">
        <f>Q146/Q147</f>
        <v>0.95279662447257374</v>
      </c>
      <c r="R148" s="473"/>
      <c r="S148" s="474"/>
      <c r="T148" s="280">
        <f t="shared" si="25"/>
        <v>0.85370193835398789</v>
      </c>
      <c r="U148" s="280">
        <f t="shared" si="25"/>
        <v>0.54919236417033779</v>
      </c>
      <c r="V148" s="280">
        <f t="shared" si="25"/>
        <v>0.82726204465334896</v>
      </c>
      <c r="W148" s="280">
        <f t="shared" si="25"/>
        <v>0.93835616438356162</v>
      </c>
      <c r="X148" s="280">
        <f t="shared" si="25"/>
        <v>0.85500000000000009</v>
      </c>
      <c r="Y148" s="280">
        <f t="shared" si="25"/>
        <v>0.91176470588235292</v>
      </c>
      <c r="Z148" s="280">
        <f t="shared" si="25"/>
        <v>0.97500000000000009</v>
      </c>
      <c r="AA148" s="265"/>
      <c r="AB148" s="290">
        <f>(AB143+AB144)/AB145</f>
        <v>0.81362541073384453</v>
      </c>
      <c r="AC148" s="291">
        <f>(AC143+AC144)/AC145</f>
        <v>0.81927139507040159</v>
      </c>
      <c r="AD148" s="281">
        <f>AD143/$AG$280</f>
        <v>9</v>
      </c>
      <c r="AE148" s="281">
        <f>AE143/$AG$280</f>
        <v>9</v>
      </c>
      <c r="AF148" s="281">
        <f>AF143/$AG$280</f>
        <v>3</v>
      </c>
      <c r="AG148" s="281">
        <f>AG143/$AG$280</f>
        <v>21</v>
      </c>
      <c r="AH148" s="479"/>
      <c r="AI148" s="479"/>
      <c r="AJ148" s="479"/>
      <c r="AK148" s="479"/>
    </row>
    <row r="149" spans="1:37" ht="22.5" x14ac:dyDescent="0.4">
      <c r="A149" s="481" t="s">
        <v>279</v>
      </c>
      <c r="B149" s="292" t="s">
        <v>269</v>
      </c>
      <c r="C149" s="258">
        <v>7788</v>
      </c>
      <c r="D149" s="258">
        <v>32348</v>
      </c>
      <c r="E149" s="258">
        <v>4105</v>
      </c>
      <c r="F149" s="258">
        <v>17840</v>
      </c>
      <c r="G149" s="258">
        <v>1521</v>
      </c>
      <c r="H149" s="258">
        <v>3152</v>
      </c>
      <c r="I149" s="258">
        <v>2075</v>
      </c>
      <c r="J149" s="258"/>
      <c r="K149" s="258"/>
      <c r="L149" s="258">
        <v>65</v>
      </c>
      <c r="M149" s="258">
        <v>745</v>
      </c>
      <c r="N149" s="258">
        <v>584</v>
      </c>
      <c r="O149" s="258">
        <v>128</v>
      </c>
      <c r="P149" s="286">
        <f>SUM(C149:O149)</f>
        <v>70351</v>
      </c>
      <c r="Q149" s="258">
        <v>1113</v>
      </c>
      <c r="R149" s="258">
        <v>2585</v>
      </c>
      <c r="S149" s="258">
        <v>1938</v>
      </c>
      <c r="T149" s="258">
        <v>2653</v>
      </c>
      <c r="U149" s="258">
        <v>2225</v>
      </c>
      <c r="V149" s="258">
        <v>708</v>
      </c>
      <c r="W149" s="258">
        <v>274</v>
      </c>
      <c r="X149" s="258">
        <v>653</v>
      </c>
      <c r="Y149" s="67">
        <v>189</v>
      </c>
      <c r="Z149" s="67">
        <v>123</v>
      </c>
      <c r="AA149" s="261"/>
      <c r="AB149" s="286">
        <f>SUM(Q149:AA149)</f>
        <v>12461</v>
      </c>
      <c r="AC149" s="287">
        <f>P149+AB149</f>
        <v>82812</v>
      </c>
      <c r="AD149" s="278">
        <v>11</v>
      </c>
      <c r="AE149" s="278">
        <v>6</v>
      </c>
      <c r="AF149" s="278">
        <v>4</v>
      </c>
      <c r="AG149" s="279">
        <f>SUM(AD149:AF149)</f>
        <v>21</v>
      </c>
      <c r="AH149" s="478">
        <v>2315</v>
      </c>
      <c r="AI149" s="478">
        <v>2604</v>
      </c>
      <c r="AJ149" s="478">
        <v>934</v>
      </c>
      <c r="AK149" s="478">
        <f>SUM(AH149:AJ154)</f>
        <v>5853</v>
      </c>
    </row>
    <row r="150" spans="1:37" ht="22.5" x14ac:dyDescent="0.4">
      <c r="A150" s="481"/>
      <c r="B150" s="292" t="s">
        <v>265</v>
      </c>
      <c r="C150" s="258">
        <v>38.94</v>
      </c>
      <c r="D150" s="258">
        <v>161.74</v>
      </c>
      <c r="E150" s="258">
        <v>20.525000000000002</v>
      </c>
      <c r="F150" s="258">
        <v>89.2</v>
      </c>
      <c r="G150" s="258">
        <v>0</v>
      </c>
      <c r="H150" s="258">
        <v>0</v>
      </c>
      <c r="I150" s="258">
        <v>0</v>
      </c>
      <c r="J150" s="258"/>
      <c r="K150" s="258"/>
      <c r="L150" s="258">
        <v>0</v>
      </c>
      <c r="M150" s="258">
        <v>3.7250000000000001</v>
      </c>
      <c r="N150" s="258">
        <v>2.92</v>
      </c>
      <c r="O150" s="258">
        <v>0</v>
      </c>
      <c r="P150" s="286">
        <f>SUM(C150:O150)</f>
        <v>317.05000000000007</v>
      </c>
      <c r="Q150" s="258">
        <v>11.13</v>
      </c>
      <c r="R150" s="258">
        <v>0</v>
      </c>
      <c r="S150" s="258">
        <v>0</v>
      </c>
      <c r="T150" s="258">
        <v>26.53</v>
      </c>
      <c r="U150" s="258">
        <v>0</v>
      </c>
      <c r="V150" s="258">
        <v>0</v>
      </c>
      <c r="W150" s="258">
        <v>0</v>
      </c>
      <c r="X150" s="258">
        <v>91.42</v>
      </c>
      <c r="Y150" s="258">
        <v>0</v>
      </c>
      <c r="Z150" s="67">
        <v>36.9</v>
      </c>
      <c r="AA150" s="261"/>
      <c r="AB150" s="286">
        <f>SUM(Q150:AA150)</f>
        <v>165.98000000000002</v>
      </c>
      <c r="AC150" s="287">
        <f>P150+AB150</f>
        <v>483.03000000000009</v>
      </c>
      <c r="AD150" s="278"/>
      <c r="AE150" s="278"/>
      <c r="AF150" s="278"/>
      <c r="AG150" s="279"/>
      <c r="AH150" s="479"/>
      <c r="AI150" s="479"/>
      <c r="AJ150" s="479"/>
      <c r="AK150" s="479"/>
    </row>
    <row r="151" spans="1:37" ht="22.5" x14ac:dyDescent="0.4">
      <c r="A151" s="481"/>
      <c r="B151" s="292" t="s">
        <v>253</v>
      </c>
      <c r="C151" s="114">
        <v>9252</v>
      </c>
      <c r="D151" s="114">
        <v>37456</v>
      </c>
      <c r="E151" s="114">
        <v>4675</v>
      </c>
      <c r="F151" s="114">
        <v>21619</v>
      </c>
      <c r="G151" s="114">
        <v>1602</v>
      </c>
      <c r="H151" s="114">
        <v>6242</v>
      </c>
      <c r="I151" s="114">
        <v>2442</v>
      </c>
      <c r="J151" s="114"/>
      <c r="K151" s="114"/>
      <c r="L151" s="114">
        <v>102</v>
      </c>
      <c r="M151" s="114">
        <v>876</v>
      </c>
      <c r="N151" s="114">
        <v>1147</v>
      </c>
      <c r="O151" s="114">
        <v>129</v>
      </c>
      <c r="P151" s="286">
        <f>SUM(C151:O151)</f>
        <v>85542</v>
      </c>
      <c r="Q151" s="114">
        <v>1187</v>
      </c>
      <c r="R151" s="114">
        <v>2718</v>
      </c>
      <c r="S151" s="114">
        <v>2020</v>
      </c>
      <c r="T151" s="114">
        <v>3147</v>
      </c>
      <c r="U151" s="114">
        <v>4086</v>
      </c>
      <c r="V151" s="114">
        <v>851</v>
      </c>
      <c r="W151" s="114">
        <v>292</v>
      </c>
      <c r="X151" s="114">
        <v>852</v>
      </c>
      <c r="Y151" s="114">
        <v>204</v>
      </c>
      <c r="Z151" s="114">
        <v>164</v>
      </c>
      <c r="AA151" s="261"/>
      <c r="AB151" s="286">
        <f>SUM(Q151:AA151)</f>
        <v>15521</v>
      </c>
      <c r="AC151" s="287">
        <f>P151+AB151</f>
        <v>101063</v>
      </c>
      <c r="AD151" s="263"/>
      <c r="AE151" s="263"/>
      <c r="AF151" s="263"/>
      <c r="AG151" s="263"/>
      <c r="AH151" s="479"/>
      <c r="AI151" s="479"/>
      <c r="AJ151" s="479"/>
      <c r="AK151" s="479"/>
    </row>
    <row r="152" spans="1:37" ht="25" x14ac:dyDescent="0.4">
      <c r="A152" s="481"/>
      <c r="B152" s="292" t="s">
        <v>275</v>
      </c>
      <c r="C152" s="469">
        <f>C149+D149+E149+F149+C150+D150+E150+F150</f>
        <v>62391.404999999999</v>
      </c>
      <c r="D152" s="470"/>
      <c r="E152" s="470"/>
      <c r="F152" s="471"/>
      <c r="G152" s="469">
        <f>G149+H149+I149+G150+H150+I150</f>
        <v>6748</v>
      </c>
      <c r="H152" s="470"/>
      <c r="I152" s="471"/>
      <c r="J152" s="273"/>
      <c r="K152" s="273"/>
      <c r="L152" s="469">
        <f>L149+M149+N149+L150+M150+N150</f>
        <v>1400.645</v>
      </c>
      <c r="M152" s="470"/>
      <c r="N152" s="471"/>
      <c r="O152" s="114"/>
      <c r="P152" s="286"/>
      <c r="Q152" s="469">
        <f>Q149+R149+S149+Q150+R150+S150</f>
        <v>5647.13</v>
      </c>
      <c r="R152" s="470"/>
      <c r="S152" s="471"/>
      <c r="T152" s="114"/>
      <c r="U152" s="114"/>
      <c r="V152" s="114"/>
      <c r="W152" s="114"/>
      <c r="X152" s="114"/>
      <c r="Y152" s="114"/>
      <c r="Z152" s="114"/>
      <c r="AA152" s="261"/>
      <c r="AB152" s="286"/>
      <c r="AC152" s="287"/>
      <c r="AD152" s="263"/>
      <c r="AE152" s="263"/>
      <c r="AF152" s="263"/>
      <c r="AG152" s="263"/>
      <c r="AH152" s="479"/>
      <c r="AI152" s="479"/>
      <c r="AJ152" s="479"/>
      <c r="AK152" s="479"/>
    </row>
    <row r="153" spans="1:37" ht="25" x14ac:dyDescent="0.4">
      <c r="A153" s="481"/>
      <c r="B153" s="302" t="s">
        <v>247</v>
      </c>
      <c r="C153" s="469">
        <f>C151+D151+E151+F151</f>
        <v>73002</v>
      </c>
      <c r="D153" s="470"/>
      <c r="E153" s="470"/>
      <c r="F153" s="471"/>
      <c r="G153" s="469">
        <f>G151+H151+I151</f>
        <v>10286</v>
      </c>
      <c r="H153" s="470"/>
      <c r="I153" s="471"/>
      <c r="J153" s="273"/>
      <c r="K153" s="273"/>
      <c r="L153" s="469">
        <f>L151+M151+N151</f>
        <v>2125</v>
      </c>
      <c r="M153" s="470"/>
      <c r="N153" s="471"/>
      <c r="O153" s="114"/>
      <c r="P153" s="286"/>
      <c r="Q153" s="469">
        <f>Q151+R151+S151</f>
        <v>5925</v>
      </c>
      <c r="R153" s="470"/>
      <c r="S153" s="471"/>
      <c r="T153" s="114"/>
      <c r="U153" s="114"/>
      <c r="V153" s="114"/>
      <c r="W153" s="114"/>
      <c r="X153" s="114"/>
      <c r="Y153" s="114"/>
      <c r="Z153" s="114"/>
      <c r="AA153" s="261"/>
      <c r="AB153" s="286"/>
      <c r="AC153" s="287"/>
      <c r="AD153" s="263"/>
      <c r="AE153" s="263"/>
      <c r="AF153" s="263"/>
      <c r="AG153" s="263"/>
      <c r="AH153" s="479"/>
      <c r="AI153" s="479"/>
      <c r="AJ153" s="479"/>
      <c r="AK153" s="479"/>
    </row>
    <row r="154" spans="1:37" ht="22.5" x14ac:dyDescent="0.4">
      <c r="A154" s="481"/>
      <c r="B154" s="293" t="s">
        <v>254</v>
      </c>
      <c r="C154" s="472">
        <f>C152/C153</f>
        <v>0.85465336566121475</v>
      </c>
      <c r="D154" s="473"/>
      <c r="E154" s="473"/>
      <c r="F154" s="474"/>
      <c r="G154" s="472">
        <f>G152/G153</f>
        <v>0.6560373322963251</v>
      </c>
      <c r="H154" s="473"/>
      <c r="I154" s="474"/>
      <c r="J154" s="276"/>
      <c r="K154" s="276"/>
      <c r="L154" s="472">
        <f>L152/L153</f>
        <v>0.6591270588235294</v>
      </c>
      <c r="M154" s="473"/>
      <c r="N154" s="474"/>
      <c r="O154" s="280">
        <f t="shared" ref="O154:Z154" si="26">(O149+O150)/O151</f>
        <v>0.99224806201550386</v>
      </c>
      <c r="P154" s="290">
        <f t="shared" si="26"/>
        <v>0.82612108671763584</v>
      </c>
      <c r="Q154" s="472">
        <f>Q152/Q153</f>
        <v>0.95310210970464138</v>
      </c>
      <c r="R154" s="473"/>
      <c r="S154" s="474"/>
      <c r="T154" s="280">
        <f t="shared" si="26"/>
        <v>0.85145535430568797</v>
      </c>
      <c r="U154" s="280">
        <f t="shared" si="26"/>
        <v>0.54454233969652477</v>
      </c>
      <c r="V154" s="280">
        <f t="shared" si="26"/>
        <v>0.83196239717978848</v>
      </c>
      <c r="W154" s="280">
        <f t="shared" si="26"/>
        <v>0.93835616438356162</v>
      </c>
      <c r="X154" s="280">
        <f t="shared" si="26"/>
        <v>0.8737323943661971</v>
      </c>
      <c r="Y154" s="280">
        <f t="shared" si="26"/>
        <v>0.92647058823529416</v>
      </c>
      <c r="Z154" s="280">
        <f t="shared" si="26"/>
        <v>0.97500000000000009</v>
      </c>
      <c r="AA154" s="265"/>
      <c r="AB154" s="290">
        <f>(AB149+AB150)/AB151</f>
        <v>0.81354165324399197</v>
      </c>
      <c r="AC154" s="291">
        <f>(AC149+AC150)/AC151</f>
        <v>0.82418916913212548</v>
      </c>
      <c r="AD154" s="281" t="e">
        <f>AD149/$AG$279</f>
        <v>#DIV/0!</v>
      </c>
      <c r="AE154" s="281" t="e">
        <f>AE149/$AG$279</f>
        <v>#DIV/0!</v>
      </c>
      <c r="AF154" s="281" t="e">
        <f>AF149/$AG$279</f>
        <v>#DIV/0!</v>
      </c>
      <c r="AG154" s="281" t="e">
        <f>AG149/$AG$279</f>
        <v>#DIV/0!</v>
      </c>
      <c r="AH154" s="479"/>
      <c r="AI154" s="479"/>
      <c r="AJ154" s="479"/>
      <c r="AK154" s="479"/>
    </row>
    <row r="155" spans="1:37" ht="22.5" x14ac:dyDescent="0.4">
      <c r="A155" s="481" t="s">
        <v>280</v>
      </c>
      <c r="B155" s="292" t="s">
        <v>269</v>
      </c>
      <c r="C155" s="258">
        <v>7905</v>
      </c>
      <c r="D155" s="258">
        <v>31439</v>
      </c>
      <c r="E155" s="258">
        <v>4134</v>
      </c>
      <c r="F155" s="258">
        <v>18080</v>
      </c>
      <c r="G155" s="258">
        <v>1531</v>
      </c>
      <c r="H155" s="258">
        <v>3114</v>
      </c>
      <c r="I155" s="258">
        <v>2090</v>
      </c>
      <c r="J155" s="258"/>
      <c r="K155" s="258"/>
      <c r="L155" s="258">
        <v>76</v>
      </c>
      <c r="M155" s="258">
        <v>745</v>
      </c>
      <c r="N155" s="258">
        <v>587</v>
      </c>
      <c r="O155" s="258">
        <v>128</v>
      </c>
      <c r="P155" s="286">
        <f>SUM(C155:O155)</f>
        <v>69829</v>
      </c>
      <c r="Q155" s="258">
        <v>1098</v>
      </c>
      <c r="R155" s="258">
        <v>2498</v>
      </c>
      <c r="S155" s="258">
        <v>1950</v>
      </c>
      <c r="T155" s="258">
        <v>2551</v>
      </c>
      <c r="U155" s="258">
        <v>2176</v>
      </c>
      <c r="V155" s="258">
        <v>709</v>
      </c>
      <c r="W155" s="258">
        <v>275</v>
      </c>
      <c r="X155" s="258">
        <v>660</v>
      </c>
      <c r="Y155" s="67">
        <v>191</v>
      </c>
      <c r="Z155" s="67">
        <v>124</v>
      </c>
      <c r="AA155" s="261"/>
      <c r="AB155" s="286">
        <f>SUM(Q155:AA155)</f>
        <v>12232</v>
      </c>
      <c r="AC155" s="287">
        <f>P155+AB155</f>
        <v>82061</v>
      </c>
      <c r="AD155" s="278">
        <v>10</v>
      </c>
      <c r="AE155" s="278">
        <v>7</v>
      </c>
      <c r="AF155" s="278">
        <v>4</v>
      </c>
      <c r="AG155" s="279">
        <f>SUM(AD155:AF155)</f>
        <v>21</v>
      </c>
      <c r="AH155" s="478">
        <v>2185</v>
      </c>
      <c r="AI155" s="478">
        <v>3714</v>
      </c>
      <c r="AJ155" s="478">
        <v>882</v>
      </c>
      <c r="AK155" s="478">
        <f>SUM(AH155:AJ160)</f>
        <v>6781</v>
      </c>
    </row>
    <row r="156" spans="1:37" ht="22.5" x14ac:dyDescent="0.4">
      <c r="A156" s="481"/>
      <c r="B156" s="292" t="s">
        <v>265</v>
      </c>
      <c r="C156" s="258">
        <v>39.524999999999999</v>
      </c>
      <c r="D156" s="258">
        <v>157.19499999999999</v>
      </c>
      <c r="E156" s="258">
        <v>20.67</v>
      </c>
      <c r="F156" s="258">
        <v>90.4</v>
      </c>
      <c r="G156" s="258">
        <v>0</v>
      </c>
      <c r="H156" s="258">
        <v>0</v>
      </c>
      <c r="I156" s="258">
        <v>0</v>
      </c>
      <c r="J156" s="258"/>
      <c r="K156" s="258"/>
      <c r="L156" s="258">
        <v>0</v>
      </c>
      <c r="M156" s="258">
        <v>3.7250000000000001</v>
      </c>
      <c r="N156" s="258">
        <v>2.9350000000000001</v>
      </c>
      <c r="O156" s="258">
        <v>0</v>
      </c>
      <c r="P156" s="286">
        <f>SUM(C156:O156)</f>
        <v>314.45</v>
      </c>
      <c r="Q156" s="258">
        <v>10.98</v>
      </c>
      <c r="R156" s="258">
        <v>0</v>
      </c>
      <c r="S156" s="258">
        <v>0</v>
      </c>
      <c r="T156" s="258">
        <v>25.51</v>
      </c>
      <c r="U156" s="258">
        <v>0</v>
      </c>
      <c r="V156" s="258">
        <v>0</v>
      </c>
      <c r="W156" s="258">
        <v>0</v>
      </c>
      <c r="X156" s="258">
        <v>92.4</v>
      </c>
      <c r="Y156" s="258">
        <v>0</v>
      </c>
      <c r="Z156" s="67">
        <v>24.8</v>
      </c>
      <c r="AA156" s="261"/>
      <c r="AB156" s="286">
        <f>SUM(Q156:AA156)</f>
        <v>153.69000000000003</v>
      </c>
      <c r="AC156" s="287">
        <f>P156+AB156</f>
        <v>468.14</v>
      </c>
      <c r="AD156" s="278"/>
      <c r="AE156" s="278"/>
      <c r="AF156" s="278"/>
      <c r="AG156" s="279"/>
      <c r="AH156" s="479"/>
      <c r="AI156" s="479"/>
      <c r="AJ156" s="479"/>
      <c r="AK156" s="479"/>
    </row>
    <row r="157" spans="1:37" ht="22.5" x14ac:dyDescent="0.4">
      <c r="A157" s="481"/>
      <c r="B157" s="292" t="s">
        <v>253</v>
      </c>
      <c r="C157" s="114">
        <v>9252</v>
      </c>
      <c r="D157" s="114">
        <v>37456</v>
      </c>
      <c r="E157" s="114">
        <v>4675</v>
      </c>
      <c r="F157" s="114">
        <v>21619</v>
      </c>
      <c r="G157" s="114">
        <v>1602</v>
      </c>
      <c r="H157" s="114">
        <v>6242</v>
      </c>
      <c r="I157" s="114">
        <v>2442</v>
      </c>
      <c r="J157" s="114"/>
      <c r="K157" s="114"/>
      <c r="L157" s="114">
        <v>102</v>
      </c>
      <c r="M157" s="114">
        <v>876</v>
      </c>
      <c r="N157" s="114">
        <v>1147</v>
      </c>
      <c r="O157" s="114">
        <v>129</v>
      </c>
      <c r="P157" s="286">
        <f>SUM(C157:O157)</f>
        <v>85542</v>
      </c>
      <c r="Q157" s="114">
        <v>1187</v>
      </c>
      <c r="R157" s="114">
        <v>2718</v>
      </c>
      <c r="S157" s="114">
        <v>2020</v>
      </c>
      <c r="T157" s="114">
        <v>3147</v>
      </c>
      <c r="U157" s="114">
        <v>4086</v>
      </c>
      <c r="V157" s="114">
        <v>851</v>
      </c>
      <c r="W157" s="114">
        <v>292</v>
      </c>
      <c r="X157" s="114">
        <v>852</v>
      </c>
      <c r="Y157" s="114">
        <v>204</v>
      </c>
      <c r="Z157" s="114">
        <v>164</v>
      </c>
      <c r="AA157" s="261"/>
      <c r="AB157" s="286">
        <f>SUM(Q157:AA157)</f>
        <v>15521</v>
      </c>
      <c r="AC157" s="287">
        <f>P157+AB157</f>
        <v>101063</v>
      </c>
      <c r="AD157" s="263"/>
      <c r="AE157" s="263"/>
      <c r="AF157" s="263"/>
      <c r="AG157" s="263"/>
      <c r="AH157" s="479"/>
      <c r="AI157" s="479"/>
      <c r="AJ157" s="479"/>
      <c r="AK157" s="479"/>
    </row>
    <row r="158" spans="1:37" ht="25" x14ac:dyDescent="0.4">
      <c r="A158" s="481"/>
      <c r="B158" s="292" t="s">
        <v>275</v>
      </c>
      <c r="C158" s="469">
        <f>C155+D155+E155+F155+C156+D156+E156+F156</f>
        <v>61865.79</v>
      </c>
      <c r="D158" s="482"/>
      <c r="E158" s="482"/>
      <c r="F158" s="483"/>
      <c r="G158" s="469">
        <f>G155+H155+I155+G156+H156+I156</f>
        <v>6735</v>
      </c>
      <c r="H158" s="470"/>
      <c r="I158" s="471"/>
      <c r="J158" s="273"/>
      <c r="K158" s="273"/>
      <c r="L158" s="469">
        <f>L155+M155+N155+L156+M156+N156</f>
        <v>1414.6599999999999</v>
      </c>
      <c r="M158" s="470"/>
      <c r="N158" s="471"/>
      <c r="O158" s="114"/>
      <c r="P158" s="286"/>
      <c r="Q158" s="469">
        <f>Q155+R155+S155+Q156+R156+S156</f>
        <v>5556.98</v>
      </c>
      <c r="R158" s="470"/>
      <c r="S158" s="471"/>
      <c r="T158" s="114"/>
      <c r="U158" s="114"/>
      <c r="V158" s="114"/>
      <c r="W158" s="114"/>
      <c r="X158" s="114"/>
      <c r="Y158" s="114"/>
      <c r="Z158" s="114"/>
      <c r="AA158" s="261"/>
      <c r="AB158" s="286"/>
      <c r="AC158" s="287"/>
      <c r="AD158" s="263"/>
      <c r="AE158" s="263"/>
      <c r="AF158" s="263"/>
      <c r="AG158" s="263"/>
      <c r="AH158" s="479"/>
      <c r="AI158" s="479"/>
      <c r="AJ158" s="479"/>
      <c r="AK158" s="479"/>
    </row>
    <row r="159" spans="1:37" ht="25" x14ac:dyDescent="0.4">
      <c r="A159" s="481"/>
      <c r="B159" s="302" t="s">
        <v>247</v>
      </c>
      <c r="C159" s="469">
        <f>C157+D157+E157+F157</f>
        <v>73002</v>
      </c>
      <c r="D159" s="482"/>
      <c r="E159" s="482"/>
      <c r="F159" s="483"/>
      <c r="G159" s="469">
        <f>G157+H157+I157</f>
        <v>10286</v>
      </c>
      <c r="H159" s="470"/>
      <c r="I159" s="471"/>
      <c r="J159" s="273"/>
      <c r="K159" s="273"/>
      <c r="L159" s="469">
        <f>L157+M157+N157</f>
        <v>2125</v>
      </c>
      <c r="M159" s="470"/>
      <c r="N159" s="471"/>
      <c r="O159" s="114"/>
      <c r="P159" s="286"/>
      <c r="Q159" s="469">
        <f>Q157+R157+S157</f>
        <v>5925</v>
      </c>
      <c r="R159" s="470"/>
      <c r="S159" s="471"/>
      <c r="T159" s="114"/>
      <c r="U159" s="114"/>
      <c r="V159" s="114"/>
      <c r="W159" s="114"/>
      <c r="X159" s="114"/>
      <c r="Y159" s="114"/>
      <c r="Z159" s="114"/>
      <c r="AA159" s="261"/>
      <c r="AB159" s="286"/>
      <c r="AC159" s="287"/>
      <c r="AD159" s="263"/>
      <c r="AE159" s="263"/>
      <c r="AF159" s="263"/>
      <c r="AG159" s="263"/>
      <c r="AH159" s="479"/>
      <c r="AI159" s="479"/>
      <c r="AJ159" s="479"/>
      <c r="AK159" s="479"/>
    </row>
    <row r="160" spans="1:37" ht="22.5" x14ac:dyDescent="0.4">
      <c r="A160" s="481"/>
      <c r="B160" s="293" t="s">
        <v>254</v>
      </c>
      <c r="C160" s="472">
        <f>C158/C159</f>
        <v>0.84745335744226191</v>
      </c>
      <c r="D160" s="475"/>
      <c r="E160" s="475"/>
      <c r="F160" s="476"/>
      <c r="G160" s="472">
        <f>G158/G159</f>
        <v>0.65477347851448575</v>
      </c>
      <c r="H160" s="473"/>
      <c r="I160" s="474"/>
      <c r="J160" s="276"/>
      <c r="K160" s="276"/>
      <c r="L160" s="472">
        <f>L158/L159</f>
        <v>0.66572235294117643</v>
      </c>
      <c r="M160" s="473"/>
      <c r="N160" s="474"/>
      <c r="O160" s="280">
        <f t="shared" ref="O160:Z160" si="27">(O155+O156)/O157</f>
        <v>0.99224806201550386</v>
      </c>
      <c r="P160" s="290">
        <f t="shared" si="27"/>
        <v>0.81998842673774286</v>
      </c>
      <c r="Q160" s="472">
        <f>Q158/Q159</f>
        <v>0.93788691983122352</v>
      </c>
      <c r="R160" s="473"/>
      <c r="S160" s="474"/>
      <c r="T160" s="280">
        <f t="shared" si="27"/>
        <v>0.8187194153161742</v>
      </c>
      <c r="U160" s="280">
        <f t="shared" si="27"/>
        <v>0.53255017131669113</v>
      </c>
      <c r="V160" s="280">
        <f t="shared" si="27"/>
        <v>0.83313748531139831</v>
      </c>
      <c r="W160" s="280">
        <f t="shared" si="27"/>
        <v>0.94178082191780821</v>
      </c>
      <c r="X160" s="280">
        <f t="shared" si="27"/>
        <v>0.88309859154929571</v>
      </c>
      <c r="Y160" s="280">
        <f t="shared" si="27"/>
        <v>0.93627450980392157</v>
      </c>
      <c r="Z160" s="280">
        <f t="shared" si="27"/>
        <v>0.90731707317073174</v>
      </c>
      <c r="AA160" s="265"/>
      <c r="AB160" s="290">
        <f>(AB155+AB156)/AB157</f>
        <v>0.79799561883899239</v>
      </c>
      <c r="AC160" s="291">
        <f>(AC155+AC156)/AC157</f>
        <v>0.81661082690994724</v>
      </c>
      <c r="AD160" s="281" t="e">
        <f>AD155/$AG$278</f>
        <v>#DIV/0!</v>
      </c>
      <c r="AE160" s="281" t="e">
        <f>AE155/$AG$278</f>
        <v>#DIV/0!</v>
      </c>
      <c r="AF160" s="281" t="e">
        <f>AF155/$AG$278</f>
        <v>#DIV/0!</v>
      </c>
      <c r="AG160" s="281" t="e">
        <f>AG155/$AG$278</f>
        <v>#DIV/0!</v>
      </c>
      <c r="AH160" s="479"/>
      <c r="AI160" s="479"/>
      <c r="AJ160" s="479"/>
      <c r="AK160" s="479"/>
    </row>
    <row r="161" spans="1:37" ht="22.5" x14ac:dyDescent="0.4">
      <c r="A161" s="481" t="s">
        <v>281</v>
      </c>
      <c r="B161" s="292" t="s">
        <v>269</v>
      </c>
      <c r="C161" s="258">
        <v>8018</v>
      </c>
      <c r="D161" s="258">
        <v>31698</v>
      </c>
      <c r="E161" s="258">
        <v>4108</v>
      </c>
      <c r="F161" s="258">
        <v>18171</v>
      </c>
      <c r="G161" s="258">
        <v>1538</v>
      </c>
      <c r="H161" s="258">
        <v>3102</v>
      </c>
      <c r="I161" s="258">
        <v>2098</v>
      </c>
      <c r="J161" s="258"/>
      <c r="K161" s="258"/>
      <c r="L161" s="258">
        <v>82</v>
      </c>
      <c r="M161" s="258">
        <v>766</v>
      </c>
      <c r="N161" s="258">
        <v>588</v>
      </c>
      <c r="O161" s="258">
        <v>128</v>
      </c>
      <c r="P161" s="286">
        <f>SUM(C161:O161)</f>
        <v>70297</v>
      </c>
      <c r="Q161" s="258">
        <v>1115</v>
      </c>
      <c r="R161" s="258">
        <v>2434</v>
      </c>
      <c r="S161" s="258">
        <v>1922</v>
      </c>
      <c r="T161" s="258">
        <v>2528</v>
      </c>
      <c r="U161" s="258">
        <v>2004</v>
      </c>
      <c r="V161" s="258">
        <v>715</v>
      </c>
      <c r="W161" s="258">
        <v>276</v>
      </c>
      <c r="X161" s="258">
        <v>662</v>
      </c>
      <c r="Y161" s="67">
        <v>195</v>
      </c>
      <c r="Z161" s="67">
        <v>125</v>
      </c>
      <c r="AA161" s="261"/>
      <c r="AB161" s="286">
        <f>SUM(Q161:AA161)</f>
        <v>11976</v>
      </c>
      <c r="AC161" s="287">
        <f>P161+AB161</f>
        <v>82273</v>
      </c>
      <c r="AD161" s="278">
        <v>12</v>
      </c>
      <c r="AE161" s="278">
        <v>6</v>
      </c>
      <c r="AF161" s="278">
        <v>3</v>
      </c>
      <c r="AG161" s="279">
        <f>SUM(AD161:AF161)</f>
        <v>21</v>
      </c>
      <c r="AH161" s="478">
        <v>2143</v>
      </c>
      <c r="AI161" s="478">
        <v>2645</v>
      </c>
      <c r="AJ161" s="478">
        <v>754</v>
      </c>
      <c r="AK161" s="478">
        <f>SUM(AH161:AJ166)</f>
        <v>5542</v>
      </c>
    </row>
    <row r="162" spans="1:37" ht="22.5" x14ac:dyDescent="0.4">
      <c r="A162" s="481"/>
      <c r="B162" s="292" t="s">
        <v>265</v>
      </c>
      <c r="C162" s="258">
        <v>40.090000000000003</v>
      </c>
      <c r="D162" s="258">
        <v>158.49</v>
      </c>
      <c r="E162" s="258">
        <v>20.54</v>
      </c>
      <c r="F162" s="258">
        <v>90.855000000000004</v>
      </c>
      <c r="G162" s="258">
        <v>0</v>
      </c>
      <c r="H162" s="258">
        <v>0</v>
      </c>
      <c r="I162" s="258">
        <v>0</v>
      </c>
      <c r="J162" s="258"/>
      <c r="K162" s="258"/>
      <c r="L162" s="258">
        <v>0</v>
      </c>
      <c r="M162" s="258">
        <v>3.83</v>
      </c>
      <c r="N162" s="258">
        <v>2.94</v>
      </c>
      <c r="O162" s="258">
        <v>0</v>
      </c>
      <c r="P162" s="286">
        <f>SUM(C162:O162)</f>
        <v>316.745</v>
      </c>
      <c r="Q162" s="258">
        <v>11.15</v>
      </c>
      <c r="R162" s="258">
        <v>0</v>
      </c>
      <c r="S162" s="258">
        <v>0</v>
      </c>
      <c r="T162" s="258">
        <v>25.28</v>
      </c>
      <c r="U162" s="258">
        <v>0</v>
      </c>
      <c r="V162" s="258">
        <v>0</v>
      </c>
      <c r="W162" s="258">
        <v>0</v>
      </c>
      <c r="X162" s="258">
        <v>92.68</v>
      </c>
      <c r="Y162" s="258">
        <v>0</v>
      </c>
      <c r="Z162" s="67">
        <v>25</v>
      </c>
      <c r="AA162" s="261"/>
      <c r="AB162" s="286">
        <f>SUM(Q162:AA162)</f>
        <v>154.11000000000001</v>
      </c>
      <c r="AC162" s="287">
        <f>P162+AB162</f>
        <v>470.85500000000002</v>
      </c>
      <c r="AD162" s="278"/>
      <c r="AE162" s="278"/>
      <c r="AF162" s="278"/>
      <c r="AG162" s="279"/>
      <c r="AH162" s="479"/>
      <c r="AI162" s="479"/>
      <c r="AJ162" s="479"/>
      <c r="AK162" s="479"/>
    </row>
    <row r="163" spans="1:37" ht="22.5" x14ac:dyDescent="0.4">
      <c r="A163" s="481"/>
      <c r="B163" s="292" t="s">
        <v>253</v>
      </c>
      <c r="C163" s="114">
        <v>9252</v>
      </c>
      <c r="D163" s="114">
        <v>37456</v>
      </c>
      <c r="E163" s="114">
        <v>4675</v>
      </c>
      <c r="F163" s="114">
        <v>21619</v>
      </c>
      <c r="G163" s="114">
        <v>1602</v>
      </c>
      <c r="H163" s="114">
        <v>6242</v>
      </c>
      <c r="I163" s="114">
        <v>2442</v>
      </c>
      <c r="J163" s="114"/>
      <c r="K163" s="114"/>
      <c r="L163" s="114">
        <v>102</v>
      </c>
      <c r="M163" s="114">
        <v>876</v>
      </c>
      <c r="N163" s="114">
        <v>1147</v>
      </c>
      <c r="O163" s="114">
        <v>129</v>
      </c>
      <c r="P163" s="286">
        <f>SUM(C163:O163)</f>
        <v>85542</v>
      </c>
      <c r="Q163" s="114">
        <v>1187</v>
      </c>
      <c r="R163" s="114">
        <v>2718</v>
      </c>
      <c r="S163" s="114">
        <v>2020</v>
      </c>
      <c r="T163" s="114">
        <v>3147</v>
      </c>
      <c r="U163" s="114">
        <v>4086</v>
      </c>
      <c r="V163" s="114">
        <v>851</v>
      </c>
      <c r="W163" s="114">
        <v>292</v>
      </c>
      <c r="X163" s="114">
        <v>852</v>
      </c>
      <c r="Y163" s="114">
        <v>204</v>
      </c>
      <c r="Z163" s="114">
        <v>164</v>
      </c>
      <c r="AA163" s="261"/>
      <c r="AB163" s="286">
        <f>SUM(Q163:AA163)</f>
        <v>15521</v>
      </c>
      <c r="AC163" s="287">
        <f>P163+AB163</f>
        <v>101063</v>
      </c>
      <c r="AD163" s="263"/>
      <c r="AE163" s="263"/>
      <c r="AF163" s="263"/>
      <c r="AG163" s="263"/>
      <c r="AH163" s="479"/>
      <c r="AI163" s="479"/>
      <c r="AJ163" s="479"/>
      <c r="AK163" s="479"/>
    </row>
    <row r="164" spans="1:37" ht="25" x14ac:dyDescent="0.4">
      <c r="A164" s="481"/>
      <c r="B164" s="292" t="s">
        <v>275</v>
      </c>
      <c r="C164" s="469">
        <f>C161+D161+E161+F161+C162+D162+E162+F162</f>
        <v>62304.974999999999</v>
      </c>
      <c r="D164" s="482"/>
      <c r="E164" s="482"/>
      <c r="F164" s="483"/>
      <c r="G164" s="469">
        <f>G161+H161+I161+G162+H162+I162</f>
        <v>6738</v>
      </c>
      <c r="H164" s="470"/>
      <c r="I164" s="471"/>
      <c r="J164" s="273"/>
      <c r="K164" s="273"/>
      <c r="L164" s="469">
        <f>L161+M161+N161+L162+M162+N162</f>
        <v>1442.77</v>
      </c>
      <c r="M164" s="470"/>
      <c r="N164" s="471"/>
      <c r="O164" s="114"/>
      <c r="P164" s="286"/>
      <c r="Q164" s="469">
        <f>Q161+R161+S161+Q162+R162+S162</f>
        <v>5482.15</v>
      </c>
      <c r="R164" s="470"/>
      <c r="S164" s="471"/>
      <c r="T164" s="114"/>
      <c r="U164" s="114"/>
      <c r="V164" s="114"/>
      <c r="W164" s="114"/>
      <c r="X164" s="114"/>
      <c r="Y164" s="114"/>
      <c r="Z164" s="114"/>
      <c r="AA164" s="261"/>
      <c r="AB164" s="286"/>
      <c r="AC164" s="287"/>
      <c r="AD164" s="263"/>
      <c r="AE164" s="263"/>
      <c r="AF164" s="263"/>
      <c r="AG164" s="263"/>
      <c r="AH164" s="479"/>
      <c r="AI164" s="479"/>
      <c r="AJ164" s="479"/>
      <c r="AK164" s="479"/>
    </row>
    <row r="165" spans="1:37" ht="25" x14ac:dyDescent="0.4">
      <c r="A165" s="481"/>
      <c r="B165" s="302" t="s">
        <v>247</v>
      </c>
      <c r="C165" s="469">
        <f>C163+D163+E163+F163</f>
        <v>73002</v>
      </c>
      <c r="D165" s="482"/>
      <c r="E165" s="482"/>
      <c r="F165" s="483"/>
      <c r="G165" s="469">
        <f>G163+H163+I163</f>
        <v>10286</v>
      </c>
      <c r="H165" s="470"/>
      <c r="I165" s="471"/>
      <c r="J165" s="273"/>
      <c r="K165" s="273"/>
      <c r="L165" s="469">
        <f>L163+M163+N163</f>
        <v>2125</v>
      </c>
      <c r="M165" s="470"/>
      <c r="N165" s="471"/>
      <c r="O165" s="114"/>
      <c r="P165" s="286"/>
      <c r="Q165" s="469">
        <f>Q163+R163+S163</f>
        <v>5925</v>
      </c>
      <c r="R165" s="470"/>
      <c r="S165" s="471"/>
      <c r="T165" s="114"/>
      <c r="U165" s="114"/>
      <c r="V165" s="114"/>
      <c r="W165" s="114"/>
      <c r="X165" s="114"/>
      <c r="Y165" s="114"/>
      <c r="Z165" s="114"/>
      <c r="AA165" s="261"/>
      <c r="AB165" s="286"/>
      <c r="AC165" s="287"/>
      <c r="AD165" s="263"/>
      <c r="AE165" s="263"/>
      <c r="AF165" s="263"/>
      <c r="AG165" s="263"/>
      <c r="AH165" s="479"/>
      <c r="AI165" s="479"/>
      <c r="AJ165" s="479"/>
      <c r="AK165" s="479"/>
    </row>
    <row r="166" spans="1:37" ht="22.5" x14ac:dyDescent="0.4">
      <c r="A166" s="481"/>
      <c r="B166" s="293" t="s">
        <v>254</v>
      </c>
      <c r="C166" s="472">
        <f>C164/C165</f>
        <v>0.85346942549519189</v>
      </c>
      <c r="D166" s="475"/>
      <c r="E166" s="475"/>
      <c r="F166" s="476"/>
      <c r="G166" s="472">
        <f>G164/G165</f>
        <v>0.65506513707952552</v>
      </c>
      <c r="H166" s="473"/>
      <c r="I166" s="474"/>
      <c r="J166" s="276"/>
      <c r="K166" s="276"/>
      <c r="L166" s="472">
        <f>L164/L165</f>
        <v>0.67895058823529408</v>
      </c>
      <c r="M166" s="473"/>
      <c r="N166" s="474"/>
      <c r="O166" s="280">
        <f t="shared" ref="O166:Z166" si="28">(O161+O162)/O163</f>
        <v>0.99224806201550386</v>
      </c>
      <c r="P166" s="290">
        <f t="shared" si="28"/>
        <v>0.82548625236725814</v>
      </c>
      <c r="Q166" s="472">
        <f>Q164/Q165</f>
        <v>0.92525738396624468</v>
      </c>
      <c r="R166" s="473"/>
      <c r="S166" s="474"/>
      <c r="T166" s="280">
        <f t="shared" si="28"/>
        <v>0.81133778201461715</v>
      </c>
      <c r="U166" s="280">
        <f t="shared" si="28"/>
        <v>0.49045521292217326</v>
      </c>
      <c r="V166" s="280">
        <f t="shared" si="28"/>
        <v>0.84018801410105759</v>
      </c>
      <c r="W166" s="280">
        <f t="shared" si="28"/>
        <v>0.9452054794520548</v>
      </c>
      <c r="X166" s="280">
        <f t="shared" si="28"/>
        <v>0.88577464788732407</v>
      </c>
      <c r="Y166" s="280">
        <f t="shared" si="28"/>
        <v>0.95588235294117652</v>
      </c>
      <c r="Z166" s="280">
        <f t="shared" si="28"/>
        <v>0.91463414634146345</v>
      </c>
      <c r="AA166" s="265"/>
      <c r="AB166" s="290">
        <f>(AB161+AB162)/AB163</f>
        <v>0.78152889633399913</v>
      </c>
      <c r="AC166" s="291">
        <f>(AC161+AC162)/AC163</f>
        <v>0.81873539277480378</v>
      </c>
      <c r="AD166" s="281" t="e">
        <f>AD161/$AG$277</f>
        <v>#DIV/0!</v>
      </c>
      <c r="AE166" s="281" t="e">
        <f>AE161/$AG$277</f>
        <v>#DIV/0!</v>
      </c>
      <c r="AF166" s="281" t="e">
        <f>AF161/$AG$277</f>
        <v>#DIV/0!</v>
      </c>
      <c r="AG166" s="281" t="e">
        <f>AG161/$AG$277</f>
        <v>#DIV/0!</v>
      </c>
      <c r="AH166" s="479"/>
      <c r="AI166" s="479"/>
      <c r="AJ166" s="479"/>
      <c r="AK166" s="479"/>
    </row>
    <row r="167" spans="1:37" ht="22.5" x14ac:dyDescent="0.4">
      <c r="A167" s="481" t="s">
        <v>282</v>
      </c>
      <c r="B167" s="292" t="s">
        <v>269</v>
      </c>
      <c r="C167" s="258">
        <v>8041</v>
      </c>
      <c r="D167" s="258">
        <v>32018</v>
      </c>
      <c r="E167" s="258">
        <v>4091</v>
      </c>
      <c r="F167" s="258">
        <v>17245</v>
      </c>
      <c r="G167" s="258">
        <v>1531</v>
      </c>
      <c r="H167" s="258">
        <v>2780</v>
      </c>
      <c r="I167" s="258">
        <v>2098</v>
      </c>
      <c r="J167" s="258"/>
      <c r="K167" s="258"/>
      <c r="L167" s="258">
        <v>82</v>
      </c>
      <c r="M167" s="258">
        <v>777</v>
      </c>
      <c r="N167" s="258">
        <v>596</v>
      </c>
      <c r="O167" s="258">
        <v>128</v>
      </c>
      <c r="P167" s="286">
        <f>SUM(C167:O167)</f>
        <v>69387</v>
      </c>
      <c r="Q167" s="258">
        <v>1112</v>
      </c>
      <c r="R167" s="258">
        <v>2405</v>
      </c>
      <c r="S167" s="258">
        <v>1905</v>
      </c>
      <c r="T167" s="258">
        <v>2529</v>
      </c>
      <c r="U167" s="258">
        <v>2103</v>
      </c>
      <c r="V167" s="258">
        <v>706</v>
      </c>
      <c r="W167" s="258">
        <v>276</v>
      </c>
      <c r="X167" s="258">
        <v>664</v>
      </c>
      <c r="Y167" s="67">
        <v>196</v>
      </c>
      <c r="Z167" s="67">
        <v>125</v>
      </c>
      <c r="AA167" s="261"/>
      <c r="AB167" s="286">
        <f>SUM(Q167:AA167)</f>
        <v>12021</v>
      </c>
      <c r="AC167" s="287">
        <f>P167+AB167</f>
        <v>81408</v>
      </c>
      <c r="AD167" s="278">
        <v>12</v>
      </c>
      <c r="AE167" s="278">
        <v>6</v>
      </c>
      <c r="AF167" s="278">
        <v>3</v>
      </c>
      <c r="AG167" s="279">
        <f>SUM(AD167:AF167)</f>
        <v>21</v>
      </c>
      <c r="AH167" s="478">
        <v>1887</v>
      </c>
      <c r="AI167" s="478">
        <v>3934</v>
      </c>
      <c r="AJ167" s="478">
        <v>956</v>
      </c>
      <c r="AK167" s="478">
        <f>SUM(AH167:AJ172)</f>
        <v>6777</v>
      </c>
    </row>
    <row r="168" spans="1:37" ht="22.5" x14ac:dyDescent="0.4">
      <c r="A168" s="481"/>
      <c r="B168" s="292" t="s">
        <v>265</v>
      </c>
      <c r="C168" s="258">
        <v>40.204999999999998</v>
      </c>
      <c r="D168" s="258">
        <v>160.09</v>
      </c>
      <c r="E168" s="258">
        <v>20.455000000000002</v>
      </c>
      <c r="F168" s="258">
        <v>86.225000000000009</v>
      </c>
      <c r="G168" s="258">
        <v>0</v>
      </c>
      <c r="H168" s="258">
        <v>0</v>
      </c>
      <c r="I168" s="258">
        <v>0</v>
      </c>
      <c r="J168" s="258"/>
      <c r="K168" s="258"/>
      <c r="L168" s="258">
        <v>0</v>
      </c>
      <c r="M168" s="258">
        <v>3.8850000000000002</v>
      </c>
      <c r="N168" s="258">
        <v>2.98</v>
      </c>
      <c r="O168" s="258">
        <v>0</v>
      </c>
      <c r="P168" s="286">
        <f>SUM(C168:O168)</f>
        <v>313.84000000000003</v>
      </c>
      <c r="Q168" s="258">
        <v>11.120000000000001</v>
      </c>
      <c r="R168" s="258">
        <v>0</v>
      </c>
      <c r="S168" s="258">
        <v>0</v>
      </c>
      <c r="T168" s="258">
        <v>25.29</v>
      </c>
      <c r="U168" s="258">
        <v>0</v>
      </c>
      <c r="V168" s="258">
        <v>0</v>
      </c>
      <c r="W168" s="258">
        <v>0</v>
      </c>
      <c r="X168" s="258">
        <v>92.960000000000008</v>
      </c>
      <c r="Y168" s="258">
        <v>0</v>
      </c>
      <c r="Z168" s="67">
        <v>25</v>
      </c>
      <c r="AA168" s="261"/>
      <c r="AB168" s="286">
        <f>SUM(Q168:AA168)</f>
        <v>154.37</v>
      </c>
      <c r="AC168" s="287">
        <f>P168+AB168</f>
        <v>468.21000000000004</v>
      </c>
      <c r="AD168" s="278"/>
      <c r="AE168" s="278"/>
      <c r="AF168" s="278"/>
      <c r="AG168" s="279"/>
      <c r="AH168" s="479"/>
      <c r="AI168" s="479"/>
      <c r="AJ168" s="479"/>
      <c r="AK168" s="479"/>
    </row>
    <row r="169" spans="1:37" ht="22.5" x14ac:dyDescent="0.4">
      <c r="A169" s="481"/>
      <c r="B169" s="292" t="s">
        <v>253</v>
      </c>
      <c r="C169" s="114">
        <v>9252</v>
      </c>
      <c r="D169" s="114">
        <v>37456</v>
      </c>
      <c r="E169" s="114">
        <v>4675</v>
      </c>
      <c r="F169" s="114">
        <v>21619</v>
      </c>
      <c r="G169" s="114">
        <v>1602</v>
      </c>
      <c r="H169" s="114">
        <v>6242</v>
      </c>
      <c r="I169" s="114">
        <v>2442</v>
      </c>
      <c r="J169" s="114"/>
      <c r="K169" s="114"/>
      <c r="L169" s="114">
        <v>102</v>
      </c>
      <c r="M169" s="114">
        <v>876</v>
      </c>
      <c r="N169" s="114">
        <v>1147</v>
      </c>
      <c r="O169" s="114">
        <v>129</v>
      </c>
      <c r="P169" s="286">
        <f>SUM(C169:O169)</f>
        <v>85542</v>
      </c>
      <c r="Q169" s="114">
        <v>1187</v>
      </c>
      <c r="R169" s="114">
        <v>2718</v>
      </c>
      <c r="S169" s="114">
        <v>2020</v>
      </c>
      <c r="T169" s="114">
        <v>3147</v>
      </c>
      <c r="U169" s="114">
        <v>4086</v>
      </c>
      <c r="V169" s="114">
        <v>851</v>
      </c>
      <c r="W169" s="114">
        <v>292</v>
      </c>
      <c r="X169" s="114">
        <v>852</v>
      </c>
      <c r="Y169" s="114">
        <v>204</v>
      </c>
      <c r="Z169" s="114">
        <v>164</v>
      </c>
      <c r="AA169" s="261"/>
      <c r="AB169" s="286">
        <f>SUM(Q169:AA169)</f>
        <v>15521</v>
      </c>
      <c r="AC169" s="287">
        <f>P169+AB169</f>
        <v>101063</v>
      </c>
      <c r="AD169" s="263"/>
      <c r="AE169" s="263"/>
      <c r="AF169" s="263"/>
      <c r="AG169" s="263"/>
      <c r="AH169" s="479"/>
      <c r="AI169" s="479"/>
      <c r="AJ169" s="479"/>
      <c r="AK169" s="479"/>
    </row>
    <row r="170" spans="1:37" ht="25" x14ac:dyDescent="0.4">
      <c r="A170" s="481"/>
      <c r="B170" s="292" t="s">
        <v>275</v>
      </c>
      <c r="C170" s="469">
        <f>C167+D167+E167+F167+C168+D168+E168+F168</f>
        <v>61701.974999999999</v>
      </c>
      <c r="D170" s="470"/>
      <c r="E170" s="470"/>
      <c r="F170" s="471"/>
      <c r="G170" s="469">
        <f>G167+H167+I167+G168+H168+I168</f>
        <v>6409</v>
      </c>
      <c r="H170" s="470"/>
      <c r="I170" s="471"/>
      <c r="J170" s="273"/>
      <c r="K170" s="273"/>
      <c r="L170" s="469">
        <f>L167+M167+N167+L168+M168+N168</f>
        <v>1461.865</v>
      </c>
      <c r="M170" s="470"/>
      <c r="N170" s="471"/>
      <c r="O170" s="114"/>
      <c r="P170" s="286"/>
      <c r="Q170" s="469">
        <f>Q167+R167+S167+Q168+R168+S168</f>
        <v>5433.12</v>
      </c>
      <c r="R170" s="470"/>
      <c r="S170" s="471"/>
      <c r="T170" s="114"/>
      <c r="U170" s="114"/>
      <c r="V170" s="114"/>
      <c r="W170" s="114"/>
      <c r="X170" s="114"/>
      <c r="Y170" s="114"/>
      <c r="Z170" s="114"/>
      <c r="AA170" s="261"/>
      <c r="AB170" s="286"/>
      <c r="AC170" s="287"/>
      <c r="AD170" s="263"/>
      <c r="AE170" s="263"/>
      <c r="AF170" s="263"/>
      <c r="AG170" s="263"/>
      <c r="AH170" s="479"/>
      <c r="AI170" s="479"/>
      <c r="AJ170" s="479"/>
      <c r="AK170" s="479"/>
    </row>
    <row r="171" spans="1:37" ht="25" x14ac:dyDescent="0.4">
      <c r="A171" s="481"/>
      <c r="B171" s="302" t="s">
        <v>247</v>
      </c>
      <c r="C171" s="469">
        <f>C169+D169+E169+F169</f>
        <v>73002</v>
      </c>
      <c r="D171" s="470"/>
      <c r="E171" s="470"/>
      <c r="F171" s="471"/>
      <c r="G171" s="469">
        <f>G169+H169+I169</f>
        <v>10286</v>
      </c>
      <c r="H171" s="470"/>
      <c r="I171" s="471"/>
      <c r="J171" s="273"/>
      <c r="K171" s="273"/>
      <c r="L171" s="469">
        <f>L169+M169+N169</f>
        <v>2125</v>
      </c>
      <c r="M171" s="470"/>
      <c r="N171" s="471"/>
      <c r="O171" s="114"/>
      <c r="P171" s="286"/>
      <c r="Q171" s="469">
        <f>Q169+R169+S169</f>
        <v>5925</v>
      </c>
      <c r="R171" s="470"/>
      <c r="S171" s="471"/>
      <c r="T171" s="114"/>
      <c r="U171" s="114"/>
      <c r="V171" s="114"/>
      <c r="W171" s="114"/>
      <c r="X171" s="114"/>
      <c r="Y171" s="114"/>
      <c r="Z171" s="114"/>
      <c r="AA171" s="261"/>
      <c r="AB171" s="286"/>
      <c r="AC171" s="287"/>
      <c r="AD171" s="263"/>
      <c r="AE171" s="263"/>
      <c r="AF171" s="263"/>
      <c r="AG171" s="263"/>
      <c r="AH171" s="479"/>
      <c r="AI171" s="479"/>
      <c r="AJ171" s="479"/>
      <c r="AK171" s="479"/>
    </row>
    <row r="172" spans="1:37" ht="22.5" x14ac:dyDescent="0.4">
      <c r="A172" s="481"/>
      <c r="B172" s="293" t="s">
        <v>254</v>
      </c>
      <c r="C172" s="472">
        <f>C170/C171</f>
        <v>0.84520937782526506</v>
      </c>
      <c r="D172" s="473"/>
      <c r="E172" s="473"/>
      <c r="F172" s="474"/>
      <c r="G172" s="472">
        <f>G170/G171</f>
        <v>0.62307991444682087</v>
      </c>
      <c r="H172" s="473"/>
      <c r="I172" s="474"/>
      <c r="J172" s="276"/>
      <c r="K172" s="276"/>
      <c r="L172" s="472">
        <f>L170/L171</f>
        <v>0.68793647058823526</v>
      </c>
      <c r="M172" s="473"/>
      <c r="N172" s="474"/>
      <c r="O172" s="280">
        <f t="shared" ref="O172:Z172" si="29">(O167+O168)/O169</f>
        <v>0.99224806201550386</v>
      </c>
      <c r="P172" s="290">
        <f t="shared" si="29"/>
        <v>0.81481424329569097</v>
      </c>
      <c r="Q172" s="472">
        <f>Q170/Q171</f>
        <v>0.91698227848101266</v>
      </c>
      <c r="R172" s="473"/>
      <c r="S172" s="474"/>
      <c r="T172" s="280">
        <f t="shared" si="29"/>
        <v>0.81165872259294569</v>
      </c>
      <c r="U172" s="280">
        <f t="shared" si="29"/>
        <v>0.51468428781204112</v>
      </c>
      <c r="V172" s="280">
        <f t="shared" si="29"/>
        <v>0.82961222091656872</v>
      </c>
      <c r="W172" s="280">
        <f t="shared" si="29"/>
        <v>0.9452054794520548</v>
      </c>
      <c r="X172" s="280">
        <f t="shared" si="29"/>
        <v>0.88845070422535211</v>
      </c>
      <c r="Y172" s="280">
        <f t="shared" si="29"/>
        <v>0.96078431372549022</v>
      </c>
      <c r="Z172" s="280">
        <f t="shared" si="29"/>
        <v>0.91463414634146345</v>
      </c>
      <c r="AA172" s="265"/>
      <c r="AB172" s="290">
        <f>(AB167+AB168)/AB169</f>
        <v>0.78444494555763167</v>
      </c>
      <c r="AC172" s="291">
        <f>(AC167+AC168)/AC169</f>
        <v>0.81015020333851173</v>
      </c>
      <c r="AD172" s="281">
        <f>AD167/$AG$281</f>
        <v>0.5714285714285714</v>
      </c>
      <c r="AE172" s="281">
        <f>AE167/$AG$281</f>
        <v>0.2857142857142857</v>
      </c>
      <c r="AF172" s="281">
        <f>AF167/$AG$281</f>
        <v>0.14285714285714285</v>
      </c>
      <c r="AG172" s="281">
        <f>AG167/$AG$281</f>
        <v>1</v>
      </c>
      <c r="AH172" s="479"/>
      <c r="AI172" s="479"/>
      <c r="AJ172" s="479"/>
      <c r="AK172" s="479"/>
    </row>
    <row r="173" spans="1:37" ht="36" customHeight="1" x14ac:dyDescent="0.4">
      <c r="A173" s="477" t="s">
        <v>283</v>
      </c>
      <c r="B173" s="292" t="s">
        <v>269</v>
      </c>
      <c r="C173" s="258">
        <v>8119</v>
      </c>
      <c r="D173" s="258">
        <v>31908</v>
      </c>
      <c r="E173" s="258">
        <v>4136</v>
      </c>
      <c r="F173" s="258">
        <v>17463</v>
      </c>
      <c r="G173" s="258">
        <v>1528</v>
      </c>
      <c r="H173" s="258">
        <v>2815</v>
      </c>
      <c r="I173" s="258">
        <v>2150</v>
      </c>
      <c r="J173" s="258"/>
      <c r="K173" s="258"/>
      <c r="L173" s="258">
        <v>87</v>
      </c>
      <c r="M173" s="258">
        <v>781</v>
      </c>
      <c r="N173" s="258">
        <v>602</v>
      </c>
      <c r="O173" s="258">
        <v>128</v>
      </c>
      <c r="P173" s="286">
        <f>SUM(C173:O173)</f>
        <v>69717</v>
      </c>
      <c r="Q173" s="258">
        <v>1111</v>
      </c>
      <c r="R173" s="258">
        <v>2452</v>
      </c>
      <c r="S173" s="258">
        <v>1883</v>
      </c>
      <c r="T173" s="258">
        <v>2495</v>
      </c>
      <c r="U173" s="258">
        <v>2084</v>
      </c>
      <c r="V173" s="258">
        <v>712</v>
      </c>
      <c r="W173" s="258">
        <v>278</v>
      </c>
      <c r="X173" s="258">
        <v>670</v>
      </c>
      <c r="Y173" s="67">
        <v>197</v>
      </c>
      <c r="Z173" s="67">
        <v>125</v>
      </c>
      <c r="AA173" s="261"/>
      <c r="AB173" s="286">
        <f>SUM(Q173:AA173)</f>
        <v>12007</v>
      </c>
      <c r="AC173" s="287">
        <f>P173+AB173</f>
        <v>81724</v>
      </c>
      <c r="AD173" s="278">
        <v>13</v>
      </c>
      <c r="AE173" s="278">
        <v>5</v>
      </c>
      <c r="AF173" s="278">
        <v>3</v>
      </c>
      <c r="AG173" s="279">
        <f>SUM(AD173:AF173)</f>
        <v>21</v>
      </c>
      <c r="AH173" s="478">
        <v>2172</v>
      </c>
      <c r="AI173" s="478">
        <v>2581</v>
      </c>
      <c r="AJ173" s="478">
        <v>733</v>
      </c>
      <c r="AK173" s="478">
        <f>SUM(AH173:AJ178)</f>
        <v>5486</v>
      </c>
    </row>
    <row r="174" spans="1:37" ht="36" customHeight="1" x14ac:dyDescent="0.4">
      <c r="A174" s="477"/>
      <c r="B174" s="292" t="s">
        <v>265</v>
      </c>
      <c r="C174" s="258">
        <v>40.594999999999999</v>
      </c>
      <c r="D174" s="258">
        <v>159.54</v>
      </c>
      <c r="E174" s="258">
        <v>20.68</v>
      </c>
      <c r="F174" s="258">
        <v>87.314999999999998</v>
      </c>
      <c r="G174" s="258">
        <v>0</v>
      </c>
      <c r="H174" s="258">
        <v>0</v>
      </c>
      <c r="I174" s="258">
        <v>0</v>
      </c>
      <c r="J174" s="258"/>
      <c r="K174" s="258"/>
      <c r="L174" s="258">
        <v>0</v>
      </c>
      <c r="M174" s="258">
        <v>3.9050000000000002</v>
      </c>
      <c r="N174" s="258">
        <v>3.0100000000000002</v>
      </c>
      <c r="O174" s="258">
        <v>0</v>
      </c>
      <c r="P174" s="286">
        <f>SUM(C174:O174)</f>
        <v>315.04499999999996</v>
      </c>
      <c r="Q174" s="258">
        <v>11.11</v>
      </c>
      <c r="R174" s="258">
        <v>0</v>
      </c>
      <c r="S174" s="258">
        <v>0</v>
      </c>
      <c r="T174" s="258">
        <v>24.95</v>
      </c>
      <c r="U174" s="258">
        <v>0</v>
      </c>
      <c r="V174" s="258">
        <v>0</v>
      </c>
      <c r="W174" s="258">
        <v>0</v>
      </c>
      <c r="X174" s="258">
        <v>93.800000000000011</v>
      </c>
      <c r="Y174" s="258">
        <v>0</v>
      </c>
      <c r="Z174" s="67">
        <v>25</v>
      </c>
      <c r="AA174" s="261"/>
      <c r="AB174" s="286">
        <f>SUM(Q174:AA174)</f>
        <v>154.86000000000001</v>
      </c>
      <c r="AC174" s="287">
        <f>P174+AB174</f>
        <v>469.90499999999997</v>
      </c>
      <c r="AD174" s="278"/>
      <c r="AE174" s="278"/>
      <c r="AF174" s="278"/>
      <c r="AG174" s="279"/>
      <c r="AH174" s="479"/>
      <c r="AI174" s="479"/>
      <c r="AJ174" s="479"/>
      <c r="AK174" s="479"/>
    </row>
    <row r="175" spans="1:37" ht="36" customHeight="1" x14ac:dyDescent="0.4">
      <c r="A175" s="477"/>
      <c r="B175" s="304" t="s">
        <v>284</v>
      </c>
      <c r="C175" s="114">
        <v>9252</v>
      </c>
      <c r="D175" s="114">
        <v>37456</v>
      </c>
      <c r="E175" s="114">
        <v>4675</v>
      </c>
      <c r="F175" s="114">
        <v>21619</v>
      </c>
      <c r="G175" s="114">
        <v>1602</v>
      </c>
      <c r="H175" s="114">
        <v>6242</v>
      </c>
      <c r="I175" s="114">
        <v>2442</v>
      </c>
      <c r="J175" s="114"/>
      <c r="K175" s="114"/>
      <c r="L175" s="114">
        <v>102</v>
      </c>
      <c r="M175" s="114">
        <v>876</v>
      </c>
      <c r="N175" s="114">
        <v>1147</v>
      </c>
      <c r="O175" s="114">
        <v>129</v>
      </c>
      <c r="P175" s="286">
        <f>SUM(C175:O175)</f>
        <v>85542</v>
      </c>
      <c r="Q175" s="114">
        <v>1187</v>
      </c>
      <c r="R175" s="114">
        <v>2718</v>
      </c>
      <c r="S175" s="114">
        <v>2020</v>
      </c>
      <c r="T175" s="114">
        <v>3147</v>
      </c>
      <c r="U175" s="114">
        <v>4086</v>
      </c>
      <c r="V175" s="114">
        <v>851</v>
      </c>
      <c r="W175" s="114">
        <v>292</v>
      </c>
      <c r="X175" s="114">
        <v>852</v>
      </c>
      <c r="Y175" s="114">
        <v>204</v>
      </c>
      <c r="Z175" s="114">
        <v>164</v>
      </c>
      <c r="AA175" s="261"/>
      <c r="AB175" s="286">
        <f>SUM(Q175:AA175)</f>
        <v>15521</v>
      </c>
      <c r="AC175" s="287">
        <f>P175+AB175</f>
        <v>101063</v>
      </c>
      <c r="AD175" s="263"/>
      <c r="AE175" s="263"/>
      <c r="AF175" s="263"/>
      <c r="AG175" s="263"/>
      <c r="AH175" s="479"/>
      <c r="AI175" s="479"/>
      <c r="AJ175" s="479"/>
      <c r="AK175" s="479"/>
    </row>
    <row r="176" spans="1:37" ht="36" customHeight="1" x14ac:dyDescent="0.4">
      <c r="A176" s="477"/>
      <c r="B176" s="304" t="s">
        <v>285</v>
      </c>
      <c r="C176" s="469">
        <f>C173+D173+E173+F173+C174+D174+E174+F174</f>
        <v>61934.130000000005</v>
      </c>
      <c r="D176" s="470"/>
      <c r="E176" s="470"/>
      <c r="F176" s="471"/>
      <c r="G176" s="469">
        <f>G173+H173+I173+G174+H174+I174</f>
        <v>6493</v>
      </c>
      <c r="H176" s="470"/>
      <c r="I176" s="471"/>
      <c r="J176" s="273"/>
      <c r="K176" s="273"/>
      <c r="L176" s="469">
        <f>L173+M173+N173+L174+M174+N174</f>
        <v>1476.915</v>
      </c>
      <c r="M176" s="470"/>
      <c r="N176" s="471"/>
      <c r="O176" s="114"/>
      <c r="P176" s="286"/>
      <c r="Q176" s="469">
        <f>Q173+R173+S173+Q174+R174+S174</f>
        <v>5457.11</v>
      </c>
      <c r="R176" s="470"/>
      <c r="S176" s="471"/>
      <c r="T176" s="114"/>
      <c r="U176" s="114"/>
      <c r="V176" s="114"/>
      <c r="W176" s="114"/>
      <c r="X176" s="114"/>
      <c r="Y176" s="114"/>
      <c r="Z176" s="114"/>
      <c r="AA176" s="261"/>
      <c r="AB176" s="286"/>
      <c r="AC176" s="287"/>
      <c r="AD176" s="263"/>
      <c r="AE176" s="263"/>
      <c r="AF176" s="263"/>
      <c r="AG176" s="263"/>
      <c r="AH176" s="479"/>
      <c r="AI176" s="479"/>
      <c r="AJ176" s="479"/>
      <c r="AK176" s="479"/>
    </row>
    <row r="177" spans="1:37" ht="36" customHeight="1" x14ac:dyDescent="0.4">
      <c r="A177" s="477"/>
      <c r="B177" s="304" t="s">
        <v>247</v>
      </c>
      <c r="C177" s="469">
        <f>C175+D175+E175+F175</f>
        <v>73002</v>
      </c>
      <c r="D177" s="470"/>
      <c r="E177" s="470"/>
      <c r="F177" s="471"/>
      <c r="G177" s="469">
        <f>G175+H175+I175</f>
        <v>10286</v>
      </c>
      <c r="H177" s="470"/>
      <c r="I177" s="471"/>
      <c r="J177" s="273"/>
      <c r="K177" s="273"/>
      <c r="L177" s="469">
        <f>L175+M175+N175</f>
        <v>2125</v>
      </c>
      <c r="M177" s="470"/>
      <c r="N177" s="471"/>
      <c r="O177" s="114"/>
      <c r="P177" s="286"/>
      <c r="Q177" s="469">
        <f>Q175+R175+S175</f>
        <v>5925</v>
      </c>
      <c r="R177" s="470"/>
      <c r="S177" s="471"/>
      <c r="T177" s="114"/>
      <c r="U177" s="114"/>
      <c r="V177" s="114"/>
      <c r="W177" s="114"/>
      <c r="X177" s="114"/>
      <c r="Y177" s="114"/>
      <c r="Z177" s="114"/>
      <c r="AA177" s="261"/>
      <c r="AB177" s="286"/>
      <c r="AC177" s="287"/>
      <c r="AD177" s="263"/>
      <c r="AE177" s="263"/>
      <c r="AF177" s="263"/>
      <c r="AG177" s="263"/>
      <c r="AH177" s="479"/>
      <c r="AI177" s="479"/>
      <c r="AJ177" s="479"/>
      <c r="AK177" s="479"/>
    </row>
    <row r="178" spans="1:37" ht="36" customHeight="1" x14ac:dyDescent="0.4">
      <c r="A178" s="477"/>
      <c r="B178" s="297" t="s">
        <v>262</v>
      </c>
      <c r="C178" s="472">
        <f>C176/C177</f>
        <v>0.84838949617818693</v>
      </c>
      <c r="D178" s="473"/>
      <c r="E178" s="473"/>
      <c r="F178" s="474"/>
      <c r="G178" s="472">
        <f>G176/G177</f>
        <v>0.63124635426793696</v>
      </c>
      <c r="H178" s="473"/>
      <c r="I178" s="474"/>
      <c r="J178" s="276"/>
      <c r="K178" s="276"/>
      <c r="L178" s="472">
        <f>L176/L177</f>
        <v>0.6950188235294118</v>
      </c>
      <c r="M178" s="473"/>
      <c r="N178" s="474"/>
      <c r="O178" s="280">
        <f>(O173+O174)/O175</f>
        <v>0.99224806201550386</v>
      </c>
      <c r="P178" s="290">
        <f>(P173+P174)/P175</f>
        <v>0.81868608402889809</v>
      </c>
      <c r="Q178" s="472">
        <f>Q176/Q177</f>
        <v>0.92103122362869194</v>
      </c>
      <c r="R178" s="473"/>
      <c r="S178" s="474"/>
      <c r="T178" s="280">
        <f t="shared" ref="T178:Z178" si="30">(T173+T174)/T175</f>
        <v>0.80074674292977432</v>
      </c>
      <c r="U178" s="280">
        <f t="shared" si="30"/>
        <v>0.5100342633382281</v>
      </c>
      <c r="V178" s="280">
        <f t="shared" si="30"/>
        <v>0.836662749706228</v>
      </c>
      <c r="W178" s="280">
        <f t="shared" si="30"/>
        <v>0.95205479452054798</v>
      </c>
      <c r="X178" s="280">
        <f t="shared" si="30"/>
        <v>0.89647887323943654</v>
      </c>
      <c r="Y178" s="280">
        <f t="shared" si="30"/>
        <v>0.96568627450980393</v>
      </c>
      <c r="Z178" s="280">
        <f t="shared" si="30"/>
        <v>0.91463414634146345</v>
      </c>
      <c r="AA178" s="265"/>
      <c r="AB178" s="290">
        <f>(AB173+AB174)/AB175</f>
        <v>0.78357451195154959</v>
      </c>
      <c r="AC178" s="291">
        <f>(AC173+AC174)/AC175</f>
        <v>0.81329373756963474</v>
      </c>
      <c r="AD178" s="281">
        <f>AD173/$AG$173</f>
        <v>0.61904761904761907</v>
      </c>
      <c r="AE178" s="281">
        <f>AE173/$AG$173</f>
        <v>0.23809523809523808</v>
      </c>
      <c r="AF178" s="281">
        <f>AF173/$AG$173</f>
        <v>0.14285714285714285</v>
      </c>
      <c r="AG178" s="305">
        <f>AG173/$AG$173</f>
        <v>1</v>
      </c>
      <c r="AH178" s="480"/>
      <c r="AI178" s="480"/>
      <c r="AJ178" s="480"/>
      <c r="AK178" s="480"/>
    </row>
    <row r="179" spans="1:37" ht="36" customHeight="1" x14ac:dyDescent="0.4">
      <c r="A179" s="477" t="s">
        <v>286</v>
      </c>
      <c r="B179" s="292" t="s">
        <v>269</v>
      </c>
      <c r="C179" s="258">
        <v>8134</v>
      </c>
      <c r="D179" s="258">
        <v>31989</v>
      </c>
      <c r="E179" s="258">
        <v>3948</v>
      </c>
      <c r="F179" s="258">
        <v>17561</v>
      </c>
      <c r="G179" s="258">
        <v>1510</v>
      </c>
      <c r="H179" s="258">
        <v>3060</v>
      </c>
      <c r="I179" s="258">
        <v>2179</v>
      </c>
      <c r="J179" s="258"/>
      <c r="K179" s="258"/>
      <c r="L179" s="258">
        <v>86</v>
      </c>
      <c r="M179" s="258">
        <v>785</v>
      </c>
      <c r="N179" s="258">
        <v>604</v>
      </c>
      <c r="O179" s="258">
        <v>129</v>
      </c>
      <c r="P179" s="286">
        <f>SUM(C179:O179)</f>
        <v>69985</v>
      </c>
      <c r="Q179" s="258">
        <v>1120</v>
      </c>
      <c r="R179" s="258">
        <v>2400</v>
      </c>
      <c r="S179" s="258">
        <v>1820</v>
      </c>
      <c r="T179" s="258">
        <v>2527</v>
      </c>
      <c r="U179" s="258">
        <v>2129</v>
      </c>
      <c r="V179" s="258">
        <v>729</v>
      </c>
      <c r="W179" s="258">
        <v>278</v>
      </c>
      <c r="X179" s="258">
        <v>672</v>
      </c>
      <c r="Y179" s="67">
        <v>197</v>
      </c>
      <c r="Z179" s="67">
        <v>125</v>
      </c>
      <c r="AA179" s="261"/>
      <c r="AB179" s="286">
        <f>SUM(Q179:AA179)</f>
        <v>11997</v>
      </c>
      <c r="AC179" s="287">
        <f>P179+AB179</f>
        <v>81982</v>
      </c>
      <c r="AD179" s="278">
        <v>11</v>
      </c>
      <c r="AE179" s="278">
        <v>7</v>
      </c>
      <c r="AF179" s="278">
        <v>3</v>
      </c>
      <c r="AG179" s="279">
        <f>SUM(AD179:AF179)</f>
        <v>21</v>
      </c>
      <c r="AH179" s="478">
        <v>2073</v>
      </c>
      <c r="AI179" s="478">
        <v>3411</v>
      </c>
      <c r="AJ179" s="478">
        <v>1629</v>
      </c>
      <c r="AK179" s="478">
        <f>SUM(AH179:AJ184)</f>
        <v>7113</v>
      </c>
    </row>
    <row r="180" spans="1:37" ht="36" customHeight="1" x14ac:dyDescent="0.4">
      <c r="A180" s="477"/>
      <c r="B180" s="292" t="s">
        <v>265</v>
      </c>
      <c r="C180" s="258">
        <v>36.602999999999994</v>
      </c>
      <c r="D180" s="258">
        <v>143.95049999999998</v>
      </c>
      <c r="E180" s="258">
        <v>17.765999999999998</v>
      </c>
      <c r="F180" s="258">
        <v>79.024499999999989</v>
      </c>
      <c r="G180" s="258">
        <v>0</v>
      </c>
      <c r="H180" s="258">
        <v>0</v>
      </c>
      <c r="I180" s="258">
        <v>0</v>
      </c>
      <c r="J180" s="258"/>
      <c r="K180" s="258"/>
      <c r="L180" s="258">
        <v>0</v>
      </c>
      <c r="M180" s="258">
        <v>3.9250000000000003</v>
      </c>
      <c r="N180" s="258">
        <v>3.02</v>
      </c>
      <c r="O180" s="258">
        <v>0</v>
      </c>
      <c r="P180" s="286">
        <f>SUM(C180:O180)</f>
        <v>284.28899999999993</v>
      </c>
      <c r="Q180" s="258">
        <v>11.200000000000001</v>
      </c>
      <c r="R180" s="258">
        <v>0</v>
      </c>
      <c r="S180" s="258">
        <v>0</v>
      </c>
      <c r="T180" s="258">
        <v>25.27</v>
      </c>
      <c r="U180" s="258">
        <v>0</v>
      </c>
      <c r="V180" s="258">
        <v>0</v>
      </c>
      <c r="W180" s="258">
        <v>0</v>
      </c>
      <c r="X180" s="258">
        <v>94.080000000000013</v>
      </c>
      <c r="Y180" s="258">
        <v>0</v>
      </c>
      <c r="Z180" s="67">
        <v>25</v>
      </c>
      <c r="AA180" s="261"/>
      <c r="AB180" s="286">
        <f>SUM(Q180:AA180)</f>
        <v>155.55000000000001</v>
      </c>
      <c r="AC180" s="287">
        <f>P180+AB180</f>
        <v>439.83899999999994</v>
      </c>
      <c r="AD180" s="278"/>
      <c r="AE180" s="278"/>
      <c r="AF180" s="278"/>
      <c r="AG180" s="279"/>
      <c r="AH180" s="479"/>
      <c r="AI180" s="479"/>
      <c r="AJ180" s="479"/>
      <c r="AK180" s="479"/>
    </row>
    <row r="181" spans="1:37" ht="36" customHeight="1" x14ac:dyDescent="0.4">
      <c r="A181" s="477"/>
      <c r="B181" s="304" t="s">
        <v>284</v>
      </c>
      <c r="C181" s="114">
        <v>9252</v>
      </c>
      <c r="D181" s="114">
        <v>37456</v>
      </c>
      <c r="E181" s="114">
        <v>4675</v>
      </c>
      <c r="F181" s="114">
        <v>21619</v>
      </c>
      <c r="G181" s="114">
        <v>1602</v>
      </c>
      <c r="H181" s="114">
        <v>6242</v>
      </c>
      <c r="I181" s="114">
        <v>2442</v>
      </c>
      <c r="J181" s="114"/>
      <c r="K181" s="114"/>
      <c r="L181" s="114">
        <v>102</v>
      </c>
      <c r="M181" s="114">
        <v>876</v>
      </c>
      <c r="N181" s="114">
        <v>1147</v>
      </c>
      <c r="O181" s="114">
        <v>129</v>
      </c>
      <c r="P181" s="286">
        <f>SUM(C181:O181)</f>
        <v>85542</v>
      </c>
      <c r="Q181" s="114">
        <v>1187</v>
      </c>
      <c r="R181" s="114">
        <v>2718</v>
      </c>
      <c r="S181" s="114">
        <v>2020</v>
      </c>
      <c r="T181" s="114">
        <v>3147</v>
      </c>
      <c r="U181" s="114">
        <v>4086</v>
      </c>
      <c r="V181" s="114">
        <v>851</v>
      </c>
      <c r="W181" s="114">
        <v>292</v>
      </c>
      <c r="X181" s="114">
        <v>852</v>
      </c>
      <c r="Y181" s="114">
        <v>204</v>
      </c>
      <c r="Z181" s="114">
        <v>164</v>
      </c>
      <c r="AA181" s="261"/>
      <c r="AB181" s="286">
        <f>SUM(Q181:AA181)</f>
        <v>15521</v>
      </c>
      <c r="AC181" s="287">
        <f>P181+AB181</f>
        <v>101063</v>
      </c>
      <c r="AD181" s="263"/>
      <c r="AE181" s="263"/>
      <c r="AF181" s="263"/>
      <c r="AG181" s="263"/>
      <c r="AH181" s="479"/>
      <c r="AI181" s="479"/>
      <c r="AJ181" s="479"/>
      <c r="AK181" s="479"/>
    </row>
    <row r="182" spans="1:37" ht="36" customHeight="1" x14ac:dyDescent="0.4">
      <c r="A182" s="477"/>
      <c r="B182" s="304" t="s">
        <v>285</v>
      </c>
      <c r="C182" s="469">
        <f>C179+D179+E179+F179+C180+D180+E180+F180</f>
        <v>61909.344000000005</v>
      </c>
      <c r="D182" s="470"/>
      <c r="E182" s="470"/>
      <c r="F182" s="471"/>
      <c r="G182" s="469">
        <f>G179+H179+I179+G180+H180+I180</f>
        <v>6749</v>
      </c>
      <c r="H182" s="470"/>
      <c r="I182" s="471"/>
      <c r="J182" s="273"/>
      <c r="K182" s="273"/>
      <c r="L182" s="469">
        <f>L179+M179+N179+L180+M180+N180</f>
        <v>1481.9449999999999</v>
      </c>
      <c r="M182" s="470"/>
      <c r="N182" s="471"/>
      <c r="O182" s="114"/>
      <c r="P182" s="286"/>
      <c r="Q182" s="469">
        <f>Q179+R179+S179+Q180+R180+S180</f>
        <v>5351.2</v>
      </c>
      <c r="R182" s="470"/>
      <c r="S182" s="471"/>
      <c r="T182" s="114"/>
      <c r="U182" s="114"/>
      <c r="V182" s="114"/>
      <c r="W182" s="114"/>
      <c r="X182" s="114"/>
      <c r="Y182" s="114"/>
      <c r="Z182" s="114"/>
      <c r="AA182" s="261"/>
      <c r="AB182" s="286"/>
      <c r="AC182" s="287"/>
      <c r="AD182" s="263"/>
      <c r="AE182" s="263"/>
      <c r="AF182" s="263"/>
      <c r="AG182" s="263"/>
      <c r="AH182" s="479"/>
      <c r="AI182" s="479"/>
      <c r="AJ182" s="479"/>
      <c r="AK182" s="479"/>
    </row>
    <row r="183" spans="1:37" ht="36" customHeight="1" x14ac:dyDescent="0.4">
      <c r="A183" s="477"/>
      <c r="B183" s="304" t="s">
        <v>247</v>
      </c>
      <c r="C183" s="469">
        <f>C181+D181+E181+F181</f>
        <v>73002</v>
      </c>
      <c r="D183" s="470"/>
      <c r="E183" s="470"/>
      <c r="F183" s="471"/>
      <c r="G183" s="469">
        <f>G181+H181+I181</f>
        <v>10286</v>
      </c>
      <c r="H183" s="470"/>
      <c r="I183" s="471"/>
      <c r="J183" s="273"/>
      <c r="K183" s="273"/>
      <c r="L183" s="469">
        <f>L181+M181+N181</f>
        <v>2125</v>
      </c>
      <c r="M183" s="470"/>
      <c r="N183" s="471"/>
      <c r="O183" s="114"/>
      <c r="P183" s="286"/>
      <c r="Q183" s="469">
        <f>Q181+R181+S181</f>
        <v>5925</v>
      </c>
      <c r="R183" s="470"/>
      <c r="S183" s="471"/>
      <c r="T183" s="114"/>
      <c r="U183" s="114"/>
      <c r="V183" s="114"/>
      <c r="W183" s="114"/>
      <c r="X183" s="114"/>
      <c r="Y183" s="114"/>
      <c r="Z183" s="114"/>
      <c r="AA183" s="261"/>
      <c r="AB183" s="286"/>
      <c r="AC183" s="287"/>
      <c r="AD183" s="263"/>
      <c r="AE183" s="263"/>
      <c r="AF183" s="263"/>
      <c r="AG183" s="263"/>
      <c r="AH183" s="479"/>
      <c r="AI183" s="479"/>
      <c r="AJ183" s="479"/>
      <c r="AK183" s="479"/>
    </row>
    <row r="184" spans="1:37" ht="36" customHeight="1" x14ac:dyDescent="0.4">
      <c r="A184" s="477"/>
      <c r="B184" s="297" t="s">
        <v>262</v>
      </c>
      <c r="C184" s="472">
        <f>C182/C183</f>
        <v>0.84804997123366488</v>
      </c>
      <c r="D184" s="473"/>
      <c r="E184" s="473"/>
      <c r="F184" s="474"/>
      <c r="G184" s="472">
        <f>G182/G183</f>
        <v>0.65613455181800506</v>
      </c>
      <c r="H184" s="473"/>
      <c r="I184" s="474"/>
      <c r="J184" s="276"/>
      <c r="K184" s="276"/>
      <c r="L184" s="472">
        <f>L182/L183</f>
        <v>0.69738588235294119</v>
      </c>
      <c r="M184" s="473"/>
      <c r="N184" s="474"/>
      <c r="O184" s="280">
        <f>(O179+O180)/O181</f>
        <v>1</v>
      </c>
      <c r="P184" s="290">
        <f>(P179+P180)/P181</f>
        <v>0.82145950527226397</v>
      </c>
      <c r="Q184" s="472">
        <f>Q182/Q183</f>
        <v>0.90315611814345986</v>
      </c>
      <c r="R184" s="473"/>
      <c r="S184" s="474"/>
      <c r="T184" s="280">
        <f t="shared" ref="T184:Z184" si="31">(T179+T180)/T181</f>
        <v>0.81101684143628849</v>
      </c>
      <c r="U184" s="280">
        <f t="shared" si="31"/>
        <v>0.52104747919725891</v>
      </c>
      <c r="V184" s="280">
        <f t="shared" si="31"/>
        <v>0.85663924794359581</v>
      </c>
      <c r="W184" s="280">
        <f t="shared" si="31"/>
        <v>0.95205479452054798</v>
      </c>
      <c r="X184" s="280">
        <f t="shared" si="31"/>
        <v>0.89915492957746479</v>
      </c>
      <c r="Y184" s="280">
        <f t="shared" si="31"/>
        <v>0.96568627450980393</v>
      </c>
      <c r="Z184" s="280">
        <f t="shared" si="31"/>
        <v>0.91463414634146345</v>
      </c>
      <c r="AA184" s="265"/>
      <c r="AB184" s="290">
        <f>(AB179+AB180)/AB181</f>
        <v>0.78297467946652921</v>
      </c>
      <c r="AC184" s="291">
        <f>(AC179+AC180)/AC181</f>
        <v>0.81554910303474082</v>
      </c>
      <c r="AD184" s="281">
        <f>AD179/$AG$173</f>
        <v>0.52380952380952384</v>
      </c>
      <c r="AE184" s="281">
        <f>AE179/$AG$173</f>
        <v>0.33333333333333331</v>
      </c>
      <c r="AF184" s="281">
        <f>AF179/$AG$173</f>
        <v>0.14285714285714285</v>
      </c>
      <c r="AG184" s="305">
        <f>AG179/$AG$173</f>
        <v>1</v>
      </c>
      <c r="AH184" s="480"/>
      <c r="AI184" s="480"/>
      <c r="AJ184" s="480"/>
      <c r="AK184" s="480"/>
    </row>
    <row r="185" spans="1:37" ht="36" customHeight="1" x14ac:dyDescent="0.4">
      <c r="A185" s="477" t="s">
        <v>287</v>
      </c>
      <c r="B185" s="292" t="s">
        <v>269</v>
      </c>
      <c r="C185" s="258">
        <v>8107</v>
      </c>
      <c r="D185" s="258">
        <v>31992</v>
      </c>
      <c r="E185" s="258">
        <v>3513</v>
      </c>
      <c r="F185" s="258">
        <v>17566</v>
      </c>
      <c r="G185" s="258">
        <v>1525</v>
      </c>
      <c r="H185" s="258">
        <v>3548</v>
      </c>
      <c r="I185" s="258">
        <v>2192</v>
      </c>
      <c r="J185" s="258"/>
      <c r="K185" s="258"/>
      <c r="L185" s="258">
        <v>87</v>
      </c>
      <c r="M185" s="258">
        <v>792</v>
      </c>
      <c r="N185" s="258">
        <v>608</v>
      </c>
      <c r="O185" s="258">
        <v>129</v>
      </c>
      <c r="P185" s="286">
        <f>SUM(C185:O185)</f>
        <v>70059</v>
      </c>
      <c r="Q185" s="258">
        <v>1082</v>
      </c>
      <c r="R185" s="258">
        <v>2377</v>
      </c>
      <c r="S185" s="258">
        <v>1845</v>
      </c>
      <c r="T185" s="258">
        <v>2473</v>
      </c>
      <c r="U185" s="258">
        <v>2126</v>
      </c>
      <c r="V185" s="258">
        <v>731</v>
      </c>
      <c r="W185" s="258">
        <v>263</v>
      </c>
      <c r="X185" s="258">
        <v>675</v>
      </c>
      <c r="Y185" s="67">
        <v>196</v>
      </c>
      <c r="Z185" s="67">
        <v>124</v>
      </c>
      <c r="AA185" s="261"/>
      <c r="AB185" s="286">
        <f>SUM(Q185:AA185)</f>
        <v>11892</v>
      </c>
      <c r="AC185" s="287">
        <f>P185+AB185</f>
        <v>81951</v>
      </c>
      <c r="AD185" s="278">
        <v>11</v>
      </c>
      <c r="AE185" s="278">
        <v>7</v>
      </c>
      <c r="AF185" s="278">
        <v>3</v>
      </c>
      <c r="AG185" s="279">
        <f>SUM(AD185:AF185)</f>
        <v>21</v>
      </c>
      <c r="AH185" s="478">
        <v>2021</v>
      </c>
      <c r="AI185" s="478">
        <v>3297</v>
      </c>
      <c r="AJ185" s="478">
        <v>1280</v>
      </c>
      <c r="AK185" s="478">
        <f>SUM(AH185:AJ190)</f>
        <v>6598</v>
      </c>
    </row>
    <row r="186" spans="1:37" ht="36" customHeight="1" x14ac:dyDescent="0.4">
      <c r="A186" s="477"/>
      <c r="B186" s="292" t="s">
        <v>265</v>
      </c>
      <c r="C186" s="258">
        <v>36.481499999999997</v>
      </c>
      <c r="D186" s="258">
        <v>143.964</v>
      </c>
      <c r="E186" s="258">
        <v>15.808499999999999</v>
      </c>
      <c r="F186" s="258">
        <v>79.046999999999997</v>
      </c>
      <c r="G186" s="258">
        <v>0</v>
      </c>
      <c r="H186" s="258">
        <v>0</v>
      </c>
      <c r="I186" s="258">
        <v>0</v>
      </c>
      <c r="J186" s="258"/>
      <c r="K186" s="258"/>
      <c r="L186" s="258">
        <v>0</v>
      </c>
      <c r="M186" s="258">
        <v>3.96</v>
      </c>
      <c r="N186" s="258">
        <v>3.04</v>
      </c>
      <c r="O186" s="258">
        <v>0</v>
      </c>
      <c r="P186" s="286">
        <f>SUM(C186:O186)</f>
        <v>282.30099999999999</v>
      </c>
      <c r="Q186" s="258">
        <v>10.82</v>
      </c>
      <c r="R186" s="258">
        <v>0</v>
      </c>
      <c r="S186" s="258">
        <v>0</v>
      </c>
      <c r="T186" s="258">
        <v>24.73</v>
      </c>
      <c r="U186" s="258">
        <v>0</v>
      </c>
      <c r="V186" s="258">
        <v>0</v>
      </c>
      <c r="W186" s="258">
        <v>0</v>
      </c>
      <c r="X186" s="258">
        <v>94.500000000000014</v>
      </c>
      <c r="Y186" s="258">
        <v>0</v>
      </c>
      <c r="Z186" s="67">
        <v>24.8</v>
      </c>
      <c r="AA186" s="261"/>
      <c r="AB186" s="286">
        <f>SUM(Q186:AA186)</f>
        <v>154.85000000000002</v>
      </c>
      <c r="AC186" s="287">
        <f>P186+AB186</f>
        <v>437.15100000000001</v>
      </c>
      <c r="AD186" s="278"/>
      <c r="AE186" s="278"/>
      <c r="AF186" s="278"/>
      <c r="AG186" s="279"/>
      <c r="AH186" s="479"/>
      <c r="AI186" s="479"/>
      <c r="AJ186" s="479"/>
      <c r="AK186" s="479"/>
    </row>
    <row r="187" spans="1:37" ht="36" customHeight="1" x14ac:dyDescent="0.4">
      <c r="A187" s="477"/>
      <c r="B187" s="304" t="s">
        <v>284</v>
      </c>
      <c r="C187" s="114">
        <v>9252</v>
      </c>
      <c r="D187" s="114">
        <v>37456</v>
      </c>
      <c r="E187" s="114">
        <v>4675</v>
      </c>
      <c r="F187" s="114">
        <v>21619</v>
      </c>
      <c r="G187" s="114">
        <v>1602</v>
      </c>
      <c r="H187" s="114">
        <v>6242</v>
      </c>
      <c r="I187" s="114">
        <v>2442</v>
      </c>
      <c r="J187" s="114"/>
      <c r="K187" s="114"/>
      <c r="L187" s="114">
        <v>102</v>
      </c>
      <c r="M187" s="114">
        <v>876</v>
      </c>
      <c r="N187" s="114">
        <v>1147</v>
      </c>
      <c r="O187" s="114">
        <v>129</v>
      </c>
      <c r="P187" s="286">
        <f>SUM(C187:O187)</f>
        <v>85542</v>
      </c>
      <c r="Q187" s="114">
        <v>1187</v>
      </c>
      <c r="R187" s="114">
        <v>2718</v>
      </c>
      <c r="S187" s="114">
        <v>2020</v>
      </c>
      <c r="T187" s="114">
        <v>3147</v>
      </c>
      <c r="U187" s="114">
        <v>4086</v>
      </c>
      <c r="V187" s="114">
        <v>851</v>
      </c>
      <c r="W187" s="114">
        <v>292</v>
      </c>
      <c r="X187" s="114">
        <v>852</v>
      </c>
      <c r="Y187" s="114">
        <v>204</v>
      </c>
      <c r="Z187" s="114">
        <v>164</v>
      </c>
      <c r="AA187" s="261"/>
      <c r="AB187" s="286">
        <f>SUM(Q187:AA187)</f>
        <v>15521</v>
      </c>
      <c r="AC187" s="287">
        <f>P187+AB187</f>
        <v>101063</v>
      </c>
      <c r="AD187" s="263"/>
      <c r="AE187" s="263"/>
      <c r="AF187" s="263"/>
      <c r="AG187" s="263"/>
      <c r="AH187" s="479"/>
      <c r="AI187" s="479"/>
      <c r="AJ187" s="479"/>
      <c r="AK187" s="479"/>
    </row>
    <row r="188" spans="1:37" ht="36" customHeight="1" x14ac:dyDescent="0.4">
      <c r="A188" s="477"/>
      <c r="B188" s="304" t="s">
        <v>285</v>
      </c>
      <c r="C188" s="469">
        <f>C185+D185+E185+F185+C186+D186+E186+F186</f>
        <v>61453.300999999999</v>
      </c>
      <c r="D188" s="470"/>
      <c r="E188" s="470"/>
      <c r="F188" s="471"/>
      <c r="G188" s="469">
        <f>G185+H185+I185+G186+H186+I186</f>
        <v>7265</v>
      </c>
      <c r="H188" s="470"/>
      <c r="I188" s="471"/>
      <c r="J188" s="273"/>
      <c r="K188" s="273"/>
      <c r="L188" s="469">
        <f>L185+M185+N185+L186+M186+N186</f>
        <v>1494</v>
      </c>
      <c r="M188" s="470"/>
      <c r="N188" s="471"/>
      <c r="O188" s="114"/>
      <c r="P188" s="286"/>
      <c r="Q188" s="469">
        <f>Q185+R185+S185+Q186+R186+S186</f>
        <v>5314.82</v>
      </c>
      <c r="R188" s="470"/>
      <c r="S188" s="471"/>
      <c r="T188" s="114"/>
      <c r="U188" s="114"/>
      <c r="V188" s="114"/>
      <c r="W188" s="114"/>
      <c r="X188" s="114"/>
      <c r="Y188" s="114"/>
      <c r="Z188" s="114"/>
      <c r="AA188" s="261"/>
      <c r="AB188" s="286"/>
      <c r="AC188" s="287"/>
      <c r="AD188" s="263"/>
      <c r="AE188" s="263"/>
      <c r="AF188" s="263"/>
      <c r="AG188" s="263"/>
      <c r="AH188" s="479"/>
      <c r="AI188" s="479"/>
      <c r="AJ188" s="479"/>
      <c r="AK188" s="479"/>
    </row>
    <row r="189" spans="1:37" ht="36" customHeight="1" x14ac:dyDescent="0.4">
      <c r="A189" s="477"/>
      <c r="B189" s="304" t="s">
        <v>247</v>
      </c>
      <c r="C189" s="469">
        <f>C187+D187+E187+F187</f>
        <v>73002</v>
      </c>
      <c r="D189" s="470"/>
      <c r="E189" s="470"/>
      <c r="F189" s="471"/>
      <c r="G189" s="469">
        <f>G187+H187+I187</f>
        <v>10286</v>
      </c>
      <c r="H189" s="470"/>
      <c r="I189" s="471"/>
      <c r="J189" s="273"/>
      <c r="K189" s="273"/>
      <c r="L189" s="469">
        <f>L187+M187+N187</f>
        <v>2125</v>
      </c>
      <c r="M189" s="470"/>
      <c r="N189" s="471"/>
      <c r="O189" s="114"/>
      <c r="P189" s="286"/>
      <c r="Q189" s="469">
        <f>Q187+R187+S187</f>
        <v>5925</v>
      </c>
      <c r="R189" s="470"/>
      <c r="S189" s="471"/>
      <c r="T189" s="114"/>
      <c r="U189" s="114"/>
      <c r="V189" s="114"/>
      <c r="W189" s="114"/>
      <c r="X189" s="114"/>
      <c r="Y189" s="114"/>
      <c r="Z189" s="114"/>
      <c r="AA189" s="261"/>
      <c r="AB189" s="286"/>
      <c r="AC189" s="287"/>
      <c r="AD189" s="263"/>
      <c r="AE189" s="263"/>
      <c r="AF189" s="263"/>
      <c r="AG189" s="263"/>
      <c r="AH189" s="479"/>
      <c r="AI189" s="479"/>
      <c r="AJ189" s="479"/>
      <c r="AK189" s="479"/>
    </row>
    <row r="190" spans="1:37" ht="36" customHeight="1" x14ac:dyDescent="0.4">
      <c r="A190" s="477"/>
      <c r="B190" s="297" t="s">
        <v>262</v>
      </c>
      <c r="C190" s="472">
        <f>C188/C189</f>
        <v>0.84180297800060266</v>
      </c>
      <c r="D190" s="473"/>
      <c r="E190" s="473"/>
      <c r="F190" s="474"/>
      <c r="G190" s="472">
        <f>G188/G189</f>
        <v>0.70629982500486099</v>
      </c>
      <c r="H190" s="473"/>
      <c r="I190" s="474"/>
      <c r="J190" s="276"/>
      <c r="K190" s="276"/>
      <c r="L190" s="472">
        <f>L188/L189</f>
        <v>0.70305882352941174</v>
      </c>
      <c r="M190" s="473"/>
      <c r="N190" s="474"/>
      <c r="O190" s="280">
        <f>(O185+O186)/O187</f>
        <v>1</v>
      </c>
      <c r="P190" s="290">
        <f>(P185+P186)/P187</f>
        <v>0.82230133735474975</v>
      </c>
      <c r="Q190" s="472">
        <f>Q188/Q189</f>
        <v>0.89701603375527417</v>
      </c>
      <c r="R190" s="473"/>
      <c r="S190" s="474"/>
      <c r="T190" s="280">
        <f t="shared" ref="T190:Z190" si="32">(T185+T186)/T187</f>
        <v>0.79368605020654592</v>
      </c>
      <c r="U190" s="280">
        <f t="shared" si="32"/>
        <v>0.52031326480665685</v>
      </c>
      <c r="V190" s="280">
        <f t="shared" si="32"/>
        <v>0.85898942420681557</v>
      </c>
      <c r="W190" s="280">
        <f t="shared" si="32"/>
        <v>0.90068493150684936</v>
      </c>
      <c r="X190" s="280">
        <f t="shared" si="32"/>
        <v>0.903169014084507</v>
      </c>
      <c r="Y190" s="280">
        <f t="shared" si="32"/>
        <v>0.96078431372549022</v>
      </c>
      <c r="Z190" s="280">
        <f t="shared" si="32"/>
        <v>0.90731707317073174</v>
      </c>
      <c r="AA190" s="265"/>
      <c r="AB190" s="290">
        <f>(AB185+AB186)/AB187</f>
        <v>0.77616455125314088</v>
      </c>
      <c r="AC190" s="291">
        <f>(AC185+AC186)/AC187</f>
        <v>0.81521576640313465</v>
      </c>
      <c r="AD190" s="281">
        <f>AD185/$AG$173</f>
        <v>0.52380952380952384</v>
      </c>
      <c r="AE190" s="281">
        <f>AE185/$AG$173</f>
        <v>0.33333333333333331</v>
      </c>
      <c r="AF190" s="281">
        <f>AF185/$AG$173</f>
        <v>0.14285714285714285</v>
      </c>
      <c r="AG190" s="305">
        <f>AG185/$AG$173</f>
        <v>1</v>
      </c>
      <c r="AH190" s="480"/>
      <c r="AI190" s="480"/>
      <c r="AJ190" s="480"/>
      <c r="AK190" s="480"/>
    </row>
    <row r="191" spans="1:37" ht="36" customHeight="1" x14ac:dyDescent="0.4">
      <c r="A191" s="477" t="s">
        <v>288</v>
      </c>
      <c r="B191" s="292" t="s">
        <v>269</v>
      </c>
      <c r="C191" s="258">
        <v>8140</v>
      </c>
      <c r="D191" s="258">
        <v>32034</v>
      </c>
      <c r="E191" s="258">
        <v>3591</v>
      </c>
      <c r="F191" s="258">
        <v>17031</v>
      </c>
      <c r="G191" s="258">
        <v>1523</v>
      </c>
      <c r="H191" s="258">
        <v>3977</v>
      </c>
      <c r="I191" s="258">
        <v>2205</v>
      </c>
      <c r="J191" s="258"/>
      <c r="K191" s="258"/>
      <c r="L191" s="258">
        <v>99</v>
      </c>
      <c r="M191" s="258">
        <v>806</v>
      </c>
      <c r="N191" s="258">
        <v>626</v>
      </c>
      <c r="O191" s="258">
        <v>129</v>
      </c>
      <c r="P191" s="286">
        <f>SUM(C191:O191)</f>
        <v>70161</v>
      </c>
      <c r="Q191" s="258">
        <v>1098</v>
      </c>
      <c r="R191" s="258">
        <v>2339</v>
      </c>
      <c r="S191" s="258">
        <v>1849</v>
      </c>
      <c r="T191" s="258">
        <v>2496</v>
      </c>
      <c r="U191" s="258">
        <v>2233</v>
      </c>
      <c r="V191" s="258">
        <v>731</v>
      </c>
      <c r="W191" s="258">
        <v>267</v>
      </c>
      <c r="X191" s="258">
        <v>679</v>
      </c>
      <c r="Y191" s="67">
        <v>196</v>
      </c>
      <c r="Z191" s="67">
        <v>126</v>
      </c>
      <c r="AA191" s="261"/>
      <c r="AB191" s="286">
        <f>SUM(Q191:AA191)</f>
        <v>12014</v>
      </c>
      <c r="AC191" s="287">
        <f>P191+AB191</f>
        <v>82175</v>
      </c>
      <c r="AD191" s="278">
        <v>12</v>
      </c>
      <c r="AE191" s="278">
        <v>6</v>
      </c>
      <c r="AF191" s="278">
        <v>3</v>
      </c>
      <c r="AG191" s="279">
        <f>SUM(AD191:AF191)</f>
        <v>21</v>
      </c>
      <c r="AH191" s="478">
        <v>2165</v>
      </c>
      <c r="AI191" s="478">
        <v>2917</v>
      </c>
      <c r="AJ191" s="478">
        <v>1161</v>
      </c>
      <c r="AK191" s="478">
        <f>SUM(AH191:AJ196)</f>
        <v>6243</v>
      </c>
    </row>
    <row r="192" spans="1:37" ht="36" customHeight="1" x14ac:dyDescent="0.4">
      <c r="A192" s="477"/>
      <c r="B192" s="292" t="s">
        <v>265</v>
      </c>
      <c r="C192" s="258">
        <v>36.629999999999995</v>
      </c>
      <c r="D192" s="258">
        <v>144.15299999999999</v>
      </c>
      <c r="E192" s="258">
        <v>16.159499999999998</v>
      </c>
      <c r="F192" s="258">
        <v>76.639499999999998</v>
      </c>
      <c r="G192" s="258">
        <v>0</v>
      </c>
      <c r="H192" s="258">
        <v>0</v>
      </c>
      <c r="I192" s="258">
        <v>0</v>
      </c>
      <c r="J192" s="258"/>
      <c r="K192" s="258"/>
      <c r="L192" s="258">
        <v>0</v>
      </c>
      <c r="M192" s="258">
        <v>4.03</v>
      </c>
      <c r="N192" s="258">
        <v>3.13</v>
      </c>
      <c r="O192" s="258">
        <v>0</v>
      </c>
      <c r="P192" s="286">
        <f>SUM(C192:O192)</f>
        <v>280.74199999999996</v>
      </c>
      <c r="Q192" s="258">
        <v>10.98</v>
      </c>
      <c r="R192" s="258">
        <v>0</v>
      </c>
      <c r="S192" s="258">
        <v>0</v>
      </c>
      <c r="T192" s="258">
        <v>24.96</v>
      </c>
      <c r="U192" s="258">
        <v>0</v>
      </c>
      <c r="V192" s="258">
        <v>0</v>
      </c>
      <c r="W192" s="258">
        <v>0</v>
      </c>
      <c r="X192" s="258">
        <v>95.06</v>
      </c>
      <c r="Y192" s="258">
        <v>0</v>
      </c>
      <c r="Z192" s="67">
        <v>25.200000000000003</v>
      </c>
      <c r="AA192" s="261"/>
      <c r="AB192" s="286">
        <f>SUM(Q192:AA192)</f>
        <v>156.19999999999999</v>
      </c>
      <c r="AC192" s="287">
        <f>P192+AB192</f>
        <v>436.94199999999995</v>
      </c>
      <c r="AD192" s="278"/>
      <c r="AE192" s="278"/>
      <c r="AF192" s="278"/>
      <c r="AG192" s="279"/>
      <c r="AH192" s="479"/>
      <c r="AI192" s="479"/>
      <c r="AJ192" s="479"/>
      <c r="AK192" s="479"/>
    </row>
    <row r="193" spans="1:37" ht="36" customHeight="1" x14ac:dyDescent="0.4">
      <c r="A193" s="477"/>
      <c r="B193" s="304" t="s">
        <v>284</v>
      </c>
      <c r="C193" s="114">
        <v>9252</v>
      </c>
      <c r="D193" s="114">
        <v>37456</v>
      </c>
      <c r="E193" s="114">
        <v>4675</v>
      </c>
      <c r="F193" s="114">
        <v>21619</v>
      </c>
      <c r="G193" s="114">
        <v>1602</v>
      </c>
      <c r="H193" s="114">
        <v>6242</v>
      </c>
      <c r="I193" s="114">
        <v>2442</v>
      </c>
      <c r="J193" s="114"/>
      <c r="K193" s="114"/>
      <c r="L193" s="114">
        <v>102</v>
      </c>
      <c r="M193" s="114">
        <v>876</v>
      </c>
      <c r="N193" s="114">
        <v>1147</v>
      </c>
      <c r="O193" s="114">
        <v>129</v>
      </c>
      <c r="P193" s="286">
        <f>SUM(C193:O193)</f>
        <v>85542</v>
      </c>
      <c r="Q193" s="114">
        <v>1187</v>
      </c>
      <c r="R193" s="114">
        <v>2718</v>
      </c>
      <c r="S193" s="114">
        <v>2020</v>
      </c>
      <c r="T193" s="114">
        <v>3147</v>
      </c>
      <c r="U193" s="114">
        <v>4086</v>
      </c>
      <c r="V193" s="114">
        <v>851</v>
      </c>
      <c r="W193" s="114">
        <v>292</v>
      </c>
      <c r="X193" s="114">
        <v>852</v>
      </c>
      <c r="Y193" s="114">
        <v>204</v>
      </c>
      <c r="Z193" s="114">
        <v>164</v>
      </c>
      <c r="AA193" s="261"/>
      <c r="AB193" s="286">
        <f>SUM(Q193:AA193)</f>
        <v>15521</v>
      </c>
      <c r="AC193" s="287">
        <f>P193+AB193</f>
        <v>101063</v>
      </c>
      <c r="AD193" s="263"/>
      <c r="AE193" s="263"/>
      <c r="AF193" s="263"/>
      <c r="AG193" s="263"/>
      <c r="AH193" s="479"/>
      <c r="AI193" s="479"/>
      <c r="AJ193" s="479"/>
      <c r="AK193" s="479"/>
    </row>
    <row r="194" spans="1:37" ht="36" customHeight="1" x14ac:dyDescent="0.4">
      <c r="A194" s="477"/>
      <c r="B194" s="304" t="s">
        <v>285</v>
      </c>
      <c r="C194" s="469">
        <f>C191+D191+E191+F191+C192+D192+E192+F192</f>
        <v>61069.581999999995</v>
      </c>
      <c r="D194" s="470"/>
      <c r="E194" s="470"/>
      <c r="F194" s="471"/>
      <c r="G194" s="469">
        <f>G191+H191+I191+G192+H192+I192</f>
        <v>7705</v>
      </c>
      <c r="H194" s="470"/>
      <c r="I194" s="471"/>
      <c r="J194" s="273"/>
      <c r="K194" s="273"/>
      <c r="L194" s="469">
        <f>L191+M191+N191+L192+M192+N192</f>
        <v>1538.16</v>
      </c>
      <c r="M194" s="470"/>
      <c r="N194" s="471"/>
      <c r="O194" s="114"/>
      <c r="P194" s="286"/>
      <c r="Q194" s="469">
        <f>Q191+R191+S191+Q192+R192+S192</f>
        <v>5296.98</v>
      </c>
      <c r="R194" s="470"/>
      <c r="S194" s="471"/>
      <c r="T194" s="114"/>
      <c r="U194" s="114"/>
      <c r="V194" s="114"/>
      <c r="W194" s="114"/>
      <c r="X194" s="114"/>
      <c r="Y194" s="114"/>
      <c r="Z194" s="114"/>
      <c r="AA194" s="261"/>
      <c r="AB194" s="286"/>
      <c r="AC194" s="287"/>
      <c r="AD194" s="263"/>
      <c r="AE194" s="263"/>
      <c r="AF194" s="263"/>
      <c r="AG194" s="263"/>
      <c r="AH194" s="479"/>
      <c r="AI194" s="479"/>
      <c r="AJ194" s="479"/>
      <c r="AK194" s="479"/>
    </row>
    <row r="195" spans="1:37" ht="36" customHeight="1" x14ac:dyDescent="0.4">
      <c r="A195" s="477"/>
      <c r="B195" s="304" t="s">
        <v>247</v>
      </c>
      <c r="C195" s="469">
        <f>C193+D193+E193+F193</f>
        <v>73002</v>
      </c>
      <c r="D195" s="470"/>
      <c r="E195" s="470"/>
      <c r="F195" s="471"/>
      <c r="G195" s="469">
        <f>G193+H193+I193</f>
        <v>10286</v>
      </c>
      <c r="H195" s="470"/>
      <c r="I195" s="471"/>
      <c r="J195" s="273"/>
      <c r="K195" s="273"/>
      <c r="L195" s="469">
        <f>L193+M193+N193</f>
        <v>2125</v>
      </c>
      <c r="M195" s="470"/>
      <c r="N195" s="471"/>
      <c r="O195" s="114"/>
      <c r="P195" s="286"/>
      <c r="Q195" s="469">
        <f>Q193+R193+S193</f>
        <v>5925</v>
      </c>
      <c r="R195" s="470"/>
      <c r="S195" s="471"/>
      <c r="T195" s="114"/>
      <c r="U195" s="114"/>
      <c r="V195" s="114"/>
      <c r="W195" s="114"/>
      <c r="X195" s="114"/>
      <c r="Y195" s="114"/>
      <c r="Z195" s="114"/>
      <c r="AA195" s="261"/>
      <c r="AB195" s="286"/>
      <c r="AC195" s="287"/>
      <c r="AD195" s="263"/>
      <c r="AE195" s="263"/>
      <c r="AF195" s="263"/>
      <c r="AG195" s="263"/>
      <c r="AH195" s="479"/>
      <c r="AI195" s="479"/>
      <c r="AJ195" s="479"/>
      <c r="AK195" s="479"/>
    </row>
    <row r="196" spans="1:37" ht="36" customHeight="1" x14ac:dyDescent="0.4">
      <c r="A196" s="477"/>
      <c r="B196" s="297" t="s">
        <v>262</v>
      </c>
      <c r="C196" s="472">
        <f>C194/C195</f>
        <v>0.83654669735075748</v>
      </c>
      <c r="D196" s="473"/>
      <c r="E196" s="473"/>
      <c r="F196" s="474"/>
      <c r="G196" s="472">
        <f>G194/G195</f>
        <v>0.74907641454404039</v>
      </c>
      <c r="H196" s="473"/>
      <c r="I196" s="474"/>
      <c r="J196" s="276"/>
      <c r="K196" s="276"/>
      <c r="L196" s="472">
        <f>L194/L195</f>
        <v>0.72384000000000004</v>
      </c>
      <c r="M196" s="473"/>
      <c r="N196" s="474"/>
      <c r="O196" s="280">
        <f>(O191+O192)/O193</f>
        <v>1</v>
      </c>
      <c r="P196" s="290">
        <f>(P191+P192)/P193</f>
        <v>0.82347550910663769</v>
      </c>
      <c r="Q196" s="472">
        <f>Q194/Q195</f>
        <v>0.89400506329113916</v>
      </c>
      <c r="R196" s="473"/>
      <c r="S196" s="474"/>
      <c r="T196" s="280">
        <f t="shared" ref="T196:Z196" si="33">(T191+T192)/T193</f>
        <v>0.80106768350810298</v>
      </c>
      <c r="U196" s="280">
        <f t="shared" si="33"/>
        <v>0.54650024473813019</v>
      </c>
      <c r="V196" s="280">
        <f t="shared" si="33"/>
        <v>0.85898942420681557</v>
      </c>
      <c r="W196" s="280">
        <f t="shared" si="33"/>
        <v>0.91438356164383561</v>
      </c>
      <c r="X196" s="280">
        <f t="shared" si="33"/>
        <v>0.90852112676056329</v>
      </c>
      <c r="Y196" s="280">
        <f t="shared" si="33"/>
        <v>0.96078431372549022</v>
      </c>
      <c r="Z196" s="280">
        <f t="shared" si="33"/>
        <v>0.92195121951219505</v>
      </c>
      <c r="AA196" s="265"/>
      <c r="AB196" s="290">
        <f>(AB191+AB192)/AB193</f>
        <v>0.78411184846337223</v>
      </c>
      <c r="AC196" s="291">
        <f>(AC191+AC192)/AC193</f>
        <v>0.81743013763691952</v>
      </c>
      <c r="AD196" s="281">
        <f>AD191/$AG$173</f>
        <v>0.5714285714285714</v>
      </c>
      <c r="AE196" s="281">
        <f>AE191/$AG$173</f>
        <v>0.2857142857142857</v>
      </c>
      <c r="AF196" s="281">
        <f>AF191/$AG$173</f>
        <v>0.14285714285714285</v>
      </c>
      <c r="AG196" s="305">
        <f>AG191/$AG$173</f>
        <v>1</v>
      </c>
      <c r="AH196" s="480"/>
      <c r="AI196" s="480"/>
      <c r="AJ196" s="480"/>
      <c r="AK196" s="480"/>
    </row>
    <row r="197" spans="1:37" ht="36" customHeight="1" x14ac:dyDescent="0.4">
      <c r="A197" s="477" t="s">
        <v>289</v>
      </c>
      <c r="B197" s="292" t="s">
        <v>269</v>
      </c>
      <c r="C197" s="258">
        <v>8162</v>
      </c>
      <c r="D197" s="258">
        <v>32247</v>
      </c>
      <c r="E197" s="258">
        <v>3630</v>
      </c>
      <c r="F197" s="258">
        <v>16950</v>
      </c>
      <c r="G197" s="258">
        <v>1524</v>
      </c>
      <c r="H197" s="258">
        <v>4300</v>
      </c>
      <c r="I197" s="258">
        <v>2044</v>
      </c>
      <c r="J197" s="258"/>
      <c r="K197" s="258"/>
      <c r="L197" s="258">
        <v>96</v>
      </c>
      <c r="M197" s="258">
        <v>802</v>
      </c>
      <c r="N197" s="258">
        <v>640</v>
      </c>
      <c r="O197" s="258">
        <v>129</v>
      </c>
      <c r="P197" s="286">
        <f>SUM(C197:O197)</f>
        <v>70524</v>
      </c>
      <c r="Q197" s="258">
        <v>1098</v>
      </c>
      <c r="R197" s="258">
        <v>2335</v>
      </c>
      <c r="S197" s="258">
        <v>1838</v>
      </c>
      <c r="T197" s="258">
        <v>2473</v>
      </c>
      <c r="U197" s="258">
        <v>2206</v>
      </c>
      <c r="V197" s="258">
        <v>731</v>
      </c>
      <c r="W197" s="258">
        <v>270</v>
      </c>
      <c r="X197" s="258">
        <v>684</v>
      </c>
      <c r="Y197" s="67">
        <v>197</v>
      </c>
      <c r="Z197" s="67">
        <v>127</v>
      </c>
      <c r="AA197" s="261"/>
      <c r="AB197" s="286">
        <f>SUM(Q197:AA197)</f>
        <v>11959</v>
      </c>
      <c r="AC197" s="287">
        <f>P197+AB197</f>
        <v>82483</v>
      </c>
      <c r="AD197" s="278">
        <v>12</v>
      </c>
      <c r="AE197" s="278">
        <v>6</v>
      </c>
      <c r="AF197" s="278">
        <v>3</v>
      </c>
      <c r="AG197" s="279">
        <f>SUM(AD197:AF197)</f>
        <v>21</v>
      </c>
      <c r="AH197" s="478">
        <v>2136</v>
      </c>
      <c r="AI197" s="478">
        <v>2887</v>
      </c>
      <c r="AJ197" s="478">
        <v>945</v>
      </c>
      <c r="AK197" s="478">
        <f>SUM(AH197:AJ202)</f>
        <v>5968</v>
      </c>
    </row>
    <row r="198" spans="1:37" ht="36" customHeight="1" x14ac:dyDescent="0.4">
      <c r="A198" s="477"/>
      <c r="B198" s="292" t="s">
        <v>265</v>
      </c>
      <c r="C198" s="258">
        <v>36.728999999999999</v>
      </c>
      <c r="D198" s="258">
        <v>145.11149999999998</v>
      </c>
      <c r="E198" s="258">
        <v>16.334999999999997</v>
      </c>
      <c r="F198" s="258">
        <v>76.274999999999991</v>
      </c>
      <c r="G198" s="258">
        <v>0</v>
      </c>
      <c r="H198" s="258">
        <v>0</v>
      </c>
      <c r="I198" s="258">
        <v>0</v>
      </c>
      <c r="J198" s="258"/>
      <c r="K198" s="258"/>
      <c r="L198" s="258">
        <v>0</v>
      </c>
      <c r="M198" s="258">
        <v>4.01</v>
      </c>
      <c r="N198" s="258">
        <v>3.2</v>
      </c>
      <c r="O198" s="258">
        <v>0</v>
      </c>
      <c r="P198" s="286">
        <f>SUM(C198:O198)</f>
        <v>281.66049999999996</v>
      </c>
      <c r="Q198" s="258">
        <v>10.98</v>
      </c>
      <c r="R198" s="258">
        <v>0</v>
      </c>
      <c r="S198" s="258">
        <v>0</v>
      </c>
      <c r="T198" s="258">
        <v>24.73</v>
      </c>
      <c r="U198" s="258">
        <v>0</v>
      </c>
      <c r="V198" s="258">
        <v>0</v>
      </c>
      <c r="W198" s="258">
        <v>0</v>
      </c>
      <c r="X198" s="258">
        <v>95.76</v>
      </c>
      <c r="Y198" s="258">
        <v>0</v>
      </c>
      <c r="Z198" s="67">
        <v>25.400000000000002</v>
      </c>
      <c r="AA198" s="261"/>
      <c r="AB198" s="286">
        <f>SUM(Q198:AA198)</f>
        <v>156.87</v>
      </c>
      <c r="AC198" s="287">
        <f>P198+AB198</f>
        <v>438.53049999999996</v>
      </c>
      <c r="AD198" s="278"/>
      <c r="AE198" s="278"/>
      <c r="AF198" s="278"/>
      <c r="AG198" s="279"/>
      <c r="AH198" s="479"/>
      <c r="AI198" s="479"/>
      <c r="AJ198" s="479"/>
      <c r="AK198" s="479"/>
    </row>
    <row r="199" spans="1:37" ht="36" customHeight="1" x14ac:dyDescent="0.4">
      <c r="A199" s="477"/>
      <c r="B199" s="304" t="s">
        <v>284</v>
      </c>
      <c r="C199" s="114">
        <v>9252</v>
      </c>
      <c r="D199" s="114">
        <v>37456</v>
      </c>
      <c r="E199" s="114">
        <v>4675</v>
      </c>
      <c r="F199" s="114">
        <v>21619</v>
      </c>
      <c r="G199" s="114">
        <v>1602</v>
      </c>
      <c r="H199" s="114">
        <v>6242</v>
      </c>
      <c r="I199" s="114">
        <v>2442</v>
      </c>
      <c r="J199" s="114"/>
      <c r="K199" s="114"/>
      <c r="L199" s="114">
        <v>102</v>
      </c>
      <c r="M199" s="114">
        <v>876</v>
      </c>
      <c r="N199" s="114">
        <v>1147</v>
      </c>
      <c r="O199" s="114">
        <v>129</v>
      </c>
      <c r="P199" s="286">
        <f>SUM(C199:O199)</f>
        <v>85542</v>
      </c>
      <c r="Q199" s="114">
        <v>1187</v>
      </c>
      <c r="R199" s="114">
        <v>2718</v>
      </c>
      <c r="S199" s="114">
        <v>2020</v>
      </c>
      <c r="T199" s="114">
        <v>3147</v>
      </c>
      <c r="U199" s="114">
        <v>4086</v>
      </c>
      <c r="V199" s="114">
        <v>851</v>
      </c>
      <c r="W199" s="114">
        <v>292</v>
      </c>
      <c r="X199" s="114">
        <v>852</v>
      </c>
      <c r="Y199" s="114">
        <v>204</v>
      </c>
      <c r="Z199" s="114">
        <v>164</v>
      </c>
      <c r="AA199" s="261"/>
      <c r="AB199" s="286">
        <f>SUM(Q199:AA199)</f>
        <v>15521</v>
      </c>
      <c r="AC199" s="287">
        <f>P199+AB199</f>
        <v>101063</v>
      </c>
      <c r="AD199" s="263"/>
      <c r="AE199" s="263"/>
      <c r="AF199" s="263"/>
      <c r="AG199" s="263"/>
      <c r="AH199" s="479"/>
      <c r="AI199" s="479"/>
      <c r="AJ199" s="479"/>
      <c r="AK199" s="479"/>
    </row>
    <row r="200" spans="1:37" ht="36" customHeight="1" x14ac:dyDescent="0.4">
      <c r="A200" s="477"/>
      <c r="B200" s="304" t="s">
        <v>285</v>
      </c>
      <c r="C200" s="469">
        <f>C197+D197+E197+F197+C198+D198+E198+F198</f>
        <v>61263.450499999999</v>
      </c>
      <c r="D200" s="470"/>
      <c r="E200" s="470"/>
      <c r="F200" s="471"/>
      <c r="G200" s="469">
        <f>G197+H197+I197+G198+H198+I198</f>
        <v>7868</v>
      </c>
      <c r="H200" s="470"/>
      <c r="I200" s="471"/>
      <c r="J200" s="273"/>
      <c r="K200" s="273"/>
      <c r="L200" s="469">
        <f>L197+M197+N197+L198+M198+N198</f>
        <v>1545.21</v>
      </c>
      <c r="M200" s="470"/>
      <c r="N200" s="471"/>
      <c r="O200" s="114"/>
      <c r="P200" s="286"/>
      <c r="Q200" s="469">
        <f>Q197+R197+S197+Q198+R198+S198</f>
        <v>5281.98</v>
      </c>
      <c r="R200" s="470"/>
      <c r="S200" s="471"/>
      <c r="T200" s="114"/>
      <c r="U200" s="114"/>
      <c r="V200" s="114"/>
      <c r="W200" s="114"/>
      <c r="X200" s="114"/>
      <c r="Y200" s="114"/>
      <c r="Z200" s="114"/>
      <c r="AA200" s="261"/>
      <c r="AB200" s="286"/>
      <c r="AC200" s="287"/>
      <c r="AD200" s="263"/>
      <c r="AE200" s="263"/>
      <c r="AF200" s="263"/>
      <c r="AG200" s="263"/>
      <c r="AH200" s="479"/>
      <c r="AI200" s="479"/>
      <c r="AJ200" s="479"/>
      <c r="AK200" s="479"/>
    </row>
    <row r="201" spans="1:37" ht="36" customHeight="1" x14ac:dyDescent="0.4">
      <c r="A201" s="477"/>
      <c r="B201" s="304" t="s">
        <v>247</v>
      </c>
      <c r="C201" s="469">
        <f>C199+D199+E199+F199</f>
        <v>73002</v>
      </c>
      <c r="D201" s="470"/>
      <c r="E201" s="470"/>
      <c r="F201" s="471"/>
      <c r="G201" s="469">
        <f>G199+H199+I199</f>
        <v>10286</v>
      </c>
      <c r="H201" s="470"/>
      <c r="I201" s="471"/>
      <c r="J201" s="273"/>
      <c r="K201" s="273"/>
      <c r="L201" s="469">
        <f>L199+M199+N199</f>
        <v>2125</v>
      </c>
      <c r="M201" s="470"/>
      <c r="N201" s="471"/>
      <c r="O201" s="114"/>
      <c r="P201" s="286"/>
      <c r="Q201" s="469">
        <f>Q199+R199+S199</f>
        <v>5925</v>
      </c>
      <c r="R201" s="470"/>
      <c r="S201" s="471"/>
      <c r="T201" s="114"/>
      <c r="U201" s="114"/>
      <c r="V201" s="114"/>
      <c r="W201" s="114"/>
      <c r="X201" s="114"/>
      <c r="Y201" s="114"/>
      <c r="Z201" s="114"/>
      <c r="AA201" s="261"/>
      <c r="AB201" s="286"/>
      <c r="AC201" s="287"/>
      <c r="AD201" s="263"/>
      <c r="AE201" s="263"/>
      <c r="AF201" s="263"/>
      <c r="AG201" s="263"/>
      <c r="AH201" s="479"/>
      <c r="AI201" s="479"/>
      <c r="AJ201" s="479"/>
      <c r="AK201" s="479"/>
    </row>
    <row r="202" spans="1:37" ht="36" customHeight="1" x14ac:dyDescent="0.4">
      <c r="A202" s="477"/>
      <c r="B202" s="297" t="s">
        <v>262</v>
      </c>
      <c r="C202" s="472">
        <f>C200/C201</f>
        <v>0.83920235746965832</v>
      </c>
      <c r="D202" s="473"/>
      <c r="E202" s="473"/>
      <c r="F202" s="474"/>
      <c r="G202" s="472">
        <f>G200/G201</f>
        <v>0.76492319657787289</v>
      </c>
      <c r="H202" s="473"/>
      <c r="I202" s="474"/>
      <c r="J202" s="276"/>
      <c r="K202" s="276"/>
      <c r="L202" s="472">
        <f>L200/L201</f>
        <v>0.72715764705882358</v>
      </c>
      <c r="M202" s="473"/>
      <c r="N202" s="474"/>
      <c r="O202" s="280">
        <f>(O197+O198)/O199</f>
        <v>1</v>
      </c>
      <c r="P202" s="290">
        <f>(P197+P198)/P199</f>
        <v>0.8277297760164597</v>
      </c>
      <c r="Q202" s="472">
        <f>Q200/Q201</f>
        <v>0.89147341772151889</v>
      </c>
      <c r="R202" s="473"/>
      <c r="S202" s="474"/>
      <c r="T202" s="280">
        <f t="shared" ref="T202:Z202" si="34">(T197+T198)/T199</f>
        <v>0.79368605020654592</v>
      </c>
      <c r="U202" s="280">
        <f t="shared" si="34"/>
        <v>0.53989231522271175</v>
      </c>
      <c r="V202" s="280">
        <f t="shared" si="34"/>
        <v>0.85898942420681557</v>
      </c>
      <c r="W202" s="280">
        <f t="shared" si="34"/>
        <v>0.92465753424657537</v>
      </c>
      <c r="X202" s="280">
        <f t="shared" si="34"/>
        <v>0.91521126760563376</v>
      </c>
      <c r="Y202" s="280">
        <f t="shared" si="34"/>
        <v>0.96568627450980393</v>
      </c>
      <c r="Z202" s="280">
        <f t="shared" si="34"/>
        <v>0.92926829268292688</v>
      </c>
      <c r="AA202" s="265"/>
      <c r="AB202" s="290">
        <f>(AB197+AB198)/AB199</f>
        <v>0.78061142967592301</v>
      </c>
      <c r="AC202" s="291">
        <f>(AC197+AC198)/AC199</f>
        <v>0.82049345952524655</v>
      </c>
      <c r="AD202" s="281">
        <f>AD197/$AG$173</f>
        <v>0.5714285714285714</v>
      </c>
      <c r="AE202" s="281">
        <f>AE197/$AG$173</f>
        <v>0.2857142857142857</v>
      </c>
      <c r="AF202" s="281">
        <f>AF197/$AG$173</f>
        <v>0.14285714285714285</v>
      </c>
      <c r="AG202" s="305">
        <f>AG197/$AG$173</f>
        <v>1</v>
      </c>
      <c r="AH202" s="480"/>
      <c r="AI202" s="480"/>
      <c r="AJ202" s="480"/>
      <c r="AK202" s="480"/>
    </row>
    <row r="203" spans="1:37" ht="36" customHeight="1" x14ac:dyDescent="0.4">
      <c r="A203" s="477" t="s">
        <v>290</v>
      </c>
      <c r="B203" s="292" t="s">
        <v>269</v>
      </c>
      <c r="C203" s="258">
        <v>8131</v>
      </c>
      <c r="D203" s="258">
        <v>32488</v>
      </c>
      <c r="E203" s="258">
        <v>3688</v>
      </c>
      <c r="F203" s="258">
        <v>17158</v>
      </c>
      <c r="G203" s="258">
        <v>1531</v>
      </c>
      <c r="H203" s="258">
        <v>4281</v>
      </c>
      <c r="I203" s="258">
        <v>2093</v>
      </c>
      <c r="J203" s="258"/>
      <c r="K203" s="258"/>
      <c r="L203" s="258">
        <v>47</v>
      </c>
      <c r="M203" s="258">
        <v>806</v>
      </c>
      <c r="N203" s="258">
        <v>647</v>
      </c>
      <c r="O203" s="258">
        <v>129</v>
      </c>
      <c r="P203" s="286">
        <f>SUM(C203:O203)</f>
        <v>70999</v>
      </c>
      <c r="Q203" s="258">
        <v>1060</v>
      </c>
      <c r="R203" s="258">
        <v>2342</v>
      </c>
      <c r="S203" s="258">
        <v>1854</v>
      </c>
      <c r="T203" s="258">
        <v>2468</v>
      </c>
      <c r="U203" s="258">
        <v>2185</v>
      </c>
      <c r="V203" s="258">
        <v>731</v>
      </c>
      <c r="W203" s="258">
        <v>271</v>
      </c>
      <c r="X203" s="258">
        <v>685</v>
      </c>
      <c r="Y203" s="67">
        <v>193</v>
      </c>
      <c r="Z203" s="67">
        <v>128</v>
      </c>
      <c r="AA203" s="261"/>
      <c r="AB203" s="286">
        <f>SUM(Q203:AA203)</f>
        <v>11917</v>
      </c>
      <c r="AC203" s="287">
        <f>P203+AB203</f>
        <v>82916</v>
      </c>
      <c r="AD203" s="278">
        <v>12</v>
      </c>
      <c r="AE203" s="278">
        <v>5</v>
      </c>
      <c r="AF203" s="278">
        <v>4</v>
      </c>
      <c r="AG203" s="279">
        <f>SUM(AD203:AF203)</f>
        <v>21</v>
      </c>
      <c r="AH203" s="478">
        <v>2261</v>
      </c>
      <c r="AI203" s="478">
        <v>2314</v>
      </c>
      <c r="AJ203" s="478">
        <v>551</v>
      </c>
      <c r="AK203" s="478">
        <f>SUM(AH203:AJ208)</f>
        <v>5126</v>
      </c>
    </row>
    <row r="204" spans="1:37" ht="36" customHeight="1" x14ac:dyDescent="0.4">
      <c r="A204" s="477"/>
      <c r="B204" s="292" t="s">
        <v>265</v>
      </c>
      <c r="C204" s="258">
        <v>36.589499999999994</v>
      </c>
      <c r="D204" s="258">
        <v>146.196</v>
      </c>
      <c r="E204" s="258">
        <v>16.596</v>
      </c>
      <c r="F204" s="258">
        <v>77.210999999999999</v>
      </c>
      <c r="G204" s="258">
        <v>0</v>
      </c>
      <c r="H204" s="258">
        <v>0</v>
      </c>
      <c r="I204" s="258">
        <v>0</v>
      </c>
      <c r="J204" s="258"/>
      <c r="K204" s="258"/>
      <c r="L204" s="258">
        <v>0</v>
      </c>
      <c r="M204" s="258">
        <v>4.03</v>
      </c>
      <c r="N204" s="258">
        <v>3.2349999999999999</v>
      </c>
      <c r="O204" s="258">
        <v>0</v>
      </c>
      <c r="P204" s="286">
        <f>SUM(C204:O204)</f>
        <v>283.85749999999996</v>
      </c>
      <c r="Q204" s="258">
        <v>10.6</v>
      </c>
      <c r="R204" s="258">
        <v>0</v>
      </c>
      <c r="S204" s="258">
        <v>0</v>
      </c>
      <c r="T204" s="258">
        <v>24.68</v>
      </c>
      <c r="U204" s="258">
        <v>0</v>
      </c>
      <c r="V204" s="258">
        <v>0</v>
      </c>
      <c r="W204" s="258">
        <v>0</v>
      </c>
      <c r="X204" s="258">
        <v>95.9</v>
      </c>
      <c r="Y204" s="258">
        <v>0</v>
      </c>
      <c r="Z204" s="67">
        <v>25.6</v>
      </c>
      <c r="AA204" s="261"/>
      <c r="AB204" s="286">
        <f>SUM(Q204:AA204)</f>
        <v>156.78</v>
      </c>
      <c r="AC204" s="287">
        <f>P204+AB204</f>
        <v>440.63749999999993</v>
      </c>
      <c r="AD204" s="278"/>
      <c r="AE204" s="278"/>
      <c r="AF204" s="278"/>
      <c r="AG204" s="279"/>
      <c r="AH204" s="479"/>
      <c r="AI204" s="479"/>
      <c r="AJ204" s="479"/>
      <c r="AK204" s="479"/>
    </row>
    <row r="205" spans="1:37" ht="36" customHeight="1" x14ac:dyDescent="0.4">
      <c r="A205" s="477"/>
      <c r="B205" s="304" t="s">
        <v>284</v>
      </c>
      <c r="C205" s="114">
        <v>9252</v>
      </c>
      <c r="D205" s="114">
        <v>37456</v>
      </c>
      <c r="E205" s="114">
        <v>4675</v>
      </c>
      <c r="F205" s="114">
        <v>21619</v>
      </c>
      <c r="G205" s="114">
        <v>1602</v>
      </c>
      <c r="H205" s="114">
        <v>6242</v>
      </c>
      <c r="I205" s="114">
        <v>2442</v>
      </c>
      <c r="J205" s="114"/>
      <c r="K205" s="114"/>
      <c r="L205" s="114">
        <v>102</v>
      </c>
      <c r="M205" s="114">
        <v>876</v>
      </c>
      <c r="N205" s="114">
        <v>1147</v>
      </c>
      <c r="O205" s="114">
        <v>129</v>
      </c>
      <c r="P205" s="286">
        <f>SUM(C205:O205)</f>
        <v>85542</v>
      </c>
      <c r="Q205" s="56">
        <v>1242</v>
      </c>
      <c r="R205" s="114">
        <v>2718</v>
      </c>
      <c r="S205" s="114">
        <v>2020</v>
      </c>
      <c r="T205" s="114">
        <v>3147</v>
      </c>
      <c r="U205" s="114">
        <v>4086</v>
      </c>
      <c r="V205" s="114">
        <v>851</v>
      </c>
      <c r="W205" s="114">
        <v>292</v>
      </c>
      <c r="X205" s="114">
        <v>852</v>
      </c>
      <c r="Y205" s="114">
        <v>204</v>
      </c>
      <c r="Z205" s="114">
        <v>164</v>
      </c>
      <c r="AA205" s="261"/>
      <c r="AB205" s="286">
        <f>SUM(Q205:AA205)</f>
        <v>15576</v>
      </c>
      <c r="AC205" s="287">
        <f>P205+AB205</f>
        <v>101118</v>
      </c>
      <c r="AD205" s="263"/>
      <c r="AE205" s="263"/>
      <c r="AF205" s="263"/>
      <c r="AG205" s="263"/>
      <c r="AH205" s="479"/>
      <c r="AI205" s="479"/>
      <c r="AJ205" s="479"/>
      <c r="AK205" s="479"/>
    </row>
    <row r="206" spans="1:37" ht="36" customHeight="1" x14ac:dyDescent="0.4">
      <c r="A206" s="477"/>
      <c r="B206" s="304" t="s">
        <v>285</v>
      </c>
      <c r="C206" s="469">
        <f>C203+D203+E203+F203+C204+D204+E204+F204</f>
        <v>61741.592500000006</v>
      </c>
      <c r="D206" s="470"/>
      <c r="E206" s="470"/>
      <c r="F206" s="471"/>
      <c r="G206" s="469">
        <f>G203+H203+I203+G204+H204+I204</f>
        <v>7905</v>
      </c>
      <c r="H206" s="470"/>
      <c r="I206" s="471"/>
      <c r="J206" s="273"/>
      <c r="K206" s="273"/>
      <c r="L206" s="469">
        <f>L203+M203+N203+L204+M204+N204</f>
        <v>1507.2649999999999</v>
      </c>
      <c r="M206" s="470"/>
      <c r="N206" s="471"/>
      <c r="O206" s="114"/>
      <c r="P206" s="286"/>
      <c r="Q206" s="469">
        <f>Q203+R203+S203+Q204+R204+S204</f>
        <v>5266.6</v>
      </c>
      <c r="R206" s="470"/>
      <c r="S206" s="471"/>
      <c r="T206" s="114"/>
      <c r="U206" s="114"/>
      <c r="V206" s="114"/>
      <c r="W206" s="114"/>
      <c r="X206" s="114"/>
      <c r="Y206" s="114"/>
      <c r="Z206" s="114"/>
      <c r="AA206" s="261"/>
      <c r="AB206" s="286"/>
      <c r="AC206" s="287"/>
      <c r="AD206" s="263"/>
      <c r="AE206" s="263"/>
      <c r="AF206" s="263"/>
      <c r="AG206" s="263"/>
      <c r="AH206" s="479"/>
      <c r="AI206" s="479"/>
      <c r="AJ206" s="479"/>
      <c r="AK206" s="479"/>
    </row>
    <row r="207" spans="1:37" ht="36" customHeight="1" x14ac:dyDescent="0.4">
      <c r="A207" s="477"/>
      <c r="B207" s="304" t="s">
        <v>247</v>
      </c>
      <c r="C207" s="469">
        <f>C205+D205+E205+F205</f>
        <v>73002</v>
      </c>
      <c r="D207" s="470"/>
      <c r="E207" s="470"/>
      <c r="F207" s="471"/>
      <c r="G207" s="469">
        <f>G205+H205+I205</f>
        <v>10286</v>
      </c>
      <c r="H207" s="470"/>
      <c r="I207" s="471"/>
      <c r="J207" s="273"/>
      <c r="K207" s="273"/>
      <c r="L207" s="469">
        <f>L205+M205+N205</f>
        <v>2125</v>
      </c>
      <c r="M207" s="470"/>
      <c r="N207" s="471"/>
      <c r="O207" s="114"/>
      <c r="P207" s="286"/>
      <c r="Q207" s="469">
        <f>Q205+R205+S205</f>
        <v>5980</v>
      </c>
      <c r="R207" s="470"/>
      <c r="S207" s="471"/>
      <c r="T207" s="114"/>
      <c r="U207" s="114"/>
      <c r="V207" s="114"/>
      <c r="W207" s="114"/>
      <c r="X207" s="114"/>
      <c r="Y207" s="114"/>
      <c r="Z207" s="114"/>
      <c r="AA207" s="261"/>
      <c r="AB207" s="286"/>
      <c r="AC207" s="287"/>
      <c r="AD207" s="263"/>
      <c r="AE207" s="263"/>
      <c r="AF207" s="263"/>
      <c r="AG207" s="263"/>
      <c r="AH207" s="479"/>
      <c r="AI207" s="479"/>
      <c r="AJ207" s="479"/>
      <c r="AK207" s="479"/>
    </row>
    <row r="208" spans="1:37" ht="36" customHeight="1" x14ac:dyDescent="0.4">
      <c r="A208" s="477"/>
      <c r="B208" s="297" t="s">
        <v>262</v>
      </c>
      <c r="C208" s="472">
        <f>C206/C207</f>
        <v>0.84575206843648132</v>
      </c>
      <c r="D208" s="473"/>
      <c r="E208" s="473"/>
      <c r="F208" s="474"/>
      <c r="G208" s="472">
        <f>G206/G207</f>
        <v>0.76852031888003114</v>
      </c>
      <c r="H208" s="473"/>
      <c r="I208" s="474"/>
      <c r="J208" s="276"/>
      <c r="K208" s="276"/>
      <c r="L208" s="472">
        <f>L206/L207</f>
        <v>0.70930117647058821</v>
      </c>
      <c r="M208" s="473"/>
      <c r="N208" s="474"/>
      <c r="O208" s="280">
        <f>(O203+O204)/O205</f>
        <v>1</v>
      </c>
      <c r="P208" s="290">
        <f>(P203+P204)/P205</f>
        <v>0.83330828715718597</v>
      </c>
      <c r="Q208" s="472">
        <f>Q206/Q207</f>
        <v>0.88070234113712376</v>
      </c>
      <c r="R208" s="473"/>
      <c r="S208" s="474"/>
      <c r="T208" s="280">
        <f t="shared" ref="T208:Z208" si="35">(T203+T204)/T205</f>
        <v>0.79208134731490298</v>
      </c>
      <c r="U208" s="280">
        <f t="shared" si="35"/>
        <v>0.53475281448849732</v>
      </c>
      <c r="V208" s="280">
        <f t="shared" si="35"/>
        <v>0.85898942420681557</v>
      </c>
      <c r="W208" s="280">
        <f t="shared" si="35"/>
        <v>0.92808219178082196</v>
      </c>
      <c r="X208" s="280">
        <f t="shared" si="35"/>
        <v>0.91654929577464783</v>
      </c>
      <c r="Y208" s="280">
        <f t="shared" si="35"/>
        <v>0.94607843137254899</v>
      </c>
      <c r="Z208" s="280">
        <f t="shared" si="35"/>
        <v>0.93658536585365848</v>
      </c>
      <c r="AA208" s="265"/>
      <c r="AB208" s="290">
        <f>(AB203+AB204)/AB205</f>
        <v>0.775152799178223</v>
      </c>
      <c r="AC208" s="291">
        <f>(AC203+AC204)/AC205</f>
        <v>0.82435014042999266</v>
      </c>
      <c r="AD208" s="281">
        <f>AD203/$AG$173</f>
        <v>0.5714285714285714</v>
      </c>
      <c r="AE208" s="281">
        <f>AE203/$AG$173</f>
        <v>0.23809523809523808</v>
      </c>
      <c r="AF208" s="281">
        <f>AF203/$AG$173</f>
        <v>0.19047619047619047</v>
      </c>
      <c r="AG208" s="305">
        <f>AG203/$AG$173</f>
        <v>1</v>
      </c>
      <c r="AH208" s="480"/>
      <c r="AI208" s="480"/>
      <c r="AJ208" s="480"/>
      <c r="AK208" s="480"/>
    </row>
    <row r="209" spans="1:37" ht="36" customHeight="1" x14ac:dyDescent="0.4">
      <c r="A209" s="477" t="s">
        <v>291</v>
      </c>
      <c r="B209" s="292" t="s">
        <v>269</v>
      </c>
      <c r="C209" s="258">
        <v>7959</v>
      </c>
      <c r="D209" s="258">
        <v>32656</v>
      </c>
      <c r="E209" s="258">
        <v>3743</v>
      </c>
      <c r="F209" s="258">
        <v>17230</v>
      </c>
      <c r="G209" s="258">
        <v>1522</v>
      </c>
      <c r="H209" s="258">
        <v>4390</v>
      </c>
      <c r="I209" s="258">
        <v>2153</v>
      </c>
      <c r="J209" s="258"/>
      <c r="K209" s="258"/>
      <c r="L209" s="258">
        <v>30</v>
      </c>
      <c r="M209" s="258">
        <v>811</v>
      </c>
      <c r="N209" s="258">
        <v>681</v>
      </c>
      <c r="O209" s="258">
        <v>129</v>
      </c>
      <c r="P209" s="286">
        <f>SUM(C209:O209)</f>
        <v>71304</v>
      </c>
      <c r="Q209" s="258">
        <v>1068</v>
      </c>
      <c r="R209" s="258">
        <v>2412</v>
      </c>
      <c r="S209" s="258">
        <v>1870</v>
      </c>
      <c r="T209" s="258">
        <v>2547</v>
      </c>
      <c r="U209" s="258">
        <v>2172</v>
      </c>
      <c r="V209" s="258">
        <v>730</v>
      </c>
      <c r="W209" s="258">
        <v>271</v>
      </c>
      <c r="X209" s="258">
        <v>696</v>
      </c>
      <c r="Y209" s="67">
        <v>194</v>
      </c>
      <c r="Z209" s="67">
        <v>128</v>
      </c>
      <c r="AA209" s="261"/>
      <c r="AB209" s="286">
        <f>SUM(Q209:AA209)</f>
        <v>12088</v>
      </c>
      <c r="AC209" s="287">
        <f>P209+AB209</f>
        <v>83392</v>
      </c>
      <c r="AD209" s="278">
        <v>13</v>
      </c>
      <c r="AE209" s="278">
        <v>4</v>
      </c>
      <c r="AF209" s="278">
        <v>4</v>
      </c>
      <c r="AG209" s="279">
        <f>SUM(AD209:AF209)</f>
        <v>21</v>
      </c>
      <c r="AH209" s="478">
        <v>2131</v>
      </c>
      <c r="AI209" s="478">
        <v>2261</v>
      </c>
      <c r="AJ209" s="478">
        <v>670</v>
      </c>
      <c r="AK209" s="478">
        <f>SUM(AH209:AJ214)</f>
        <v>5062</v>
      </c>
    </row>
    <row r="210" spans="1:37" ht="36" customHeight="1" x14ac:dyDescent="0.4">
      <c r="A210" s="477"/>
      <c r="B210" s="292" t="s">
        <v>265</v>
      </c>
      <c r="C210" s="258">
        <v>35.8155</v>
      </c>
      <c r="D210" s="258">
        <v>146.952</v>
      </c>
      <c r="E210" s="258">
        <v>16.843499999999999</v>
      </c>
      <c r="F210" s="258">
        <v>77.534999999999997</v>
      </c>
      <c r="G210" s="258">
        <v>0</v>
      </c>
      <c r="H210" s="258">
        <v>0</v>
      </c>
      <c r="I210" s="258">
        <v>0</v>
      </c>
      <c r="J210" s="258"/>
      <c r="K210" s="258"/>
      <c r="L210" s="258">
        <v>0</v>
      </c>
      <c r="M210" s="258">
        <v>4.0549999999999997</v>
      </c>
      <c r="N210" s="258">
        <v>3.4050000000000002</v>
      </c>
      <c r="O210" s="258">
        <v>0</v>
      </c>
      <c r="P210" s="286">
        <f>SUM(C210:O210)</f>
        <v>284.60599999999994</v>
      </c>
      <c r="Q210" s="258">
        <v>10.68</v>
      </c>
      <c r="R210" s="258">
        <v>0</v>
      </c>
      <c r="S210" s="258">
        <v>0</v>
      </c>
      <c r="T210" s="258">
        <v>25.47</v>
      </c>
      <c r="U210" s="258">
        <v>0</v>
      </c>
      <c r="V210" s="258">
        <v>0</v>
      </c>
      <c r="W210" s="258">
        <v>0</v>
      </c>
      <c r="X210" s="258">
        <v>97.440000000000012</v>
      </c>
      <c r="Y210" s="258">
        <v>0</v>
      </c>
      <c r="Z210" s="67">
        <v>25.6</v>
      </c>
      <c r="AA210" s="261"/>
      <c r="AB210" s="286">
        <f>SUM(Q210:AA210)</f>
        <v>159.19</v>
      </c>
      <c r="AC210" s="287">
        <f>P210+AB210</f>
        <v>443.79599999999994</v>
      </c>
      <c r="AD210" s="278"/>
      <c r="AE210" s="278"/>
      <c r="AF210" s="278"/>
      <c r="AG210" s="279"/>
      <c r="AH210" s="479"/>
      <c r="AI210" s="479"/>
      <c r="AJ210" s="479"/>
      <c r="AK210" s="479"/>
    </row>
    <row r="211" spans="1:37" ht="36" customHeight="1" x14ac:dyDescent="0.4">
      <c r="A211" s="477"/>
      <c r="B211" s="304" t="s">
        <v>284</v>
      </c>
      <c r="C211" s="114">
        <v>9252</v>
      </c>
      <c r="D211" s="114">
        <v>37456</v>
      </c>
      <c r="E211" s="114">
        <v>4675</v>
      </c>
      <c r="F211" s="114">
        <v>21619</v>
      </c>
      <c r="G211" s="114">
        <v>1602</v>
      </c>
      <c r="H211" s="114">
        <v>6242</v>
      </c>
      <c r="I211" s="114">
        <v>2442</v>
      </c>
      <c r="J211" s="114"/>
      <c r="K211" s="114"/>
      <c r="L211" s="114">
        <v>102</v>
      </c>
      <c r="M211" s="114">
        <v>876</v>
      </c>
      <c r="N211" s="114">
        <v>1147</v>
      </c>
      <c r="O211" s="114">
        <v>129</v>
      </c>
      <c r="P211" s="286">
        <f>SUM(C211:O211)</f>
        <v>85542</v>
      </c>
      <c r="Q211" s="56">
        <v>1242</v>
      </c>
      <c r="R211" s="114">
        <v>2718</v>
      </c>
      <c r="S211" s="114">
        <v>2020</v>
      </c>
      <c r="T211" s="114">
        <v>3147</v>
      </c>
      <c r="U211" s="114">
        <v>4086</v>
      </c>
      <c r="V211" s="114">
        <v>851</v>
      </c>
      <c r="W211" s="114">
        <v>292</v>
      </c>
      <c r="X211" s="114">
        <v>852</v>
      </c>
      <c r="Y211" s="114">
        <v>204</v>
      </c>
      <c r="Z211" s="114">
        <v>164</v>
      </c>
      <c r="AA211" s="261"/>
      <c r="AB211" s="286">
        <f>SUM(Q211:AA211)</f>
        <v>15576</v>
      </c>
      <c r="AC211" s="287">
        <f>P211+AB211</f>
        <v>101118</v>
      </c>
      <c r="AD211" s="263"/>
      <c r="AE211" s="263"/>
      <c r="AF211" s="263"/>
      <c r="AG211" s="263"/>
      <c r="AH211" s="479"/>
      <c r="AI211" s="479"/>
      <c r="AJ211" s="479"/>
      <c r="AK211" s="479"/>
    </row>
    <row r="212" spans="1:37" ht="36" customHeight="1" x14ac:dyDescent="0.4">
      <c r="A212" s="477"/>
      <c r="B212" s="304" t="s">
        <v>285</v>
      </c>
      <c r="C212" s="469">
        <f>C209+D209+E209+F209+C210+D210+E210+F210</f>
        <v>61865.146000000001</v>
      </c>
      <c r="D212" s="470"/>
      <c r="E212" s="470"/>
      <c r="F212" s="471"/>
      <c r="G212" s="469">
        <f>G209+H209+I209+G210+H210+I210</f>
        <v>8065</v>
      </c>
      <c r="H212" s="470"/>
      <c r="I212" s="471"/>
      <c r="J212" s="273"/>
      <c r="K212" s="273"/>
      <c r="L212" s="469">
        <f>L209+M209+N209+L210+M210+N210</f>
        <v>1529.46</v>
      </c>
      <c r="M212" s="470"/>
      <c r="N212" s="471"/>
      <c r="O212" s="114"/>
      <c r="P212" s="286"/>
      <c r="Q212" s="469">
        <f>Q209+R209+S209+Q210+R210+S210</f>
        <v>5360.68</v>
      </c>
      <c r="R212" s="470"/>
      <c r="S212" s="471"/>
      <c r="T212" s="114"/>
      <c r="U212" s="114"/>
      <c r="V212" s="114"/>
      <c r="W212" s="114"/>
      <c r="X212" s="114"/>
      <c r="Y212" s="114"/>
      <c r="Z212" s="114"/>
      <c r="AA212" s="261"/>
      <c r="AB212" s="286"/>
      <c r="AC212" s="287"/>
      <c r="AD212" s="263"/>
      <c r="AE212" s="263"/>
      <c r="AF212" s="263"/>
      <c r="AG212" s="263"/>
      <c r="AH212" s="479"/>
      <c r="AI212" s="479"/>
      <c r="AJ212" s="479"/>
      <c r="AK212" s="479"/>
    </row>
    <row r="213" spans="1:37" ht="36" customHeight="1" x14ac:dyDescent="0.4">
      <c r="A213" s="477"/>
      <c r="B213" s="304" t="s">
        <v>247</v>
      </c>
      <c r="C213" s="469">
        <f>C211+D211+E211+F211</f>
        <v>73002</v>
      </c>
      <c r="D213" s="470"/>
      <c r="E213" s="470"/>
      <c r="F213" s="471"/>
      <c r="G213" s="469">
        <f>G211+H211+I211</f>
        <v>10286</v>
      </c>
      <c r="H213" s="470"/>
      <c r="I213" s="471"/>
      <c r="J213" s="273"/>
      <c r="K213" s="273"/>
      <c r="L213" s="469">
        <f>L211+M211+N211</f>
        <v>2125</v>
      </c>
      <c r="M213" s="470"/>
      <c r="N213" s="471"/>
      <c r="O213" s="114"/>
      <c r="P213" s="286"/>
      <c r="Q213" s="469">
        <f>Q211+R211+S211</f>
        <v>5980</v>
      </c>
      <c r="R213" s="470"/>
      <c r="S213" s="471"/>
      <c r="T213" s="114"/>
      <c r="U213" s="114"/>
      <c r="V213" s="114"/>
      <c r="W213" s="114"/>
      <c r="X213" s="114"/>
      <c r="Y213" s="114"/>
      <c r="Z213" s="114"/>
      <c r="AA213" s="261"/>
      <c r="AB213" s="286"/>
      <c r="AC213" s="287"/>
      <c r="AD213" s="263"/>
      <c r="AE213" s="263"/>
      <c r="AF213" s="263"/>
      <c r="AG213" s="263"/>
      <c r="AH213" s="479"/>
      <c r="AI213" s="479"/>
      <c r="AJ213" s="479"/>
      <c r="AK213" s="479"/>
    </row>
    <row r="214" spans="1:37" ht="36" customHeight="1" x14ac:dyDescent="0.4">
      <c r="A214" s="477"/>
      <c r="B214" s="297" t="s">
        <v>262</v>
      </c>
      <c r="C214" s="472">
        <f>C212/C213</f>
        <v>0.84744453576614343</v>
      </c>
      <c r="D214" s="473"/>
      <c r="E214" s="473"/>
      <c r="F214" s="474"/>
      <c r="G214" s="472">
        <f>G212/G213</f>
        <v>0.78407544234882365</v>
      </c>
      <c r="H214" s="473"/>
      <c r="I214" s="474"/>
      <c r="J214" s="276"/>
      <c r="K214" s="276"/>
      <c r="L214" s="472">
        <f>L212/L213</f>
        <v>0.71974588235294124</v>
      </c>
      <c r="M214" s="473"/>
      <c r="N214" s="474"/>
      <c r="O214" s="280">
        <f>(O209+O210)/O211</f>
        <v>1</v>
      </c>
      <c r="P214" s="290">
        <f>(P209+P210)/P211</f>
        <v>0.83688253723317196</v>
      </c>
      <c r="Q214" s="472">
        <f>Q212/Q213</f>
        <v>0.89643478260869569</v>
      </c>
      <c r="R214" s="473"/>
      <c r="S214" s="474"/>
      <c r="T214" s="280">
        <f t="shared" ref="T214:Z214" si="36">(T209+T210)/T211</f>
        <v>0.81743565300285981</v>
      </c>
      <c r="U214" s="280">
        <f t="shared" si="36"/>
        <v>0.53157121879588842</v>
      </c>
      <c r="V214" s="280">
        <f t="shared" si="36"/>
        <v>0.85781433607520563</v>
      </c>
      <c r="W214" s="280">
        <f t="shared" si="36"/>
        <v>0.92808219178082196</v>
      </c>
      <c r="X214" s="280">
        <f t="shared" si="36"/>
        <v>0.93126760563380284</v>
      </c>
      <c r="Y214" s="280">
        <f t="shared" si="36"/>
        <v>0.9509803921568627</v>
      </c>
      <c r="Z214" s="280">
        <f t="shared" si="36"/>
        <v>0.93658536585365848</v>
      </c>
      <c r="AA214" s="265"/>
      <c r="AB214" s="290">
        <f>(AB209+AB210)/AB211</f>
        <v>0.78628595274781721</v>
      </c>
      <c r="AC214" s="291">
        <f>(AC209+AC210)/AC211</f>
        <v>0.82908874779960051</v>
      </c>
      <c r="AD214" s="281">
        <f>AD209/$AG$173</f>
        <v>0.61904761904761907</v>
      </c>
      <c r="AE214" s="281">
        <f>AE209/$AG$173</f>
        <v>0.19047619047619047</v>
      </c>
      <c r="AF214" s="281">
        <f>AF209/$AG$173</f>
        <v>0.19047619047619047</v>
      </c>
      <c r="AG214" s="305">
        <f>AG209/$AG$173</f>
        <v>1</v>
      </c>
      <c r="AH214" s="480"/>
      <c r="AI214" s="480"/>
      <c r="AJ214" s="480"/>
      <c r="AK214" s="480"/>
    </row>
    <row r="215" spans="1:37" ht="36" customHeight="1" x14ac:dyDescent="0.4">
      <c r="A215" s="477" t="s">
        <v>292</v>
      </c>
      <c r="B215" s="292" t="s">
        <v>269</v>
      </c>
      <c r="C215" s="258">
        <v>7987</v>
      </c>
      <c r="D215" s="258">
        <v>32720</v>
      </c>
      <c r="E215" s="258">
        <v>3733</v>
      </c>
      <c r="F215" s="258">
        <v>17389</v>
      </c>
      <c r="G215" s="258">
        <v>1518</v>
      </c>
      <c r="H215" s="258">
        <v>4385</v>
      </c>
      <c r="I215" s="258">
        <v>2166</v>
      </c>
      <c r="J215" s="258"/>
      <c r="K215" s="258"/>
      <c r="L215" s="258">
        <v>31</v>
      </c>
      <c r="M215" s="258">
        <v>808</v>
      </c>
      <c r="N215" s="258">
        <v>682</v>
      </c>
      <c r="O215" s="258">
        <v>129</v>
      </c>
      <c r="P215" s="286">
        <f>SUM(C215:O215)</f>
        <v>71548</v>
      </c>
      <c r="Q215" s="258">
        <v>1077</v>
      </c>
      <c r="R215" s="258">
        <v>2400</v>
      </c>
      <c r="S215" s="258">
        <v>1884</v>
      </c>
      <c r="T215" s="258">
        <v>2553</v>
      </c>
      <c r="U215" s="258">
        <v>2145</v>
      </c>
      <c r="V215" s="258">
        <v>729</v>
      </c>
      <c r="W215" s="258">
        <v>273</v>
      </c>
      <c r="X215" s="258">
        <v>706</v>
      </c>
      <c r="Y215" s="67">
        <v>196</v>
      </c>
      <c r="Z215" s="67">
        <v>129</v>
      </c>
      <c r="AA215" s="261"/>
      <c r="AB215" s="286">
        <f>SUM(Q215:AA215)</f>
        <v>12092</v>
      </c>
      <c r="AC215" s="287">
        <f>P215+AB215</f>
        <v>83640</v>
      </c>
      <c r="AD215" s="278">
        <v>13</v>
      </c>
      <c r="AE215" s="278">
        <v>4</v>
      </c>
      <c r="AF215" s="278">
        <v>4</v>
      </c>
      <c r="AG215" s="279">
        <f>SUM(AD215:AF215)</f>
        <v>21</v>
      </c>
      <c r="AH215" s="478">
        <v>1649</v>
      </c>
      <c r="AI215" s="478">
        <v>1805</v>
      </c>
      <c r="AJ215" s="478">
        <v>479</v>
      </c>
      <c r="AK215" s="478">
        <f>SUM(AH215:AJ220)</f>
        <v>3933</v>
      </c>
    </row>
    <row r="216" spans="1:37" ht="36" customHeight="1" x14ac:dyDescent="0.4">
      <c r="A216" s="477"/>
      <c r="B216" s="292" t="s">
        <v>265</v>
      </c>
      <c r="C216" s="258">
        <v>35.941499999999998</v>
      </c>
      <c r="D216" s="258">
        <v>147.23999999999998</v>
      </c>
      <c r="E216" s="258">
        <v>16.798499999999997</v>
      </c>
      <c r="F216" s="258">
        <v>78.250499999999988</v>
      </c>
      <c r="G216" s="258">
        <v>0</v>
      </c>
      <c r="H216" s="258">
        <v>0</v>
      </c>
      <c r="I216" s="258">
        <v>0</v>
      </c>
      <c r="J216" s="258"/>
      <c r="K216" s="258"/>
      <c r="L216" s="258">
        <v>0</v>
      </c>
      <c r="M216" s="258">
        <v>4.04</v>
      </c>
      <c r="N216" s="258">
        <v>3.41</v>
      </c>
      <c r="O216" s="258">
        <v>0</v>
      </c>
      <c r="P216" s="286">
        <f>SUM(C216:O216)</f>
        <v>285.68049999999999</v>
      </c>
      <c r="Q216" s="258">
        <v>10.77</v>
      </c>
      <c r="R216" s="258">
        <v>0</v>
      </c>
      <c r="S216" s="258">
        <v>0</v>
      </c>
      <c r="T216" s="258">
        <v>25.53</v>
      </c>
      <c r="U216" s="258">
        <v>0</v>
      </c>
      <c r="V216" s="258">
        <v>0</v>
      </c>
      <c r="W216" s="258">
        <v>0</v>
      </c>
      <c r="X216" s="258">
        <v>98.84</v>
      </c>
      <c r="Y216" s="258">
        <v>0</v>
      </c>
      <c r="Z216" s="67">
        <v>25.8</v>
      </c>
      <c r="AA216" s="261"/>
      <c r="AB216" s="286">
        <f>SUM(Q216:AA216)</f>
        <v>160.94</v>
      </c>
      <c r="AC216" s="287">
        <f>P216+AB216</f>
        <v>446.62049999999999</v>
      </c>
      <c r="AD216" s="278"/>
      <c r="AE216" s="278"/>
      <c r="AF216" s="278"/>
      <c r="AG216" s="279"/>
      <c r="AH216" s="479"/>
      <c r="AI216" s="479"/>
      <c r="AJ216" s="479"/>
      <c r="AK216" s="479"/>
    </row>
    <row r="217" spans="1:37" ht="36" customHeight="1" x14ac:dyDescent="0.4">
      <c r="A217" s="477"/>
      <c r="B217" s="304" t="s">
        <v>284</v>
      </c>
      <c r="C217" s="114">
        <v>9252</v>
      </c>
      <c r="D217" s="114">
        <v>37456</v>
      </c>
      <c r="E217" s="114">
        <v>4675</v>
      </c>
      <c r="F217" s="114">
        <v>21619</v>
      </c>
      <c r="G217" s="114">
        <v>1602</v>
      </c>
      <c r="H217" s="114">
        <v>6242</v>
      </c>
      <c r="I217" s="114">
        <v>2442</v>
      </c>
      <c r="J217" s="114"/>
      <c r="K217" s="114"/>
      <c r="L217" s="114">
        <v>102</v>
      </c>
      <c r="M217" s="114">
        <v>876</v>
      </c>
      <c r="N217" s="114">
        <v>1147</v>
      </c>
      <c r="O217" s="114">
        <v>129</v>
      </c>
      <c r="P217" s="286">
        <f>SUM(C217:O217)</f>
        <v>85542</v>
      </c>
      <c r="Q217" s="56">
        <v>1242</v>
      </c>
      <c r="R217" s="114">
        <v>2718</v>
      </c>
      <c r="S217" s="114">
        <v>2020</v>
      </c>
      <c r="T217" s="114">
        <v>3147</v>
      </c>
      <c r="U217" s="114">
        <v>4086</v>
      </c>
      <c r="V217" s="114">
        <v>851</v>
      </c>
      <c r="W217" s="114">
        <v>292</v>
      </c>
      <c r="X217" s="114">
        <v>852</v>
      </c>
      <c r="Y217" s="114">
        <v>204</v>
      </c>
      <c r="Z217" s="114">
        <v>164</v>
      </c>
      <c r="AA217" s="261"/>
      <c r="AB217" s="286">
        <f>SUM(Q217:AA217)</f>
        <v>15576</v>
      </c>
      <c r="AC217" s="287">
        <f>P217+AB217</f>
        <v>101118</v>
      </c>
      <c r="AD217" s="263"/>
      <c r="AE217" s="263"/>
      <c r="AF217" s="263"/>
      <c r="AG217" s="263"/>
      <c r="AH217" s="479"/>
      <c r="AI217" s="479"/>
      <c r="AJ217" s="479"/>
      <c r="AK217" s="479"/>
    </row>
    <row r="218" spans="1:37" ht="36" customHeight="1" x14ac:dyDescent="0.4">
      <c r="A218" s="477"/>
      <c r="B218" s="304" t="s">
        <v>285</v>
      </c>
      <c r="C218" s="469">
        <f>C215+D215+E215+F215+C216+D216+E216+F216</f>
        <v>62107.230499999998</v>
      </c>
      <c r="D218" s="470"/>
      <c r="E218" s="470"/>
      <c r="F218" s="471"/>
      <c r="G218" s="469">
        <f>G215+H215+I215+G216+H216+I216</f>
        <v>8069</v>
      </c>
      <c r="H218" s="470"/>
      <c r="I218" s="471"/>
      <c r="J218" s="273"/>
      <c r="K218" s="273"/>
      <c r="L218" s="469">
        <f>L215+M215+N215+L216+M216+N216</f>
        <v>1528.45</v>
      </c>
      <c r="M218" s="470"/>
      <c r="N218" s="471"/>
      <c r="O218" s="114"/>
      <c r="P218" s="286"/>
      <c r="Q218" s="469">
        <f>Q215+R215+S215+Q216+R216+S216</f>
        <v>5371.77</v>
      </c>
      <c r="R218" s="470"/>
      <c r="S218" s="471"/>
      <c r="T218" s="114"/>
      <c r="U218" s="114"/>
      <c r="V218" s="114"/>
      <c r="W218" s="114"/>
      <c r="X218" s="114"/>
      <c r="Y218" s="114"/>
      <c r="Z218" s="114"/>
      <c r="AA218" s="261"/>
      <c r="AB218" s="286"/>
      <c r="AC218" s="287"/>
      <c r="AD218" s="263"/>
      <c r="AE218" s="263"/>
      <c r="AF218" s="263"/>
      <c r="AG218" s="263"/>
      <c r="AH218" s="479"/>
      <c r="AI218" s="479"/>
      <c r="AJ218" s="479"/>
      <c r="AK218" s="479"/>
    </row>
    <row r="219" spans="1:37" ht="36" customHeight="1" x14ac:dyDescent="0.4">
      <c r="A219" s="477"/>
      <c r="B219" s="304" t="s">
        <v>247</v>
      </c>
      <c r="C219" s="469">
        <f>C217+D217+E217+F217</f>
        <v>73002</v>
      </c>
      <c r="D219" s="470"/>
      <c r="E219" s="470"/>
      <c r="F219" s="471"/>
      <c r="G219" s="469">
        <f>G217+H217+I217</f>
        <v>10286</v>
      </c>
      <c r="H219" s="470"/>
      <c r="I219" s="471"/>
      <c r="J219" s="273"/>
      <c r="K219" s="273"/>
      <c r="L219" s="469">
        <f>L217+M217+N217</f>
        <v>2125</v>
      </c>
      <c r="M219" s="470"/>
      <c r="N219" s="471"/>
      <c r="O219" s="114"/>
      <c r="P219" s="286"/>
      <c r="Q219" s="469">
        <f>Q217+R217+S217</f>
        <v>5980</v>
      </c>
      <c r="R219" s="470"/>
      <c r="S219" s="471"/>
      <c r="T219" s="114"/>
      <c r="U219" s="114"/>
      <c r="V219" s="114"/>
      <c r="W219" s="114"/>
      <c r="X219" s="114"/>
      <c r="Y219" s="114"/>
      <c r="Z219" s="114"/>
      <c r="AA219" s="261"/>
      <c r="AB219" s="286"/>
      <c r="AC219" s="287"/>
      <c r="AD219" s="263"/>
      <c r="AE219" s="263"/>
      <c r="AF219" s="263"/>
      <c r="AG219" s="263"/>
      <c r="AH219" s="479"/>
      <c r="AI219" s="479"/>
      <c r="AJ219" s="479"/>
      <c r="AK219" s="479"/>
    </row>
    <row r="220" spans="1:37" ht="36" customHeight="1" x14ac:dyDescent="0.4">
      <c r="A220" s="477"/>
      <c r="B220" s="297" t="s">
        <v>262</v>
      </c>
      <c r="C220" s="472">
        <f>C218/C219</f>
        <v>0.8507606709405221</v>
      </c>
      <c r="D220" s="473"/>
      <c r="E220" s="473"/>
      <c r="F220" s="474"/>
      <c r="G220" s="472">
        <f>G218/G219</f>
        <v>0.78446432043554348</v>
      </c>
      <c r="H220" s="473"/>
      <c r="I220" s="474"/>
      <c r="J220" s="276"/>
      <c r="K220" s="276"/>
      <c r="L220" s="472">
        <f>L218/L219</f>
        <v>0.71927058823529411</v>
      </c>
      <c r="M220" s="473"/>
      <c r="N220" s="474"/>
      <c r="O220" s="280">
        <f>(O215+O216)/O217</f>
        <v>1</v>
      </c>
      <c r="P220" s="290">
        <f>(P215+P216)/P217</f>
        <v>0.83974749830492623</v>
      </c>
      <c r="Q220" s="472">
        <f>Q218/Q219</f>
        <v>0.8982892976588629</v>
      </c>
      <c r="R220" s="473"/>
      <c r="S220" s="474"/>
      <c r="T220" s="280">
        <f t="shared" ref="T220:Z220" si="37">(T215+T216)/T217</f>
        <v>0.81936129647283129</v>
      </c>
      <c r="U220" s="280">
        <f t="shared" si="37"/>
        <v>0.52496328928046987</v>
      </c>
      <c r="V220" s="280">
        <f t="shared" si="37"/>
        <v>0.85663924794359581</v>
      </c>
      <c r="W220" s="280">
        <f t="shared" si="37"/>
        <v>0.93493150684931503</v>
      </c>
      <c r="X220" s="280">
        <f t="shared" si="37"/>
        <v>0.94464788732394367</v>
      </c>
      <c r="Y220" s="280">
        <f t="shared" si="37"/>
        <v>0.96078431372549022</v>
      </c>
      <c r="Z220" s="280">
        <f t="shared" si="37"/>
        <v>0.94390243902439031</v>
      </c>
      <c r="AA220" s="265"/>
      <c r="AB220" s="290">
        <f>(AB215+AB216)/AB217</f>
        <v>0.78665511042629688</v>
      </c>
      <c r="AC220" s="291">
        <f>(AC215+AC216)/AC217</f>
        <v>0.83156926066575687</v>
      </c>
      <c r="AD220" s="281">
        <f>AD215/$AG$173</f>
        <v>0.61904761904761907</v>
      </c>
      <c r="AE220" s="281">
        <f>AE215/$AG$173</f>
        <v>0.19047619047619047</v>
      </c>
      <c r="AF220" s="281">
        <f>AF215/$AG$173</f>
        <v>0.19047619047619047</v>
      </c>
      <c r="AG220" s="305">
        <f>AG215/$AG$173</f>
        <v>1</v>
      </c>
      <c r="AH220" s="480"/>
      <c r="AI220" s="480"/>
      <c r="AJ220" s="480"/>
      <c r="AK220" s="480"/>
    </row>
    <row r="221" spans="1:37" ht="36" customHeight="1" x14ac:dyDescent="0.4">
      <c r="A221" s="477" t="s">
        <v>293</v>
      </c>
      <c r="B221" s="292" t="s">
        <v>269</v>
      </c>
      <c r="C221" s="258">
        <v>7895</v>
      </c>
      <c r="D221" s="258">
        <v>32892</v>
      </c>
      <c r="E221" s="258">
        <v>3795</v>
      </c>
      <c r="F221" s="258">
        <v>17620</v>
      </c>
      <c r="G221" s="258">
        <v>1529</v>
      </c>
      <c r="H221" s="258">
        <v>4351</v>
      </c>
      <c r="I221" s="258">
        <v>2241</v>
      </c>
      <c r="J221" s="258"/>
      <c r="K221" s="258"/>
      <c r="L221" s="258">
        <v>33</v>
      </c>
      <c r="M221" s="258">
        <v>810</v>
      </c>
      <c r="N221" s="258">
        <v>683</v>
      </c>
      <c r="O221" s="258">
        <v>129</v>
      </c>
      <c r="P221" s="286">
        <f>SUM(C221:O221)</f>
        <v>71978</v>
      </c>
      <c r="Q221" s="258">
        <v>1078</v>
      </c>
      <c r="R221" s="258">
        <v>2395</v>
      </c>
      <c r="S221" s="258">
        <v>1902</v>
      </c>
      <c r="T221" s="258">
        <v>2602</v>
      </c>
      <c r="U221" s="258">
        <v>2135</v>
      </c>
      <c r="V221" s="258">
        <v>750</v>
      </c>
      <c r="W221" s="258">
        <v>273</v>
      </c>
      <c r="X221" s="258">
        <v>710</v>
      </c>
      <c r="Y221" s="67">
        <v>197</v>
      </c>
      <c r="Z221" s="67">
        <v>129</v>
      </c>
      <c r="AA221" s="261"/>
      <c r="AB221" s="286">
        <f>SUM(Q221:AA221)</f>
        <v>12171</v>
      </c>
      <c r="AC221" s="287">
        <f>P221+AB221</f>
        <v>84149</v>
      </c>
      <c r="AD221" s="278">
        <v>13</v>
      </c>
      <c r="AE221" s="278">
        <v>4</v>
      </c>
      <c r="AF221" s="278">
        <v>4</v>
      </c>
      <c r="AG221" s="279">
        <f>SUM(AD221:AF221)</f>
        <v>21</v>
      </c>
      <c r="AH221" s="478">
        <v>2509</v>
      </c>
      <c r="AI221" s="478">
        <v>3139</v>
      </c>
      <c r="AJ221" s="478">
        <v>1135</v>
      </c>
      <c r="AK221" s="478">
        <f>SUM(AH221:AJ226)</f>
        <v>6783</v>
      </c>
    </row>
    <row r="222" spans="1:37" ht="36" customHeight="1" x14ac:dyDescent="0.4">
      <c r="A222" s="477"/>
      <c r="B222" s="292" t="s">
        <v>265</v>
      </c>
      <c r="C222" s="258">
        <v>35.527499999999996</v>
      </c>
      <c r="D222" s="258">
        <v>148.01399999999998</v>
      </c>
      <c r="E222" s="258">
        <v>17.077499999999997</v>
      </c>
      <c r="F222" s="258">
        <v>79.289999999999992</v>
      </c>
      <c r="G222" s="258">
        <v>0</v>
      </c>
      <c r="H222" s="258">
        <v>0</v>
      </c>
      <c r="I222" s="258">
        <v>0</v>
      </c>
      <c r="J222" s="258"/>
      <c r="K222" s="258"/>
      <c r="L222" s="258">
        <v>0</v>
      </c>
      <c r="M222" s="258">
        <v>4.05</v>
      </c>
      <c r="N222" s="258">
        <v>3.415</v>
      </c>
      <c r="O222" s="258">
        <v>0</v>
      </c>
      <c r="P222" s="286">
        <f>SUM(C222:O222)</f>
        <v>287.37400000000002</v>
      </c>
      <c r="Q222" s="258">
        <v>10.78</v>
      </c>
      <c r="R222" s="258">
        <v>0</v>
      </c>
      <c r="S222" s="258">
        <v>0</v>
      </c>
      <c r="T222" s="258">
        <v>26.02</v>
      </c>
      <c r="U222" s="258">
        <v>0</v>
      </c>
      <c r="V222" s="258">
        <v>0</v>
      </c>
      <c r="W222" s="258">
        <v>0</v>
      </c>
      <c r="X222" s="258">
        <v>99.4</v>
      </c>
      <c r="Y222" s="258">
        <v>0</v>
      </c>
      <c r="Z222" s="67">
        <v>25.8</v>
      </c>
      <c r="AA222" s="261"/>
      <c r="AB222" s="286">
        <f>SUM(Q222:AA222)</f>
        <v>162</v>
      </c>
      <c r="AC222" s="287">
        <f>P222+AB222</f>
        <v>449.37400000000002</v>
      </c>
      <c r="AD222" s="278"/>
      <c r="AE222" s="278"/>
      <c r="AF222" s="278"/>
      <c r="AG222" s="279"/>
      <c r="AH222" s="479"/>
      <c r="AI222" s="479"/>
      <c r="AJ222" s="479"/>
      <c r="AK222" s="479"/>
    </row>
    <row r="223" spans="1:37" ht="36" customHeight="1" x14ac:dyDescent="0.4">
      <c r="A223" s="477"/>
      <c r="B223" s="304" t="s">
        <v>284</v>
      </c>
      <c r="C223" s="114">
        <v>9252</v>
      </c>
      <c r="D223" s="114">
        <v>37456</v>
      </c>
      <c r="E223" s="114">
        <v>4675</v>
      </c>
      <c r="F223" s="114">
        <v>21619</v>
      </c>
      <c r="G223" s="114">
        <v>1602</v>
      </c>
      <c r="H223" s="114">
        <v>6242</v>
      </c>
      <c r="I223" s="114">
        <v>2442</v>
      </c>
      <c r="J223" s="114"/>
      <c r="K223" s="114"/>
      <c r="L223" s="114">
        <v>102</v>
      </c>
      <c r="M223" s="114">
        <v>876</v>
      </c>
      <c r="N223" s="114">
        <v>1147</v>
      </c>
      <c r="O223" s="114">
        <v>129</v>
      </c>
      <c r="P223" s="286">
        <f>SUM(C223:O223)</f>
        <v>85542</v>
      </c>
      <c r="Q223" s="56">
        <v>1242</v>
      </c>
      <c r="R223" s="114">
        <v>2718</v>
      </c>
      <c r="S223" s="114">
        <v>2020</v>
      </c>
      <c r="T223" s="114">
        <v>3147</v>
      </c>
      <c r="U223" s="114">
        <v>4086</v>
      </c>
      <c r="V223" s="114">
        <v>851</v>
      </c>
      <c r="W223" s="114">
        <v>292</v>
      </c>
      <c r="X223" s="114">
        <v>852</v>
      </c>
      <c r="Y223" s="114">
        <v>204</v>
      </c>
      <c r="Z223" s="114">
        <v>164</v>
      </c>
      <c r="AA223" s="261"/>
      <c r="AB223" s="286">
        <f>SUM(Q223:AA223)</f>
        <v>15576</v>
      </c>
      <c r="AC223" s="287">
        <f>P223+AB223</f>
        <v>101118</v>
      </c>
      <c r="AD223" s="263"/>
      <c r="AE223" s="263"/>
      <c r="AF223" s="263"/>
      <c r="AG223" s="263"/>
      <c r="AH223" s="479"/>
      <c r="AI223" s="479"/>
      <c r="AJ223" s="479"/>
      <c r="AK223" s="479"/>
    </row>
    <row r="224" spans="1:37" ht="36" customHeight="1" x14ac:dyDescent="0.4">
      <c r="A224" s="477"/>
      <c r="B224" s="304" t="s">
        <v>285</v>
      </c>
      <c r="C224" s="469">
        <f>C221+D221+E221+F221+C222+D222+E222+F222</f>
        <v>62481.909</v>
      </c>
      <c r="D224" s="470"/>
      <c r="E224" s="470"/>
      <c r="F224" s="471"/>
      <c r="G224" s="469">
        <f>G221+H221+I221+G222+H222+I222</f>
        <v>8121</v>
      </c>
      <c r="H224" s="470"/>
      <c r="I224" s="471"/>
      <c r="J224" s="273"/>
      <c r="K224" s="273"/>
      <c r="L224" s="469">
        <f>L221+M221+N221+L222+M222+N222</f>
        <v>1533.4649999999999</v>
      </c>
      <c r="M224" s="470"/>
      <c r="N224" s="471"/>
      <c r="O224" s="114"/>
      <c r="P224" s="286"/>
      <c r="Q224" s="469">
        <f>Q221+R221+S221+Q222+R222+S222</f>
        <v>5385.78</v>
      </c>
      <c r="R224" s="470"/>
      <c r="S224" s="471"/>
      <c r="T224" s="114"/>
      <c r="U224" s="114"/>
      <c r="V224" s="114"/>
      <c r="W224" s="114"/>
      <c r="X224" s="114"/>
      <c r="Y224" s="114"/>
      <c r="Z224" s="114"/>
      <c r="AA224" s="261"/>
      <c r="AB224" s="286"/>
      <c r="AC224" s="287"/>
      <c r="AD224" s="263"/>
      <c r="AE224" s="263"/>
      <c r="AF224" s="263"/>
      <c r="AG224" s="263"/>
      <c r="AH224" s="479"/>
      <c r="AI224" s="479"/>
      <c r="AJ224" s="479"/>
      <c r="AK224" s="479"/>
    </row>
    <row r="225" spans="1:37" ht="36" customHeight="1" x14ac:dyDescent="0.4">
      <c r="A225" s="477"/>
      <c r="B225" s="304" t="s">
        <v>247</v>
      </c>
      <c r="C225" s="469">
        <f>C223+D223+E223+F223</f>
        <v>73002</v>
      </c>
      <c r="D225" s="470"/>
      <c r="E225" s="470"/>
      <c r="F225" s="471"/>
      <c r="G225" s="469">
        <f>G223+H223+I223</f>
        <v>10286</v>
      </c>
      <c r="H225" s="470"/>
      <c r="I225" s="471"/>
      <c r="J225" s="273"/>
      <c r="K225" s="273"/>
      <c r="L225" s="469">
        <f>L223+M223+N223</f>
        <v>2125</v>
      </c>
      <c r="M225" s="470"/>
      <c r="N225" s="471"/>
      <c r="O225" s="114"/>
      <c r="P225" s="286"/>
      <c r="Q225" s="469">
        <f>Q223+R223+S223</f>
        <v>5980</v>
      </c>
      <c r="R225" s="470"/>
      <c r="S225" s="471"/>
      <c r="T225" s="114"/>
      <c r="U225" s="114"/>
      <c r="V225" s="114"/>
      <c r="W225" s="114"/>
      <c r="X225" s="114"/>
      <c r="Y225" s="114"/>
      <c r="Z225" s="114"/>
      <c r="AA225" s="261"/>
      <c r="AB225" s="286"/>
      <c r="AC225" s="287"/>
      <c r="AD225" s="263"/>
      <c r="AE225" s="263"/>
      <c r="AF225" s="263"/>
      <c r="AG225" s="263"/>
      <c r="AH225" s="479"/>
      <c r="AI225" s="479"/>
      <c r="AJ225" s="479"/>
      <c r="AK225" s="479"/>
    </row>
    <row r="226" spans="1:37" ht="36" customHeight="1" x14ac:dyDescent="0.4">
      <c r="A226" s="477"/>
      <c r="B226" s="297" t="s">
        <v>262</v>
      </c>
      <c r="C226" s="472">
        <f>C224/C225</f>
        <v>0.85589311251746525</v>
      </c>
      <c r="D226" s="473"/>
      <c r="E226" s="473"/>
      <c r="F226" s="474"/>
      <c r="G226" s="472">
        <f>G224/G225</f>
        <v>0.789519735562901</v>
      </c>
      <c r="H226" s="473"/>
      <c r="I226" s="474"/>
      <c r="J226" s="276"/>
      <c r="K226" s="276"/>
      <c r="L226" s="472">
        <f>L224/L225</f>
        <v>0.72163058823529402</v>
      </c>
      <c r="M226" s="473"/>
      <c r="N226" s="474"/>
      <c r="O226" s="280">
        <f>(O221+O222)/O223</f>
        <v>1</v>
      </c>
      <c r="P226" s="290">
        <f>(P221+P222)/P223</f>
        <v>0.84479406607280627</v>
      </c>
      <c r="Q226" s="472">
        <f>Q224/Q225</f>
        <v>0.90063210702341134</v>
      </c>
      <c r="R226" s="473"/>
      <c r="S226" s="474"/>
      <c r="T226" s="280">
        <f t="shared" ref="T226:Z226" si="38">(T221+T222)/T223</f>
        <v>0.83508738481093103</v>
      </c>
      <c r="U226" s="280">
        <f t="shared" si="38"/>
        <v>0.52251590797846303</v>
      </c>
      <c r="V226" s="280">
        <f t="shared" si="38"/>
        <v>0.88131609870740302</v>
      </c>
      <c r="W226" s="280">
        <f t="shared" si="38"/>
        <v>0.93493150684931503</v>
      </c>
      <c r="X226" s="280">
        <f t="shared" si="38"/>
        <v>0.95</v>
      </c>
      <c r="Y226" s="280">
        <f t="shared" si="38"/>
        <v>0.96568627450980393</v>
      </c>
      <c r="Z226" s="280">
        <f t="shared" si="38"/>
        <v>0.94390243902439031</v>
      </c>
      <c r="AA226" s="265"/>
      <c r="AB226" s="290">
        <f>(AB221+AB222)/AB223</f>
        <v>0.79179506933744226</v>
      </c>
      <c r="AC226" s="291">
        <f>(AC221+AC222)/AC223</f>
        <v>0.83663021420518602</v>
      </c>
      <c r="AD226" s="281">
        <f>AD221/$AG$173</f>
        <v>0.61904761904761907</v>
      </c>
      <c r="AE226" s="281">
        <f>AE221/$AG$173</f>
        <v>0.19047619047619047</v>
      </c>
      <c r="AF226" s="281">
        <f>AF221/$AG$173</f>
        <v>0.19047619047619047</v>
      </c>
      <c r="AG226" s="305">
        <f>AG221/$AG$173</f>
        <v>1</v>
      </c>
      <c r="AH226" s="480"/>
      <c r="AI226" s="480"/>
      <c r="AJ226" s="480"/>
      <c r="AK226" s="480"/>
    </row>
    <row r="227" spans="1:37" ht="36" customHeight="1" x14ac:dyDescent="0.4">
      <c r="A227" s="477" t="s">
        <v>294</v>
      </c>
      <c r="B227" s="292" t="s">
        <v>269</v>
      </c>
      <c r="C227" s="258">
        <v>7941</v>
      </c>
      <c r="D227" s="258">
        <v>32619</v>
      </c>
      <c r="E227" s="258">
        <v>3837</v>
      </c>
      <c r="F227" s="258">
        <v>18131</v>
      </c>
      <c r="G227" s="258">
        <v>1534</v>
      </c>
      <c r="H227" s="258">
        <v>4316</v>
      </c>
      <c r="I227" s="258">
        <v>2252</v>
      </c>
      <c r="J227" s="258"/>
      <c r="K227" s="258"/>
      <c r="L227" s="258">
        <v>35</v>
      </c>
      <c r="M227" s="258">
        <v>821</v>
      </c>
      <c r="N227" s="258">
        <v>690</v>
      </c>
      <c r="O227" s="258">
        <v>150</v>
      </c>
      <c r="P227" s="286">
        <f>SUM(C227:O227)</f>
        <v>72326</v>
      </c>
      <c r="Q227" s="258">
        <v>1100</v>
      </c>
      <c r="R227" s="258">
        <v>2359</v>
      </c>
      <c r="S227" s="258">
        <v>1907</v>
      </c>
      <c r="T227" s="258">
        <v>2634</v>
      </c>
      <c r="U227" s="258">
        <v>2144</v>
      </c>
      <c r="V227" s="258">
        <v>748</v>
      </c>
      <c r="W227" s="258">
        <v>277</v>
      </c>
      <c r="X227" s="258">
        <v>717</v>
      </c>
      <c r="Y227" s="67">
        <v>198</v>
      </c>
      <c r="Z227" s="67">
        <v>129</v>
      </c>
      <c r="AA227" s="261"/>
      <c r="AB227" s="286">
        <f>SUM(Q227:AA227)</f>
        <v>12213</v>
      </c>
      <c r="AC227" s="287">
        <f>P227+AB227</f>
        <v>84539</v>
      </c>
      <c r="AD227" s="278">
        <v>14</v>
      </c>
      <c r="AE227" s="278">
        <v>3</v>
      </c>
      <c r="AF227" s="278">
        <v>4</v>
      </c>
      <c r="AG227" s="279">
        <f>SUM(AD227:AF227)</f>
        <v>21</v>
      </c>
      <c r="AH227" s="478">
        <v>1840</v>
      </c>
      <c r="AI227" s="478">
        <v>2521</v>
      </c>
      <c r="AJ227" s="478">
        <v>1084</v>
      </c>
      <c r="AK227" s="478">
        <f>SUM(AH227:AJ232)</f>
        <v>5445</v>
      </c>
    </row>
    <row r="228" spans="1:37" ht="36" customHeight="1" x14ac:dyDescent="0.4">
      <c r="A228" s="477"/>
      <c r="B228" s="292" t="s">
        <v>265</v>
      </c>
      <c r="C228" s="258">
        <v>35.734499999999997</v>
      </c>
      <c r="D228" s="258">
        <v>146.78549999999998</v>
      </c>
      <c r="E228" s="258">
        <v>17.266499999999997</v>
      </c>
      <c r="F228" s="258">
        <v>81.589499999999987</v>
      </c>
      <c r="G228" s="258">
        <v>0</v>
      </c>
      <c r="H228" s="258">
        <v>0</v>
      </c>
      <c r="I228" s="258">
        <v>0</v>
      </c>
      <c r="J228" s="258"/>
      <c r="K228" s="258"/>
      <c r="L228" s="258">
        <v>0</v>
      </c>
      <c r="M228" s="258">
        <v>4.1050000000000004</v>
      </c>
      <c r="N228" s="258">
        <v>3.45</v>
      </c>
      <c r="O228" s="258">
        <v>0</v>
      </c>
      <c r="P228" s="286">
        <f>SUM(C228:O228)</f>
        <v>288.93099999999998</v>
      </c>
      <c r="Q228" s="258">
        <v>11</v>
      </c>
      <c r="R228" s="258">
        <v>0</v>
      </c>
      <c r="S228" s="258">
        <v>0</v>
      </c>
      <c r="T228" s="258">
        <v>26.34</v>
      </c>
      <c r="U228" s="258">
        <v>0</v>
      </c>
      <c r="V228" s="258">
        <v>0</v>
      </c>
      <c r="W228" s="258">
        <v>0</v>
      </c>
      <c r="X228" s="258">
        <v>100.38000000000001</v>
      </c>
      <c r="Y228" s="258">
        <v>0</v>
      </c>
      <c r="Z228" s="67">
        <v>25.8</v>
      </c>
      <c r="AA228" s="261"/>
      <c r="AB228" s="286">
        <f>SUM(Q228:AA228)</f>
        <v>163.52000000000004</v>
      </c>
      <c r="AC228" s="287">
        <f>P228+AB228</f>
        <v>452.45100000000002</v>
      </c>
      <c r="AD228" s="278"/>
      <c r="AE228" s="278"/>
      <c r="AF228" s="278"/>
      <c r="AG228" s="279"/>
      <c r="AH228" s="479"/>
      <c r="AI228" s="479"/>
      <c r="AJ228" s="479"/>
      <c r="AK228" s="479"/>
    </row>
    <row r="229" spans="1:37" ht="36" customHeight="1" x14ac:dyDescent="0.4">
      <c r="A229" s="477"/>
      <c r="B229" s="304" t="s">
        <v>284</v>
      </c>
      <c r="C229" s="114">
        <v>9252</v>
      </c>
      <c r="D229" s="114">
        <v>37456</v>
      </c>
      <c r="E229" s="114">
        <v>4675</v>
      </c>
      <c r="F229" s="114">
        <v>21619</v>
      </c>
      <c r="G229" s="114">
        <v>1602</v>
      </c>
      <c r="H229" s="114">
        <v>6242</v>
      </c>
      <c r="I229" s="114">
        <v>2442</v>
      </c>
      <c r="J229" s="114"/>
      <c r="K229" s="114"/>
      <c r="L229" s="114">
        <v>102</v>
      </c>
      <c r="M229" s="114">
        <v>876</v>
      </c>
      <c r="N229" s="114">
        <v>1147</v>
      </c>
      <c r="O229" s="56">
        <v>151</v>
      </c>
      <c r="P229" s="286">
        <f>SUM(C229:O229)</f>
        <v>85564</v>
      </c>
      <c r="Q229" s="56">
        <v>1242</v>
      </c>
      <c r="R229" s="114">
        <v>2718</v>
      </c>
      <c r="S229" s="114">
        <v>2020</v>
      </c>
      <c r="T229" s="114">
        <v>3147</v>
      </c>
      <c r="U229" s="114">
        <v>4086</v>
      </c>
      <c r="V229" s="114">
        <v>851</v>
      </c>
      <c r="W229" s="114">
        <v>292</v>
      </c>
      <c r="X229" s="114">
        <v>852</v>
      </c>
      <c r="Y229" s="114">
        <v>204</v>
      </c>
      <c r="Z229" s="114">
        <v>164</v>
      </c>
      <c r="AA229" s="261"/>
      <c r="AB229" s="286">
        <f>SUM(Q229:AA229)</f>
        <v>15576</v>
      </c>
      <c r="AC229" s="287">
        <f>P229+AB229</f>
        <v>101140</v>
      </c>
      <c r="AD229" s="263"/>
      <c r="AE229" s="263"/>
      <c r="AF229" s="263"/>
      <c r="AG229" s="263"/>
      <c r="AH229" s="479"/>
      <c r="AI229" s="479"/>
      <c r="AJ229" s="479"/>
      <c r="AK229" s="479"/>
    </row>
    <row r="230" spans="1:37" ht="36" customHeight="1" x14ac:dyDescent="0.4">
      <c r="A230" s="477"/>
      <c r="B230" s="304" t="s">
        <v>285</v>
      </c>
      <c r="C230" s="469">
        <f>C227+D227+E227+F227+C228+D228+E228+F228</f>
        <v>62809.375999999997</v>
      </c>
      <c r="D230" s="470"/>
      <c r="E230" s="470"/>
      <c r="F230" s="471"/>
      <c r="G230" s="469">
        <f>G227+H227+I227+G228+H228+I228</f>
        <v>8102</v>
      </c>
      <c r="H230" s="470"/>
      <c r="I230" s="471"/>
      <c r="J230" s="273"/>
      <c r="K230" s="273"/>
      <c r="L230" s="469">
        <f>L227+M227+N227+L228+M228+N228</f>
        <v>1553.5550000000001</v>
      </c>
      <c r="M230" s="470"/>
      <c r="N230" s="471"/>
      <c r="O230" s="114"/>
      <c r="P230" s="286"/>
      <c r="Q230" s="469">
        <f>Q227+R227+S227+Q228+R228+S228</f>
        <v>5377</v>
      </c>
      <c r="R230" s="470"/>
      <c r="S230" s="471"/>
      <c r="T230" s="114"/>
      <c r="U230" s="114"/>
      <c r="V230" s="114"/>
      <c r="W230" s="114"/>
      <c r="X230" s="114"/>
      <c r="Y230" s="114"/>
      <c r="Z230" s="114"/>
      <c r="AA230" s="261"/>
      <c r="AB230" s="286"/>
      <c r="AC230" s="287"/>
      <c r="AD230" s="263"/>
      <c r="AE230" s="263"/>
      <c r="AF230" s="263"/>
      <c r="AG230" s="263"/>
      <c r="AH230" s="479"/>
      <c r="AI230" s="479"/>
      <c r="AJ230" s="479"/>
      <c r="AK230" s="479"/>
    </row>
    <row r="231" spans="1:37" ht="36" customHeight="1" x14ac:dyDescent="0.4">
      <c r="A231" s="477"/>
      <c r="B231" s="304" t="s">
        <v>247</v>
      </c>
      <c r="C231" s="469">
        <f>C229+D229+E229+F229</f>
        <v>73002</v>
      </c>
      <c r="D231" s="470"/>
      <c r="E231" s="470"/>
      <c r="F231" s="471"/>
      <c r="G231" s="469">
        <f>G229+H229+I229</f>
        <v>10286</v>
      </c>
      <c r="H231" s="470"/>
      <c r="I231" s="471"/>
      <c r="J231" s="273"/>
      <c r="K231" s="273"/>
      <c r="L231" s="469">
        <f>L229+M229+N229</f>
        <v>2125</v>
      </c>
      <c r="M231" s="470"/>
      <c r="N231" s="471"/>
      <c r="O231" s="114"/>
      <c r="P231" s="286"/>
      <c r="Q231" s="469">
        <f>Q229+R229+S229</f>
        <v>5980</v>
      </c>
      <c r="R231" s="470"/>
      <c r="S231" s="471"/>
      <c r="T231" s="114"/>
      <c r="U231" s="114"/>
      <c r="V231" s="114"/>
      <c r="W231" s="114"/>
      <c r="X231" s="114"/>
      <c r="Y231" s="114"/>
      <c r="Z231" s="114"/>
      <c r="AA231" s="261"/>
      <c r="AB231" s="286"/>
      <c r="AC231" s="287"/>
      <c r="AD231" s="263"/>
      <c r="AE231" s="263"/>
      <c r="AF231" s="263"/>
      <c r="AG231" s="263"/>
      <c r="AH231" s="479"/>
      <c r="AI231" s="479"/>
      <c r="AJ231" s="479"/>
      <c r="AK231" s="479"/>
    </row>
    <row r="232" spans="1:37" ht="36" customHeight="1" x14ac:dyDescent="0.4">
      <c r="A232" s="477"/>
      <c r="B232" s="297" t="s">
        <v>262</v>
      </c>
      <c r="C232" s="472">
        <f>C230/C231</f>
        <v>0.86037883893591949</v>
      </c>
      <c r="D232" s="473"/>
      <c r="E232" s="473"/>
      <c r="F232" s="474"/>
      <c r="G232" s="472">
        <f>G230/G231</f>
        <v>0.7876725646509819</v>
      </c>
      <c r="H232" s="473"/>
      <c r="I232" s="474"/>
      <c r="J232" s="276"/>
      <c r="K232" s="276"/>
      <c r="L232" s="472">
        <f>L230/L231</f>
        <v>0.73108470588235297</v>
      </c>
      <c r="M232" s="473"/>
      <c r="N232" s="474"/>
      <c r="O232" s="280">
        <f>(O227+O228)/O229</f>
        <v>0.99337748344370858</v>
      </c>
      <c r="P232" s="290">
        <f>(P227+P228)/P229</f>
        <v>0.84866218269365612</v>
      </c>
      <c r="Q232" s="472">
        <f>Q230/Q231</f>
        <v>0.89916387959866217</v>
      </c>
      <c r="R232" s="473"/>
      <c r="S232" s="474"/>
      <c r="T232" s="280">
        <f t="shared" ref="T232:Z232" si="39">(T227+T228)/T229</f>
        <v>0.8453574833174452</v>
      </c>
      <c r="U232" s="280">
        <f t="shared" si="39"/>
        <v>0.52471855115026922</v>
      </c>
      <c r="V232" s="280">
        <f t="shared" si="39"/>
        <v>0.87896592244418337</v>
      </c>
      <c r="W232" s="280">
        <f t="shared" si="39"/>
        <v>0.94863013698630139</v>
      </c>
      <c r="X232" s="280">
        <f t="shared" si="39"/>
        <v>0.95936619718309857</v>
      </c>
      <c r="Y232" s="280">
        <f t="shared" si="39"/>
        <v>0.97058823529411764</v>
      </c>
      <c r="Z232" s="280">
        <f t="shared" si="39"/>
        <v>0.94390243902439031</v>
      </c>
      <c r="AA232" s="265"/>
      <c r="AB232" s="290">
        <f>(AB227+AB228)/AB229</f>
        <v>0.79458911145351829</v>
      </c>
      <c r="AC232" s="291">
        <f>(AC227+AC228)/AC229</f>
        <v>0.84033469448289499</v>
      </c>
      <c r="AD232" s="281">
        <f>AD227/$AG$173</f>
        <v>0.66666666666666663</v>
      </c>
      <c r="AE232" s="281">
        <f>AE227/$AG$173</f>
        <v>0.14285714285714285</v>
      </c>
      <c r="AF232" s="281">
        <f>AF227/$AG$173</f>
        <v>0.19047619047619047</v>
      </c>
      <c r="AG232" s="305">
        <f>AG227/$AG$173</f>
        <v>1</v>
      </c>
      <c r="AH232" s="480"/>
      <c r="AI232" s="480"/>
      <c r="AJ232" s="480"/>
      <c r="AK232" s="480"/>
    </row>
    <row r="233" spans="1:37" ht="36" customHeight="1" x14ac:dyDescent="0.4">
      <c r="A233" s="477" t="s">
        <v>295</v>
      </c>
      <c r="B233" s="292" t="s">
        <v>269</v>
      </c>
      <c r="C233" s="258">
        <v>8037</v>
      </c>
      <c r="D233" s="258">
        <v>32045</v>
      </c>
      <c r="E233" s="258">
        <v>3837</v>
      </c>
      <c r="F233" s="258">
        <v>18896</v>
      </c>
      <c r="G233" s="258">
        <v>1534</v>
      </c>
      <c r="H233" s="258">
        <v>4358</v>
      </c>
      <c r="I233" s="258">
        <v>2264</v>
      </c>
      <c r="J233" s="258"/>
      <c r="K233" s="258"/>
      <c r="L233" s="258">
        <v>34</v>
      </c>
      <c r="M233" s="258">
        <v>816</v>
      </c>
      <c r="N233" s="258">
        <v>692</v>
      </c>
      <c r="O233" s="258">
        <v>149</v>
      </c>
      <c r="P233" s="286">
        <f>SUM(C233:O233)</f>
        <v>72662</v>
      </c>
      <c r="Q233" s="258">
        <v>1124</v>
      </c>
      <c r="R233" s="258">
        <v>2371</v>
      </c>
      <c r="S233" s="258">
        <v>1892</v>
      </c>
      <c r="T233" s="258">
        <v>2637</v>
      </c>
      <c r="U233" s="258">
        <v>2181</v>
      </c>
      <c r="V233" s="258">
        <v>749</v>
      </c>
      <c r="W233" s="258">
        <v>276</v>
      </c>
      <c r="X233" s="258">
        <v>699</v>
      </c>
      <c r="Y233" s="67">
        <v>202</v>
      </c>
      <c r="Z233" s="67">
        <v>129</v>
      </c>
      <c r="AA233" s="261"/>
      <c r="AB233" s="286">
        <f>SUM(Q233:AA233)</f>
        <v>12260</v>
      </c>
      <c r="AC233" s="287">
        <f>P233+AB233</f>
        <v>84922</v>
      </c>
      <c r="AD233" s="278">
        <v>14</v>
      </c>
      <c r="AE233" s="278">
        <v>3</v>
      </c>
      <c r="AF233" s="278">
        <v>4</v>
      </c>
      <c r="AG233" s="279">
        <f>SUM(AD233:AF233)</f>
        <v>21</v>
      </c>
      <c r="AH233" s="478">
        <v>2123</v>
      </c>
      <c r="AI233" s="478">
        <v>3653</v>
      </c>
      <c r="AJ233" s="478">
        <v>1937</v>
      </c>
      <c r="AK233" s="478">
        <f>SUM(AH233:AJ238)</f>
        <v>7713</v>
      </c>
    </row>
    <row r="234" spans="1:37" ht="36" customHeight="1" x14ac:dyDescent="0.4">
      <c r="A234" s="477"/>
      <c r="B234" s="292" t="s">
        <v>265</v>
      </c>
      <c r="C234" s="258">
        <v>36.166499999999999</v>
      </c>
      <c r="D234" s="258">
        <v>144.20249999999999</v>
      </c>
      <c r="E234" s="258">
        <v>17.266499999999997</v>
      </c>
      <c r="F234" s="258">
        <v>85.031999999999996</v>
      </c>
      <c r="G234" s="258">
        <v>0</v>
      </c>
      <c r="H234" s="258">
        <v>0</v>
      </c>
      <c r="I234" s="258">
        <v>0</v>
      </c>
      <c r="J234" s="258"/>
      <c r="K234" s="258"/>
      <c r="L234" s="258">
        <v>0</v>
      </c>
      <c r="M234" s="258">
        <v>4.08</v>
      </c>
      <c r="N234" s="258">
        <v>3.46</v>
      </c>
      <c r="O234" s="258">
        <v>0</v>
      </c>
      <c r="P234" s="286">
        <f>SUM(C234:O234)</f>
        <v>290.20749999999992</v>
      </c>
      <c r="Q234" s="258">
        <v>11.24</v>
      </c>
      <c r="R234" s="258">
        <v>0</v>
      </c>
      <c r="S234" s="258">
        <v>0</v>
      </c>
      <c r="T234" s="258">
        <v>26.37</v>
      </c>
      <c r="U234" s="258">
        <v>0</v>
      </c>
      <c r="V234" s="258">
        <v>0</v>
      </c>
      <c r="W234" s="258">
        <v>0</v>
      </c>
      <c r="X234" s="258">
        <v>97.860000000000014</v>
      </c>
      <c r="Y234" s="258">
        <v>0</v>
      </c>
      <c r="Z234" s="67">
        <v>25.8</v>
      </c>
      <c r="AA234" s="261"/>
      <c r="AB234" s="286">
        <f>SUM(Q234:AA234)</f>
        <v>161.27000000000004</v>
      </c>
      <c r="AC234" s="287">
        <f>P234+AB234</f>
        <v>451.47749999999996</v>
      </c>
      <c r="AD234" s="278"/>
      <c r="AE234" s="278"/>
      <c r="AF234" s="278"/>
      <c r="AG234" s="279"/>
      <c r="AH234" s="479"/>
      <c r="AI234" s="479"/>
      <c r="AJ234" s="479"/>
      <c r="AK234" s="479"/>
    </row>
    <row r="235" spans="1:37" ht="36" customHeight="1" x14ac:dyDescent="0.4">
      <c r="A235" s="477"/>
      <c r="B235" s="304" t="s">
        <v>284</v>
      </c>
      <c r="C235" s="114">
        <v>9252</v>
      </c>
      <c r="D235" s="114">
        <v>37456</v>
      </c>
      <c r="E235" s="114">
        <v>4675</v>
      </c>
      <c r="F235" s="114">
        <v>21619</v>
      </c>
      <c r="G235" s="114">
        <v>1602</v>
      </c>
      <c r="H235" s="114">
        <v>6242</v>
      </c>
      <c r="I235" s="114">
        <v>2442</v>
      </c>
      <c r="J235" s="114"/>
      <c r="K235" s="114"/>
      <c r="L235" s="114">
        <v>102</v>
      </c>
      <c r="M235" s="114">
        <v>876</v>
      </c>
      <c r="N235" s="114">
        <v>1147</v>
      </c>
      <c r="O235" s="56">
        <v>151</v>
      </c>
      <c r="P235" s="286">
        <f>SUM(C235:O235)</f>
        <v>85564</v>
      </c>
      <c r="Q235" s="56">
        <v>1242</v>
      </c>
      <c r="R235" s="114">
        <v>2718</v>
      </c>
      <c r="S235" s="114">
        <v>2020</v>
      </c>
      <c r="T235" s="114">
        <v>3147</v>
      </c>
      <c r="U235" s="114">
        <v>4086</v>
      </c>
      <c r="V235" s="114">
        <v>851</v>
      </c>
      <c r="W235" s="114">
        <v>292</v>
      </c>
      <c r="X235" s="114">
        <v>852</v>
      </c>
      <c r="Y235" s="114">
        <v>204</v>
      </c>
      <c r="Z235" s="114">
        <v>164</v>
      </c>
      <c r="AA235" s="261"/>
      <c r="AB235" s="286">
        <f>SUM(Q235:AA235)</f>
        <v>15576</v>
      </c>
      <c r="AC235" s="287">
        <f>P235+AB235</f>
        <v>101140</v>
      </c>
      <c r="AD235" s="263"/>
      <c r="AE235" s="263"/>
      <c r="AF235" s="263"/>
      <c r="AG235" s="263"/>
      <c r="AH235" s="479"/>
      <c r="AI235" s="479"/>
      <c r="AJ235" s="479"/>
      <c r="AK235" s="479"/>
    </row>
    <row r="236" spans="1:37" ht="36" customHeight="1" x14ac:dyDescent="0.4">
      <c r="A236" s="477"/>
      <c r="B236" s="304" t="s">
        <v>285</v>
      </c>
      <c r="C236" s="469">
        <f>C233+D233+E233+F233+C234+D234+E234+F234</f>
        <v>63097.667499999996</v>
      </c>
      <c r="D236" s="470"/>
      <c r="E236" s="470"/>
      <c r="F236" s="471"/>
      <c r="G236" s="469">
        <f>G233+H233+I233+G234+H234+I234</f>
        <v>8156</v>
      </c>
      <c r="H236" s="470"/>
      <c r="I236" s="471"/>
      <c r="J236" s="273"/>
      <c r="K236" s="273"/>
      <c r="L236" s="469">
        <f>L233+M233+N233+L234+M234+N234</f>
        <v>1549.54</v>
      </c>
      <c r="M236" s="470"/>
      <c r="N236" s="471"/>
      <c r="O236" s="114"/>
      <c r="P236" s="286"/>
      <c r="Q236" s="469">
        <f>Q233+R233+S233+Q234+R234+S234</f>
        <v>5398.24</v>
      </c>
      <c r="R236" s="470"/>
      <c r="S236" s="471"/>
      <c r="T236" s="114"/>
      <c r="U236" s="114"/>
      <c r="V236" s="114"/>
      <c r="W236" s="114"/>
      <c r="X236" s="114"/>
      <c r="Y236" s="114"/>
      <c r="Z236" s="114"/>
      <c r="AA236" s="261"/>
      <c r="AB236" s="286"/>
      <c r="AC236" s="287"/>
      <c r="AD236" s="263"/>
      <c r="AE236" s="263"/>
      <c r="AF236" s="263"/>
      <c r="AG236" s="263"/>
      <c r="AH236" s="479"/>
      <c r="AI236" s="479"/>
      <c r="AJ236" s="479"/>
      <c r="AK236" s="479"/>
    </row>
    <row r="237" spans="1:37" ht="36" customHeight="1" x14ac:dyDescent="0.4">
      <c r="A237" s="477"/>
      <c r="B237" s="304" t="s">
        <v>247</v>
      </c>
      <c r="C237" s="469">
        <f>C235+D235+E235+F235</f>
        <v>73002</v>
      </c>
      <c r="D237" s="470"/>
      <c r="E237" s="470"/>
      <c r="F237" s="471"/>
      <c r="G237" s="469">
        <f>G235+H235+I235</f>
        <v>10286</v>
      </c>
      <c r="H237" s="470"/>
      <c r="I237" s="471"/>
      <c r="J237" s="273"/>
      <c r="K237" s="273"/>
      <c r="L237" s="469">
        <f>L235+M235+N235</f>
        <v>2125</v>
      </c>
      <c r="M237" s="470"/>
      <c r="N237" s="471"/>
      <c r="O237" s="114"/>
      <c r="P237" s="286"/>
      <c r="Q237" s="469">
        <f>Q235+R235+S235</f>
        <v>5980</v>
      </c>
      <c r="R237" s="470"/>
      <c r="S237" s="471"/>
      <c r="T237" s="114"/>
      <c r="U237" s="114"/>
      <c r="V237" s="114"/>
      <c r="W237" s="114"/>
      <c r="X237" s="114"/>
      <c r="Y237" s="114"/>
      <c r="Z237" s="114"/>
      <c r="AA237" s="261"/>
      <c r="AB237" s="286"/>
      <c r="AC237" s="287"/>
      <c r="AD237" s="263"/>
      <c r="AE237" s="263"/>
      <c r="AF237" s="263"/>
      <c r="AG237" s="263"/>
      <c r="AH237" s="479"/>
      <c r="AI237" s="479"/>
      <c r="AJ237" s="479"/>
      <c r="AK237" s="479"/>
    </row>
    <row r="238" spans="1:37" ht="36" customHeight="1" x14ac:dyDescent="0.4">
      <c r="A238" s="477"/>
      <c r="B238" s="297" t="s">
        <v>262</v>
      </c>
      <c r="C238" s="472">
        <f>C236/C237</f>
        <v>0.86432792937179803</v>
      </c>
      <c r="D238" s="473"/>
      <c r="E238" s="473"/>
      <c r="F238" s="474"/>
      <c r="G238" s="472">
        <f>G236/G237</f>
        <v>0.79292241882169945</v>
      </c>
      <c r="H238" s="473"/>
      <c r="I238" s="474"/>
      <c r="J238" s="276"/>
      <c r="K238" s="276"/>
      <c r="L238" s="472">
        <f>L236/L237</f>
        <v>0.72919529411764705</v>
      </c>
      <c r="M238" s="473"/>
      <c r="N238" s="474"/>
      <c r="O238" s="280">
        <f>(O233+O234)/O235</f>
        <v>0.98675496688741726</v>
      </c>
      <c r="P238" s="290">
        <f>(P233+P234)/P235</f>
        <v>0.85260398648964519</v>
      </c>
      <c r="Q238" s="472">
        <f>Q236/Q237</f>
        <v>0.90271571906354509</v>
      </c>
      <c r="R238" s="473"/>
      <c r="S238" s="474"/>
      <c r="T238" s="280">
        <f t="shared" ref="T238:Z238" si="40">(T233+T234)/T235</f>
        <v>0.84632030505243083</v>
      </c>
      <c r="U238" s="280">
        <f t="shared" si="40"/>
        <v>0.53377386196769461</v>
      </c>
      <c r="V238" s="280">
        <f t="shared" si="40"/>
        <v>0.88014101057579319</v>
      </c>
      <c r="W238" s="280">
        <f t="shared" si="40"/>
        <v>0.9452054794520548</v>
      </c>
      <c r="X238" s="280">
        <f t="shared" si="40"/>
        <v>0.93528169014084506</v>
      </c>
      <c r="Y238" s="280">
        <f t="shared" si="40"/>
        <v>0.99019607843137258</v>
      </c>
      <c r="Z238" s="280">
        <f t="shared" si="40"/>
        <v>0.94390243902439031</v>
      </c>
      <c r="AA238" s="265"/>
      <c r="AB238" s="290">
        <f>(AB233+AB234)/AB235</f>
        <v>0.79746212121212123</v>
      </c>
      <c r="AC238" s="291">
        <f>(AC233+AC234)/AC235</f>
        <v>0.84411189934743913</v>
      </c>
      <c r="AD238" s="281">
        <f>AD233/$AG$173</f>
        <v>0.66666666666666663</v>
      </c>
      <c r="AE238" s="281">
        <f>AE233/$AG$173</f>
        <v>0.14285714285714285</v>
      </c>
      <c r="AF238" s="281">
        <f>AF233/$AG$173</f>
        <v>0.19047619047619047</v>
      </c>
      <c r="AG238" s="305">
        <f>AG233/$AG$173</f>
        <v>1</v>
      </c>
      <c r="AH238" s="480"/>
      <c r="AI238" s="480"/>
      <c r="AJ238" s="480"/>
      <c r="AK238" s="480"/>
    </row>
    <row r="239" spans="1:37" ht="36" customHeight="1" x14ac:dyDescent="0.4">
      <c r="A239" s="477" t="s">
        <v>296</v>
      </c>
      <c r="B239" s="292" t="s">
        <v>269</v>
      </c>
      <c r="C239" s="258">
        <v>8074</v>
      </c>
      <c r="D239" s="258">
        <v>30954</v>
      </c>
      <c r="E239" s="258">
        <v>3744</v>
      </c>
      <c r="F239" s="258">
        <v>19545</v>
      </c>
      <c r="G239" s="258">
        <v>1527</v>
      </c>
      <c r="H239" s="258">
        <v>3991</v>
      </c>
      <c r="I239" s="258">
        <v>2283</v>
      </c>
      <c r="J239" s="258"/>
      <c r="K239" s="258"/>
      <c r="L239" s="258">
        <v>35</v>
      </c>
      <c r="M239" s="258">
        <v>823</v>
      </c>
      <c r="N239" s="258">
        <v>690</v>
      </c>
      <c r="O239" s="258">
        <v>151</v>
      </c>
      <c r="P239" s="286">
        <f>SUM(C239:O239)</f>
        <v>71817</v>
      </c>
      <c r="Q239" s="258">
        <v>1132</v>
      </c>
      <c r="R239" s="258">
        <v>2380</v>
      </c>
      <c r="S239" s="258">
        <v>1906</v>
      </c>
      <c r="T239" s="258">
        <v>2559</v>
      </c>
      <c r="U239" s="258">
        <v>2002</v>
      </c>
      <c r="V239" s="258">
        <v>755</v>
      </c>
      <c r="W239" s="258">
        <v>277</v>
      </c>
      <c r="X239" s="258">
        <v>702</v>
      </c>
      <c r="Y239" s="67">
        <v>204</v>
      </c>
      <c r="Z239" s="67">
        <v>129</v>
      </c>
      <c r="AA239" s="261"/>
      <c r="AB239" s="286">
        <f>SUM(Q239:AA239)</f>
        <v>12046</v>
      </c>
      <c r="AC239" s="287">
        <f>P239+AB239</f>
        <v>83863</v>
      </c>
      <c r="AD239" s="278">
        <v>14</v>
      </c>
      <c r="AE239" s="278">
        <v>3</v>
      </c>
      <c r="AF239" s="278">
        <v>4</v>
      </c>
      <c r="AG239" s="279">
        <f>SUM(AD239:AF239)</f>
        <v>21</v>
      </c>
      <c r="AH239" s="478">
        <v>1878</v>
      </c>
      <c r="AI239" s="478">
        <v>4670</v>
      </c>
      <c r="AJ239" s="478">
        <v>1760</v>
      </c>
      <c r="AK239" s="478">
        <f>SUM(AH239:AJ244)</f>
        <v>8308</v>
      </c>
    </row>
    <row r="240" spans="1:37" ht="36" customHeight="1" x14ac:dyDescent="0.4">
      <c r="A240" s="477"/>
      <c r="B240" s="292" t="s">
        <v>265</v>
      </c>
      <c r="C240" s="258">
        <v>36.332999999999998</v>
      </c>
      <c r="D240" s="258">
        <v>139.29299999999998</v>
      </c>
      <c r="E240" s="258">
        <v>16.847999999999999</v>
      </c>
      <c r="F240" s="258">
        <v>87.952499999999986</v>
      </c>
      <c r="G240" s="258">
        <v>0</v>
      </c>
      <c r="H240" s="258">
        <v>0</v>
      </c>
      <c r="I240" s="258">
        <v>0</v>
      </c>
      <c r="J240" s="258"/>
      <c r="K240" s="258"/>
      <c r="L240" s="258">
        <v>0</v>
      </c>
      <c r="M240" s="258">
        <v>4.1150000000000002</v>
      </c>
      <c r="N240" s="258">
        <v>3.45</v>
      </c>
      <c r="O240" s="258">
        <v>0</v>
      </c>
      <c r="P240" s="286">
        <f>SUM(C240:O240)</f>
        <v>287.99149999999997</v>
      </c>
      <c r="Q240" s="258">
        <v>11.32</v>
      </c>
      <c r="R240" s="258">
        <v>0</v>
      </c>
      <c r="S240" s="258">
        <v>0</v>
      </c>
      <c r="T240" s="258">
        <v>25.59</v>
      </c>
      <c r="U240" s="258">
        <v>0</v>
      </c>
      <c r="V240" s="258">
        <v>0</v>
      </c>
      <c r="W240" s="258">
        <v>0</v>
      </c>
      <c r="X240" s="258">
        <v>98.280000000000015</v>
      </c>
      <c r="Y240" s="258">
        <v>0</v>
      </c>
      <c r="Z240" s="67">
        <v>25.8</v>
      </c>
      <c r="AA240" s="261"/>
      <c r="AB240" s="286">
        <f>SUM(Q240:AA240)</f>
        <v>160.99</v>
      </c>
      <c r="AC240" s="287">
        <f>P240+AB240</f>
        <v>448.98149999999998</v>
      </c>
      <c r="AD240" s="278"/>
      <c r="AE240" s="278"/>
      <c r="AF240" s="278"/>
      <c r="AG240" s="279"/>
      <c r="AH240" s="479"/>
      <c r="AI240" s="479"/>
      <c r="AJ240" s="479"/>
      <c r="AK240" s="479"/>
    </row>
    <row r="241" spans="1:37" ht="36" customHeight="1" x14ac:dyDescent="0.4">
      <c r="A241" s="477"/>
      <c r="B241" s="304" t="s">
        <v>284</v>
      </c>
      <c r="C241" s="114">
        <v>9252</v>
      </c>
      <c r="D241" s="114">
        <v>37456</v>
      </c>
      <c r="E241" s="114">
        <v>4675</v>
      </c>
      <c r="F241" s="114">
        <v>21619</v>
      </c>
      <c r="G241" s="114">
        <v>1602</v>
      </c>
      <c r="H241" s="114">
        <v>6242</v>
      </c>
      <c r="I241" s="114">
        <v>2442</v>
      </c>
      <c r="J241" s="114"/>
      <c r="K241" s="114"/>
      <c r="L241" s="114">
        <v>102</v>
      </c>
      <c r="M241" s="114">
        <v>876</v>
      </c>
      <c r="N241" s="114">
        <v>1147</v>
      </c>
      <c r="O241" s="56">
        <v>151</v>
      </c>
      <c r="P241" s="286">
        <f>SUM(C241:O241)</f>
        <v>85564</v>
      </c>
      <c r="Q241" s="56">
        <v>1242</v>
      </c>
      <c r="R241" s="114">
        <v>2718</v>
      </c>
      <c r="S241" s="114">
        <v>2020</v>
      </c>
      <c r="T241" s="114">
        <v>3147</v>
      </c>
      <c r="U241" s="114">
        <v>4086</v>
      </c>
      <c r="V241" s="114">
        <v>851</v>
      </c>
      <c r="W241" s="114">
        <v>292</v>
      </c>
      <c r="X241" s="114">
        <v>852</v>
      </c>
      <c r="Y241" s="114">
        <v>204</v>
      </c>
      <c r="Z241" s="114">
        <v>164</v>
      </c>
      <c r="AA241" s="261"/>
      <c r="AB241" s="286">
        <f>SUM(Q241:AA241)</f>
        <v>15576</v>
      </c>
      <c r="AC241" s="287">
        <f>P241+AB241</f>
        <v>101140</v>
      </c>
      <c r="AD241" s="263"/>
      <c r="AE241" s="263"/>
      <c r="AF241" s="263"/>
      <c r="AG241" s="263"/>
      <c r="AH241" s="479"/>
      <c r="AI241" s="479"/>
      <c r="AJ241" s="479"/>
      <c r="AK241" s="479"/>
    </row>
    <row r="242" spans="1:37" ht="36" customHeight="1" x14ac:dyDescent="0.4">
      <c r="A242" s="477"/>
      <c r="B242" s="304" t="s">
        <v>285</v>
      </c>
      <c r="C242" s="469">
        <f>C239+D239+E239+F239+C240+D240+E240+F240</f>
        <v>62597.426499999994</v>
      </c>
      <c r="D242" s="470"/>
      <c r="E242" s="470"/>
      <c r="F242" s="471"/>
      <c r="G242" s="469">
        <f>G239+H239+I239+G240+H240+I240</f>
        <v>7801</v>
      </c>
      <c r="H242" s="470"/>
      <c r="I242" s="471"/>
      <c r="J242" s="273"/>
      <c r="K242" s="273"/>
      <c r="L242" s="469">
        <f>L239+M239+N239+L240+M240+N240</f>
        <v>1555.5650000000001</v>
      </c>
      <c r="M242" s="470"/>
      <c r="N242" s="471"/>
      <c r="O242" s="114"/>
      <c r="P242" s="286"/>
      <c r="Q242" s="469">
        <f>Q239+R239+S239+Q240+R240+S240</f>
        <v>5429.32</v>
      </c>
      <c r="R242" s="470"/>
      <c r="S242" s="471"/>
      <c r="T242" s="114"/>
      <c r="U242" s="114"/>
      <c r="V242" s="114"/>
      <c r="W242" s="114"/>
      <c r="X242" s="114"/>
      <c r="Y242" s="114"/>
      <c r="Z242" s="114"/>
      <c r="AA242" s="261"/>
      <c r="AB242" s="286"/>
      <c r="AC242" s="287"/>
      <c r="AD242" s="263"/>
      <c r="AE242" s="263"/>
      <c r="AF242" s="263"/>
      <c r="AG242" s="263"/>
      <c r="AH242" s="479"/>
      <c r="AI242" s="479"/>
      <c r="AJ242" s="479"/>
      <c r="AK242" s="479"/>
    </row>
    <row r="243" spans="1:37" ht="36" customHeight="1" x14ac:dyDescent="0.4">
      <c r="A243" s="477"/>
      <c r="B243" s="304" t="s">
        <v>247</v>
      </c>
      <c r="C243" s="469">
        <f>C241+D241+E241+F241</f>
        <v>73002</v>
      </c>
      <c r="D243" s="470"/>
      <c r="E243" s="470"/>
      <c r="F243" s="471"/>
      <c r="G243" s="469">
        <f>G241+H241+I241</f>
        <v>10286</v>
      </c>
      <c r="H243" s="470"/>
      <c r="I243" s="471"/>
      <c r="J243" s="273"/>
      <c r="K243" s="273"/>
      <c r="L243" s="469">
        <f>L241+M241+N241</f>
        <v>2125</v>
      </c>
      <c r="M243" s="470"/>
      <c r="N243" s="471"/>
      <c r="O243" s="114"/>
      <c r="P243" s="286"/>
      <c r="Q243" s="469">
        <f>Q241+R241+S241</f>
        <v>5980</v>
      </c>
      <c r="R243" s="470"/>
      <c r="S243" s="471"/>
      <c r="T243" s="114"/>
      <c r="U243" s="114"/>
      <c r="V243" s="114"/>
      <c r="W243" s="114"/>
      <c r="X243" s="114"/>
      <c r="Y243" s="114"/>
      <c r="Z243" s="114"/>
      <c r="AA243" s="261"/>
      <c r="AB243" s="286"/>
      <c r="AC243" s="287"/>
      <c r="AD243" s="263"/>
      <c r="AE243" s="263"/>
      <c r="AF243" s="263"/>
      <c r="AG243" s="263"/>
      <c r="AH243" s="479"/>
      <c r="AI243" s="479"/>
      <c r="AJ243" s="479"/>
      <c r="AK243" s="479"/>
    </row>
    <row r="244" spans="1:37" ht="36" customHeight="1" x14ac:dyDescent="0.4">
      <c r="A244" s="477"/>
      <c r="B244" s="297" t="s">
        <v>262</v>
      </c>
      <c r="C244" s="472">
        <f>C242/C243</f>
        <v>0.85747550067121436</v>
      </c>
      <c r="D244" s="473"/>
      <c r="E244" s="473"/>
      <c r="F244" s="474"/>
      <c r="G244" s="472">
        <f>G242/G243</f>
        <v>0.75840948862531599</v>
      </c>
      <c r="H244" s="473"/>
      <c r="I244" s="474"/>
      <c r="J244" s="276"/>
      <c r="K244" s="276"/>
      <c r="L244" s="472">
        <f>L242/L243</f>
        <v>0.7320305882352941</v>
      </c>
      <c r="M244" s="473"/>
      <c r="N244" s="474"/>
      <c r="O244" s="280">
        <f>(O239+O240)/O241</f>
        <v>1</v>
      </c>
      <c r="P244" s="290">
        <f>(P239+P240)/P241</f>
        <v>0.84270243910990605</v>
      </c>
      <c r="Q244" s="472">
        <f>Q242/Q243</f>
        <v>0.90791304347826085</v>
      </c>
      <c r="R244" s="473"/>
      <c r="S244" s="474"/>
      <c r="T244" s="280">
        <f t="shared" ref="T244:Z244" si="41">(T239+T240)/T241</f>
        <v>0.82128693994280266</v>
      </c>
      <c r="U244" s="280">
        <f t="shared" si="41"/>
        <v>0.4899657366617719</v>
      </c>
      <c r="V244" s="280">
        <f t="shared" si="41"/>
        <v>0.88719153936545236</v>
      </c>
      <c r="W244" s="280">
        <f t="shared" si="41"/>
        <v>0.94863013698630139</v>
      </c>
      <c r="X244" s="280">
        <f t="shared" si="41"/>
        <v>0.93929577464788727</v>
      </c>
      <c r="Y244" s="280">
        <f t="shared" si="41"/>
        <v>1</v>
      </c>
      <c r="Z244" s="280">
        <f t="shared" si="41"/>
        <v>0.94390243902439031</v>
      </c>
      <c r="AA244" s="265"/>
      <c r="AB244" s="290">
        <f>(AB239+AB240)/AB241</f>
        <v>0.78370505906522858</v>
      </c>
      <c r="AC244" s="291">
        <f>(AC239+AC240)/AC241</f>
        <v>0.83361658592050614</v>
      </c>
      <c r="AD244" s="281">
        <f>AD239/$AG$173</f>
        <v>0.66666666666666663</v>
      </c>
      <c r="AE244" s="281">
        <f>AE239/$AG$173</f>
        <v>0.14285714285714285</v>
      </c>
      <c r="AF244" s="281">
        <f>AF239/$AG$173</f>
        <v>0.19047619047619047</v>
      </c>
      <c r="AG244" s="305">
        <f>AG239/$AG$173</f>
        <v>1</v>
      </c>
      <c r="AH244" s="480"/>
      <c r="AI244" s="480"/>
      <c r="AJ244" s="480"/>
      <c r="AK244" s="480"/>
    </row>
    <row r="245" spans="1:37" ht="36" customHeight="1" x14ac:dyDescent="0.4">
      <c r="A245" s="477" t="s">
        <v>297</v>
      </c>
      <c r="B245" s="292" t="s">
        <v>269</v>
      </c>
      <c r="C245" s="258">
        <v>7941</v>
      </c>
      <c r="D245" s="258">
        <v>31386</v>
      </c>
      <c r="E245" s="258">
        <v>3911</v>
      </c>
      <c r="F245" s="258">
        <v>19497</v>
      </c>
      <c r="G245" s="258">
        <v>1531</v>
      </c>
      <c r="H245" s="258">
        <v>3993</v>
      </c>
      <c r="I245" s="258">
        <v>2281</v>
      </c>
      <c r="J245" s="258"/>
      <c r="K245" s="258"/>
      <c r="L245" s="258">
        <v>32</v>
      </c>
      <c r="M245" s="258">
        <v>834</v>
      </c>
      <c r="N245" s="258">
        <v>690</v>
      </c>
      <c r="O245" s="258">
        <v>151</v>
      </c>
      <c r="P245" s="286">
        <f>SUM(C245:O245)</f>
        <v>72247</v>
      </c>
      <c r="Q245" s="258">
        <v>1136</v>
      </c>
      <c r="R245" s="258">
        <v>2421</v>
      </c>
      <c r="S245" s="258">
        <v>1900</v>
      </c>
      <c r="T245" s="258">
        <v>2624</v>
      </c>
      <c r="U245" s="258">
        <v>2017</v>
      </c>
      <c r="V245" s="258">
        <v>723</v>
      </c>
      <c r="W245" s="258">
        <v>278</v>
      </c>
      <c r="X245" s="258">
        <v>710</v>
      </c>
      <c r="Y245" s="67">
        <v>201</v>
      </c>
      <c r="Z245" s="67">
        <v>129</v>
      </c>
      <c r="AA245" s="261"/>
      <c r="AB245" s="286">
        <f>SUM(Q245:AA245)</f>
        <v>12139</v>
      </c>
      <c r="AC245" s="287">
        <f>P245+AB245</f>
        <v>84386</v>
      </c>
      <c r="AD245" s="278">
        <v>13</v>
      </c>
      <c r="AE245" s="278">
        <v>4</v>
      </c>
      <c r="AF245" s="278">
        <v>4</v>
      </c>
      <c r="AG245" s="279">
        <f>SUM(AD245:AF245)</f>
        <v>21</v>
      </c>
      <c r="AH245" s="478">
        <v>1872</v>
      </c>
      <c r="AI245" s="478">
        <v>2293</v>
      </c>
      <c r="AJ245" s="478">
        <v>962</v>
      </c>
      <c r="AK245" s="478">
        <f>SUM(AH245:AJ250)</f>
        <v>5127</v>
      </c>
    </row>
    <row r="246" spans="1:37" ht="36" customHeight="1" x14ac:dyDescent="0.4">
      <c r="A246" s="477"/>
      <c r="B246" s="292" t="s">
        <v>265</v>
      </c>
      <c r="C246" s="258">
        <v>35.734499999999997</v>
      </c>
      <c r="D246" s="258">
        <v>141.23699999999999</v>
      </c>
      <c r="E246" s="258">
        <v>17.599499999999999</v>
      </c>
      <c r="F246" s="258">
        <v>87.736499999999992</v>
      </c>
      <c r="G246" s="258">
        <v>0</v>
      </c>
      <c r="H246" s="258">
        <v>0</v>
      </c>
      <c r="I246" s="258">
        <v>0</v>
      </c>
      <c r="J246" s="258"/>
      <c r="K246" s="258"/>
      <c r="L246" s="258">
        <v>0</v>
      </c>
      <c r="M246" s="258">
        <v>4.17</v>
      </c>
      <c r="N246" s="258">
        <v>3.45</v>
      </c>
      <c r="O246" s="258">
        <v>0</v>
      </c>
      <c r="P246" s="286">
        <f>SUM(C246:O246)</f>
        <v>289.92750000000001</v>
      </c>
      <c r="Q246" s="258">
        <v>11.36</v>
      </c>
      <c r="R246" s="258">
        <v>0</v>
      </c>
      <c r="S246" s="258">
        <v>0</v>
      </c>
      <c r="T246" s="258">
        <v>26.240000000000002</v>
      </c>
      <c r="U246" s="258">
        <v>0</v>
      </c>
      <c r="V246" s="258">
        <v>0</v>
      </c>
      <c r="W246" s="258">
        <v>0</v>
      </c>
      <c r="X246" s="258">
        <v>177.5</v>
      </c>
      <c r="Y246" s="258">
        <v>0</v>
      </c>
      <c r="Z246" s="67">
        <v>25.8</v>
      </c>
      <c r="AA246" s="261"/>
      <c r="AB246" s="286">
        <f>SUM(Q246:AA246)</f>
        <v>240.9</v>
      </c>
      <c r="AC246" s="287">
        <f>P246+AB246</f>
        <v>530.82749999999999</v>
      </c>
      <c r="AD246" s="278"/>
      <c r="AE246" s="278"/>
      <c r="AF246" s="278"/>
      <c r="AG246" s="279"/>
      <c r="AH246" s="479"/>
      <c r="AI246" s="479"/>
      <c r="AJ246" s="479"/>
      <c r="AK246" s="479"/>
    </row>
    <row r="247" spans="1:37" ht="36" customHeight="1" x14ac:dyDescent="0.4">
      <c r="A247" s="477"/>
      <c r="B247" s="304" t="s">
        <v>284</v>
      </c>
      <c r="C247" s="114">
        <v>9252</v>
      </c>
      <c r="D247" s="114">
        <v>37456</v>
      </c>
      <c r="E247" s="114">
        <v>4675</v>
      </c>
      <c r="F247" s="114">
        <v>21619</v>
      </c>
      <c r="G247" s="114">
        <v>1602</v>
      </c>
      <c r="H247" s="114">
        <v>6242</v>
      </c>
      <c r="I247" s="114">
        <v>2505</v>
      </c>
      <c r="J247" s="114"/>
      <c r="K247" s="114"/>
      <c r="L247" s="114">
        <v>102</v>
      </c>
      <c r="M247" s="114">
        <v>876</v>
      </c>
      <c r="N247" s="114">
        <v>1147</v>
      </c>
      <c r="O247" s="56">
        <v>151</v>
      </c>
      <c r="P247" s="286">
        <f>SUM(C247:O247)</f>
        <v>85627</v>
      </c>
      <c r="Q247" s="56">
        <v>1242</v>
      </c>
      <c r="R247" s="114">
        <v>2718</v>
      </c>
      <c r="S247" s="114">
        <v>2020</v>
      </c>
      <c r="T247" s="114">
        <v>3147</v>
      </c>
      <c r="U247" s="114">
        <v>4086</v>
      </c>
      <c r="V247" s="114">
        <v>851</v>
      </c>
      <c r="W247" s="114">
        <v>292</v>
      </c>
      <c r="X247" s="114">
        <v>990</v>
      </c>
      <c r="Y247" s="114">
        <v>204</v>
      </c>
      <c r="Z247" s="114">
        <v>164</v>
      </c>
      <c r="AA247" s="261"/>
      <c r="AB247" s="286">
        <f>SUM(Q247:AA247)</f>
        <v>15714</v>
      </c>
      <c r="AC247" s="287">
        <f>P247+AB247</f>
        <v>101341</v>
      </c>
      <c r="AD247" s="263"/>
      <c r="AE247" s="263"/>
      <c r="AF247" s="263"/>
      <c r="AG247" s="263"/>
      <c r="AH247" s="479"/>
      <c r="AI247" s="479"/>
      <c r="AJ247" s="479"/>
      <c r="AK247" s="479"/>
    </row>
    <row r="248" spans="1:37" ht="36" customHeight="1" x14ac:dyDescent="0.4">
      <c r="A248" s="477"/>
      <c r="B248" s="304" t="s">
        <v>285</v>
      </c>
      <c r="C248" s="469">
        <f>C245+D245+E245+F245+C246+D246+E246+F246</f>
        <v>63017.307499999995</v>
      </c>
      <c r="D248" s="470"/>
      <c r="E248" s="470"/>
      <c r="F248" s="471"/>
      <c r="G248" s="469">
        <f>G245+H245+I245+G246+H246+I246</f>
        <v>7805</v>
      </c>
      <c r="H248" s="470"/>
      <c r="I248" s="471"/>
      <c r="J248" s="273"/>
      <c r="K248" s="273"/>
      <c r="L248" s="469">
        <f>L245+M245+N245+L246+M246+N246</f>
        <v>1563.6200000000001</v>
      </c>
      <c r="M248" s="470"/>
      <c r="N248" s="471"/>
      <c r="O248" s="114"/>
      <c r="P248" s="286"/>
      <c r="Q248" s="469">
        <f>Q245+R245+S245+Q246+R246+S246</f>
        <v>5468.36</v>
      </c>
      <c r="R248" s="470"/>
      <c r="S248" s="471"/>
      <c r="T248" s="114"/>
      <c r="U248" s="114"/>
      <c r="V248" s="114"/>
      <c r="W248" s="114"/>
      <c r="X248" s="114"/>
      <c r="Y248" s="114"/>
      <c r="Z248" s="114"/>
      <c r="AA248" s="261"/>
      <c r="AB248" s="286"/>
      <c r="AC248" s="287"/>
      <c r="AD248" s="263"/>
      <c r="AE248" s="263"/>
      <c r="AF248" s="263"/>
      <c r="AG248" s="263"/>
      <c r="AH248" s="479"/>
      <c r="AI248" s="479"/>
      <c r="AJ248" s="479"/>
      <c r="AK248" s="479"/>
    </row>
    <row r="249" spans="1:37" ht="36" customHeight="1" x14ac:dyDescent="0.4">
      <c r="A249" s="477"/>
      <c r="B249" s="304" t="s">
        <v>247</v>
      </c>
      <c r="C249" s="469">
        <f>C247+D247+E247+F247</f>
        <v>73002</v>
      </c>
      <c r="D249" s="470"/>
      <c r="E249" s="470"/>
      <c r="F249" s="471"/>
      <c r="G249" s="469">
        <f>G247+H247+I247</f>
        <v>10349</v>
      </c>
      <c r="H249" s="470"/>
      <c r="I249" s="471"/>
      <c r="J249" s="273"/>
      <c r="K249" s="273"/>
      <c r="L249" s="469">
        <f>L247+M247+N247</f>
        <v>2125</v>
      </c>
      <c r="M249" s="470"/>
      <c r="N249" s="471"/>
      <c r="O249" s="114"/>
      <c r="P249" s="286"/>
      <c r="Q249" s="469">
        <f>Q247+R247+S247</f>
        <v>5980</v>
      </c>
      <c r="R249" s="470"/>
      <c r="S249" s="471"/>
      <c r="T249" s="114"/>
      <c r="U249" s="114"/>
      <c r="V249" s="114"/>
      <c r="W249" s="114"/>
      <c r="X249" s="114"/>
      <c r="Y249" s="114"/>
      <c r="Z249" s="114"/>
      <c r="AA249" s="261"/>
      <c r="AB249" s="286"/>
      <c r="AC249" s="287"/>
      <c r="AD249" s="263"/>
      <c r="AE249" s="263"/>
      <c r="AF249" s="263"/>
      <c r="AG249" s="263"/>
      <c r="AH249" s="479"/>
      <c r="AI249" s="479"/>
      <c r="AJ249" s="479"/>
      <c r="AK249" s="479"/>
    </row>
    <row r="250" spans="1:37" ht="36" customHeight="1" x14ac:dyDescent="0.4">
      <c r="A250" s="477"/>
      <c r="B250" s="297" t="s">
        <v>262</v>
      </c>
      <c r="C250" s="472">
        <f>C248/C249</f>
        <v>0.86322713761266812</v>
      </c>
      <c r="D250" s="473"/>
      <c r="E250" s="473"/>
      <c r="F250" s="474"/>
      <c r="G250" s="472">
        <f>G248/G249</f>
        <v>0.75417914774374339</v>
      </c>
      <c r="H250" s="473"/>
      <c r="I250" s="474"/>
      <c r="J250" s="276"/>
      <c r="K250" s="276"/>
      <c r="L250" s="472">
        <f>L248/L249</f>
        <v>0.73582117647058831</v>
      </c>
      <c r="M250" s="473"/>
      <c r="N250" s="474"/>
      <c r="O250" s="280">
        <f>(O245+O246)/O247</f>
        <v>1</v>
      </c>
      <c r="P250" s="290">
        <f>(P245+P246)/P247</f>
        <v>0.8471268116365166</v>
      </c>
      <c r="Q250" s="472">
        <f>Q248/Q249</f>
        <v>0.91444147157190625</v>
      </c>
      <c r="R250" s="473"/>
      <c r="S250" s="474"/>
      <c r="T250" s="280">
        <f t="shared" ref="T250:Z250" si="42">(T245+T246)/T247</f>
        <v>0.84214807753415943</v>
      </c>
      <c r="U250" s="280">
        <f t="shared" si="42"/>
        <v>0.49363680861478221</v>
      </c>
      <c r="V250" s="280">
        <f t="shared" si="42"/>
        <v>0.84958871915393652</v>
      </c>
      <c r="W250" s="280">
        <f t="shared" si="42"/>
        <v>0.95205479452054798</v>
      </c>
      <c r="X250" s="280">
        <f t="shared" si="42"/>
        <v>0.89646464646464652</v>
      </c>
      <c r="Y250" s="280">
        <f t="shared" si="42"/>
        <v>0.98529411764705888</v>
      </c>
      <c r="Z250" s="280">
        <f t="shared" si="42"/>
        <v>0.94390243902439031</v>
      </c>
      <c r="AA250" s="265"/>
      <c r="AB250" s="290">
        <f>(AB245+AB246)/AB247</f>
        <v>0.78782614229349623</v>
      </c>
      <c r="AC250" s="291">
        <f>(AC245+AC246)/AC247</f>
        <v>0.83793161208198064</v>
      </c>
      <c r="AD250" s="281">
        <f>AD245/$AG$173</f>
        <v>0.61904761904761907</v>
      </c>
      <c r="AE250" s="281">
        <f>AE245/$AG$173</f>
        <v>0.19047619047619047</v>
      </c>
      <c r="AF250" s="281">
        <f>AF245/$AG$173</f>
        <v>0.19047619047619047</v>
      </c>
      <c r="AG250" s="305">
        <f>AG245/$AG$173</f>
        <v>1</v>
      </c>
      <c r="AH250" s="480"/>
      <c r="AI250" s="480"/>
      <c r="AJ250" s="480"/>
      <c r="AK250" s="480"/>
    </row>
    <row r="251" spans="1:37" ht="36" customHeight="1" x14ac:dyDescent="0.4">
      <c r="A251" s="477" t="s">
        <v>298</v>
      </c>
      <c r="B251" s="292" t="s">
        <v>269</v>
      </c>
      <c r="C251" s="258">
        <v>8022</v>
      </c>
      <c r="D251" s="258">
        <v>31653</v>
      </c>
      <c r="E251" s="258">
        <v>3788</v>
      </c>
      <c r="F251" s="258">
        <v>19468</v>
      </c>
      <c r="G251" s="258">
        <v>1506</v>
      </c>
      <c r="H251" s="258">
        <v>4166</v>
      </c>
      <c r="I251" s="258">
        <v>2325</v>
      </c>
      <c r="J251" s="258"/>
      <c r="K251" s="258"/>
      <c r="L251" s="258">
        <v>33</v>
      </c>
      <c r="M251" s="258">
        <v>835</v>
      </c>
      <c r="N251" s="258">
        <v>713</v>
      </c>
      <c r="O251" s="258">
        <v>151</v>
      </c>
      <c r="P251" s="286">
        <f>SUM(C251:O251)</f>
        <v>72660</v>
      </c>
      <c r="Q251" s="258">
        <v>1134</v>
      </c>
      <c r="R251" s="258">
        <v>2468</v>
      </c>
      <c r="S251" s="258">
        <v>1930</v>
      </c>
      <c r="T251" s="258">
        <v>2697</v>
      </c>
      <c r="U251" s="258">
        <v>2005</v>
      </c>
      <c r="V251" s="258">
        <v>729</v>
      </c>
      <c r="W251" s="258">
        <v>279</v>
      </c>
      <c r="X251" s="258">
        <v>718</v>
      </c>
      <c r="Y251" s="67">
        <v>200</v>
      </c>
      <c r="Z251" s="67">
        <v>130</v>
      </c>
      <c r="AA251" s="261"/>
      <c r="AB251" s="286">
        <f>SUM(Q251:AA251)</f>
        <v>12290</v>
      </c>
      <c r="AC251" s="287">
        <f>P251+AB251</f>
        <v>84950</v>
      </c>
      <c r="AD251" s="278">
        <v>13</v>
      </c>
      <c r="AE251" s="278">
        <v>4</v>
      </c>
      <c r="AF251" s="278">
        <v>4</v>
      </c>
      <c r="AG251" s="279">
        <f>SUM(AD251:AF251)</f>
        <v>21</v>
      </c>
      <c r="AH251" s="478">
        <v>2101</v>
      </c>
      <c r="AI251" s="478">
        <v>2279</v>
      </c>
      <c r="AJ251" s="478">
        <v>741</v>
      </c>
      <c r="AK251" s="478">
        <f>SUM(AH251:AJ256)</f>
        <v>5121</v>
      </c>
    </row>
    <row r="252" spans="1:37" ht="36" customHeight="1" x14ac:dyDescent="0.4">
      <c r="A252" s="477"/>
      <c r="B252" s="292" t="s">
        <v>265</v>
      </c>
      <c r="C252" s="258">
        <v>36.098999999999997</v>
      </c>
      <c r="D252" s="258">
        <v>142.43849999999998</v>
      </c>
      <c r="E252" s="258">
        <v>17.045999999999999</v>
      </c>
      <c r="F252" s="258">
        <v>87.605999999999995</v>
      </c>
      <c r="G252" s="258">
        <v>0</v>
      </c>
      <c r="H252" s="258">
        <v>0</v>
      </c>
      <c r="I252" s="258">
        <v>0</v>
      </c>
      <c r="J252" s="258"/>
      <c r="K252" s="258"/>
      <c r="L252" s="258">
        <v>0</v>
      </c>
      <c r="M252" s="258">
        <v>4.1749999999999998</v>
      </c>
      <c r="N252" s="258">
        <v>3.5649999999999999</v>
      </c>
      <c r="O252" s="258">
        <v>0</v>
      </c>
      <c r="P252" s="286">
        <f>SUM(C252:O252)</f>
        <v>290.92949999999996</v>
      </c>
      <c r="Q252" s="258">
        <v>32.340000000000003</v>
      </c>
      <c r="R252" s="258">
        <v>0</v>
      </c>
      <c r="S252" s="258">
        <v>0</v>
      </c>
      <c r="T252" s="258">
        <v>26.97</v>
      </c>
      <c r="U252" s="258">
        <v>0</v>
      </c>
      <c r="V252" s="258">
        <v>0</v>
      </c>
      <c r="W252" s="258">
        <v>0</v>
      </c>
      <c r="X252" s="258">
        <v>179.5</v>
      </c>
      <c r="Y252" s="258">
        <v>0</v>
      </c>
      <c r="Z252" s="67">
        <v>0</v>
      </c>
      <c r="AA252" s="261"/>
      <c r="AB252" s="286">
        <f>SUM(Q252:AA252)</f>
        <v>238.81</v>
      </c>
      <c r="AC252" s="287">
        <f>P252+AB252</f>
        <v>529.73949999999991</v>
      </c>
      <c r="AD252" s="278"/>
      <c r="AE252" s="278"/>
      <c r="AF252" s="278"/>
      <c r="AG252" s="279"/>
      <c r="AH252" s="479"/>
      <c r="AI252" s="479"/>
      <c r="AJ252" s="479"/>
      <c r="AK252" s="479"/>
    </row>
    <row r="253" spans="1:37" ht="36" customHeight="1" x14ac:dyDescent="0.4">
      <c r="A253" s="477"/>
      <c r="B253" s="304" t="s">
        <v>284</v>
      </c>
      <c r="C253" s="114">
        <v>9252</v>
      </c>
      <c r="D253" s="114">
        <v>37456</v>
      </c>
      <c r="E253" s="114">
        <v>4675</v>
      </c>
      <c r="F253" s="114">
        <v>21619</v>
      </c>
      <c r="G253" s="114">
        <v>1710</v>
      </c>
      <c r="H253" s="114">
        <v>6490</v>
      </c>
      <c r="I253" s="114">
        <v>2553</v>
      </c>
      <c r="J253" s="114"/>
      <c r="K253" s="114"/>
      <c r="L253" s="114">
        <v>102</v>
      </c>
      <c r="M253" s="114">
        <v>876</v>
      </c>
      <c r="N253" s="114">
        <v>1147</v>
      </c>
      <c r="O253" s="56">
        <v>151</v>
      </c>
      <c r="P253" s="286">
        <f>SUM(C253:O253)</f>
        <v>86031</v>
      </c>
      <c r="Q253" s="56">
        <v>1262</v>
      </c>
      <c r="R253" s="114">
        <v>2766</v>
      </c>
      <c r="S253" s="114">
        <v>2020</v>
      </c>
      <c r="T253" s="114">
        <v>3147</v>
      </c>
      <c r="U253" s="114">
        <v>4086</v>
      </c>
      <c r="V253" s="114">
        <v>851</v>
      </c>
      <c r="W253" s="114">
        <v>292</v>
      </c>
      <c r="X253" s="114">
        <v>990</v>
      </c>
      <c r="Y253" s="114">
        <v>204</v>
      </c>
      <c r="Z253" s="114">
        <v>164</v>
      </c>
      <c r="AA253" s="261"/>
      <c r="AB253" s="286">
        <f>SUM(Q253:AA253)</f>
        <v>15782</v>
      </c>
      <c r="AC253" s="287">
        <f>P253+AB253</f>
        <v>101813</v>
      </c>
      <c r="AD253" s="263"/>
      <c r="AE253" s="263"/>
      <c r="AF253" s="263"/>
      <c r="AG253" s="263"/>
      <c r="AH253" s="479"/>
      <c r="AI253" s="479"/>
      <c r="AJ253" s="479"/>
      <c r="AK253" s="479"/>
    </row>
    <row r="254" spans="1:37" ht="36" customHeight="1" x14ac:dyDescent="0.4">
      <c r="A254" s="477"/>
      <c r="B254" s="304" t="s">
        <v>285</v>
      </c>
      <c r="C254" s="469">
        <f>C251+D251+E251+F251+C252+D252+E252+F252</f>
        <v>63214.1895</v>
      </c>
      <c r="D254" s="470"/>
      <c r="E254" s="470"/>
      <c r="F254" s="471"/>
      <c r="G254" s="469">
        <f>G251+H251+I251+G252+H252+I252</f>
        <v>7997</v>
      </c>
      <c r="H254" s="470"/>
      <c r="I254" s="471"/>
      <c r="J254" s="273"/>
      <c r="K254" s="273"/>
      <c r="L254" s="469">
        <f>L251+M251+N251+L252+M252+N252</f>
        <v>1588.74</v>
      </c>
      <c r="M254" s="470"/>
      <c r="N254" s="471"/>
      <c r="O254" s="114"/>
      <c r="P254" s="286"/>
      <c r="Q254" s="469">
        <f>Q251+R251+S251+Q252+R252+S252</f>
        <v>5564.34</v>
      </c>
      <c r="R254" s="470"/>
      <c r="S254" s="471"/>
      <c r="T254" s="114"/>
      <c r="U254" s="114"/>
      <c r="V254" s="114"/>
      <c r="W254" s="114"/>
      <c r="X254" s="114"/>
      <c r="Y254" s="114"/>
      <c r="Z254" s="114"/>
      <c r="AA254" s="261"/>
      <c r="AB254" s="286"/>
      <c r="AC254" s="287"/>
      <c r="AD254" s="263"/>
      <c r="AE254" s="263"/>
      <c r="AF254" s="263"/>
      <c r="AG254" s="263"/>
      <c r="AH254" s="479"/>
      <c r="AI254" s="479"/>
      <c r="AJ254" s="479"/>
      <c r="AK254" s="479"/>
    </row>
    <row r="255" spans="1:37" ht="36" customHeight="1" x14ac:dyDescent="0.4">
      <c r="A255" s="477"/>
      <c r="B255" s="304" t="s">
        <v>247</v>
      </c>
      <c r="C255" s="469">
        <f>C253+D253+E253+F253</f>
        <v>73002</v>
      </c>
      <c r="D255" s="470"/>
      <c r="E255" s="470"/>
      <c r="F255" s="471"/>
      <c r="G255" s="469">
        <f>G253+H253+I253</f>
        <v>10753</v>
      </c>
      <c r="H255" s="470"/>
      <c r="I255" s="471"/>
      <c r="J255" s="273"/>
      <c r="K255" s="273"/>
      <c r="L255" s="469">
        <f>L253+M253+N253</f>
        <v>2125</v>
      </c>
      <c r="M255" s="470"/>
      <c r="N255" s="471"/>
      <c r="O255" s="114"/>
      <c r="P255" s="286"/>
      <c r="Q255" s="469">
        <f>Q253+R253+S253</f>
        <v>6048</v>
      </c>
      <c r="R255" s="470"/>
      <c r="S255" s="471"/>
      <c r="T255" s="114"/>
      <c r="U255" s="114"/>
      <c r="V255" s="114"/>
      <c r="W255" s="114"/>
      <c r="X255" s="114"/>
      <c r="Y255" s="114"/>
      <c r="Z255" s="114"/>
      <c r="AA255" s="261"/>
      <c r="AB255" s="286"/>
      <c r="AC255" s="287"/>
      <c r="AD255" s="263"/>
      <c r="AE255" s="263"/>
      <c r="AF255" s="263"/>
      <c r="AG255" s="263"/>
      <c r="AH255" s="479"/>
      <c r="AI255" s="479"/>
      <c r="AJ255" s="479"/>
      <c r="AK255" s="479"/>
    </row>
    <row r="256" spans="1:37" ht="36" customHeight="1" x14ac:dyDescent="0.4">
      <c r="A256" s="477"/>
      <c r="B256" s="297" t="s">
        <v>262</v>
      </c>
      <c r="C256" s="472">
        <f>C254/C255</f>
        <v>0.86592407742253641</v>
      </c>
      <c r="D256" s="473"/>
      <c r="E256" s="473"/>
      <c r="F256" s="474"/>
      <c r="G256" s="472">
        <f>G254/G255</f>
        <v>0.74369943271645123</v>
      </c>
      <c r="H256" s="473"/>
      <c r="I256" s="474"/>
      <c r="J256" s="276"/>
      <c r="K256" s="276"/>
      <c r="L256" s="472">
        <f>L254/L255</f>
        <v>0.74764235294117642</v>
      </c>
      <c r="M256" s="473"/>
      <c r="N256" s="474"/>
      <c r="O256" s="280">
        <f>(O251+O252)/O253</f>
        <v>1</v>
      </c>
      <c r="P256" s="290">
        <f>(P251+P252)/P253</f>
        <v>0.84796096174634727</v>
      </c>
      <c r="Q256" s="472">
        <f>Q254/Q255</f>
        <v>0.92002976190476193</v>
      </c>
      <c r="R256" s="473"/>
      <c r="S256" s="474"/>
      <c r="T256" s="280">
        <f t="shared" ref="T256:Z256" si="43">(T251+T252)/T253</f>
        <v>0.86557673975214489</v>
      </c>
      <c r="U256" s="280">
        <f t="shared" si="43"/>
        <v>0.49069995105237396</v>
      </c>
      <c r="V256" s="280">
        <f t="shared" si="43"/>
        <v>0.85663924794359581</v>
      </c>
      <c r="W256" s="280">
        <f t="shared" si="43"/>
        <v>0.95547945205479456</v>
      </c>
      <c r="X256" s="280">
        <f t="shared" si="43"/>
        <v>0.90656565656565657</v>
      </c>
      <c r="Y256" s="280">
        <f t="shared" si="43"/>
        <v>0.98039215686274506</v>
      </c>
      <c r="Z256" s="280">
        <f t="shared" si="43"/>
        <v>0.79268292682926833</v>
      </c>
      <c r="AA256" s="265"/>
      <c r="AB256" s="290">
        <f>(AB251+AB252)/AB253</f>
        <v>0.79386706374350524</v>
      </c>
      <c r="AC256" s="291">
        <f>(AC251+AC252)/AC253</f>
        <v>0.83957588421910756</v>
      </c>
      <c r="AD256" s="281">
        <f>AD251/$AG$173</f>
        <v>0.61904761904761907</v>
      </c>
      <c r="AE256" s="281">
        <f>AE251/$AG$173</f>
        <v>0.19047619047619047</v>
      </c>
      <c r="AF256" s="281">
        <f>AF251/$AG$173</f>
        <v>0.19047619047619047</v>
      </c>
      <c r="AG256" s="305">
        <f>AG251/$AG$173</f>
        <v>1</v>
      </c>
      <c r="AH256" s="480"/>
      <c r="AI256" s="480"/>
      <c r="AJ256" s="480"/>
      <c r="AK256" s="480"/>
    </row>
    <row r="257" spans="1:37" ht="36" customHeight="1" x14ac:dyDescent="0.4">
      <c r="A257" s="477" t="s">
        <v>299</v>
      </c>
      <c r="B257" s="292" t="s">
        <v>269</v>
      </c>
      <c r="C257" s="258">
        <v>8059</v>
      </c>
      <c r="D257" s="258">
        <v>32013</v>
      </c>
      <c r="E257" s="258">
        <v>3811</v>
      </c>
      <c r="F257" s="258">
        <v>19076</v>
      </c>
      <c r="G257" s="258">
        <v>1552</v>
      </c>
      <c r="H257" s="258">
        <v>4469</v>
      </c>
      <c r="I257" s="258">
        <v>2257</v>
      </c>
      <c r="J257" s="258"/>
      <c r="K257" s="258"/>
      <c r="L257" s="258">
        <v>30</v>
      </c>
      <c r="M257" s="258">
        <v>839</v>
      </c>
      <c r="N257" s="258">
        <v>714</v>
      </c>
      <c r="O257" s="258">
        <v>151</v>
      </c>
      <c r="P257" s="286">
        <f>SUM(C257:O257)</f>
        <v>72971</v>
      </c>
      <c r="Q257" s="258">
        <v>1142</v>
      </c>
      <c r="R257" s="258">
        <v>2433</v>
      </c>
      <c r="S257" s="258">
        <v>1929</v>
      </c>
      <c r="T257" s="258">
        <v>2659</v>
      </c>
      <c r="U257" s="258">
        <v>1973</v>
      </c>
      <c r="V257" s="258">
        <v>738</v>
      </c>
      <c r="W257" s="258">
        <v>281</v>
      </c>
      <c r="X257" s="258">
        <v>726</v>
      </c>
      <c r="Y257" s="67">
        <v>202</v>
      </c>
      <c r="Z257" s="67">
        <v>132</v>
      </c>
      <c r="AA257" s="261"/>
      <c r="AB257" s="286">
        <f>SUM(Q257:AA257)</f>
        <v>12215</v>
      </c>
      <c r="AC257" s="287">
        <f>P257+AB257</f>
        <v>85186</v>
      </c>
      <c r="AD257" s="278">
        <v>12</v>
      </c>
      <c r="AE257" s="278">
        <v>5</v>
      </c>
      <c r="AF257" s="278">
        <v>4</v>
      </c>
      <c r="AG257" s="279">
        <f>SUM(AD257:AF257)</f>
        <v>21</v>
      </c>
      <c r="AH257" s="478">
        <v>1940</v>
      </c>
      <c r="AI257" s="478">
        <v>2409</v>
      </c>
      <c r="AJ257" s="478">
        <v>737</v>
      </c>
      <c r="AK257" s="478">
        <f>SUM(AH257:AJ262)</f>
        <v>5086</v>
      </c>
    </row>
    <row r="258" spans="1:37" ht="36" customHeight="1" x14ac:dyDescent="0.4">
      <c r="A258" s="477"/>
      <c r="B258" s="292" t="s">
        <v>265</v>
      </c>
      <c r="C258" s="258">
        <v>36.265499999999996</v>
      </c>
      <c r="D258" s="258">
        <v>144.05849999999998</v>
      </c>
      <c r="E258" s="258">
        <v>17.1495</v>
      </c>
      <c r="F258" s="258">
        <v>85.841999999999999</v>
      </c>
      <c r="G258" s="258">
        <v>0</v>
      </c>
      <c r="H258" s="258">
        <v>0</v>
      </c>
      <c r="I258" s="258">
        <v>0</v>
      </c>
      <c r="J258" s="258"/>
      <c r="K258" s="258"/>
      <c r="L258" s="258">
        <v>0</v>
      </c>
      <c r="M258" s="258">
        <v>4.1950000000000003</v>
      </c>
      <c r="N258" s="258">
        <v>3.5700000000000003</v>
      </c>
      <c r="O258" s="258">
        <v>0</v>
      </c>
      <c r="P258" s="286">
        <f>SUM(C258:O258)</f>
        <v>291.08049999999997</v>
      </c>
      <c r="Q258" s="258">
        <v>32.42</v>
      </c>
      <c r="R258" s="258">
        <v>0</v>
      </c>
      <c r="S258" s="258">
        <v>0</v>
      </c>
      <c r="T258" s="258">
        <v>26.59</v>
      </c>
      <c r="U258" s="258">
        <v>0</v>
      </c>
      <c r="V258" s="258">
        <v>0</v>
      </c>
      <c r="W258" s="258">
        <v>0</v>
      </c>
      <c r="X258" s="258">
        <v>181.5</v>
      </c>
      <c r="Y258" s="258">
        <v>0</v>
      </c>
      <c r="Z258" s="67">
        <v>0</v>
      </c>
      <c r="AA258" s="261"/>
      <c r="AB258" s="286">
        <f>SUM(Q258:AA258)</f>
        <v>240.51</v>
      </c>
      <c r="AC258" s="287">
        <f>P258+AB258</f>
        <v>531.59050000000002</v>
      </c>
      <c r="AD258" s="278"/>
      <c r="AE258" s="278"/>
      <c r="AF258" s="278"/>
      <c r="AG258" s="279"/>
      <c r="AH258" s="479"/>
      <c r="AI258" s="479"/>
      <c r="AJ258" s="479"/>
      <c r="AK258" s="479"/>
    </row>
    <row r="259" spans="1:37" ht="36" customHeight="1" x14ac:dyDescent="0.4">
      <c r="A259" s="477"/>
      <c r="B259" s="304" t="s">
        <v>284</v>
      </c>
      <c r="C259" s="114">
        <v>9252</v>
      </c>
      <c r="D259" s="114">
        <v>37456</v>
      </c>
      <c r="E259" s="114">
        <v>4675</v>
      </c>
      <c r="F259" s="114">
        <v>21619</v>
      </c>
      <c r="G259" s="114">
        <v>1710</v>
      </c>
      <c r="H259" s="114">
        <v>6490</v>
      </c>
      <c r="I259" s="114">
        <v>2553</v>
      </c>
      <c r="J259" s="114"/>
      <c r="K259" s="114"/>
      <c r="L259" s="114">
        <v>102</v>
      </c>
      <c r="M259" s="114">
        <v>876</v>
      </c>
      <c r="N259" s="114">
        <v>1147</v>
      </c>
      <c r="O259" s="114">
        <v>151</v>
      </c>
      <c r="P259" s="286">
        <f>SUM(C259:O259)</f>
        <v>86031</v>
      </c>
      <c r="Q259" s="114">
        <v>1262</v>
      </c>
      <c r="R259" s="114">
        <v>2766</v>
      </c>
      <c r="S259" s="114">
        <v>2020</v>
      </c>
      <c r="T259" s="56">
        <v>3192</v>
      </c>
      <c r="U259" s="114">
        <v>4086</v>
      </c>
      <c r="V259" s="56">
        <v>859</v>
      </c>
      <c r="W259" s="114">
        <v>292</v>
      </c>
      <c r="X259" s="114">
        <v>990</v>
      </c>
      <c r="Y259" s="114">
        <v>204</v>
      </c>
      <c r="Z259" s="114">
        <v>164</v>
      </c>
      <c r="AA259" s="261"/>
      <c r="AB259" s="286">
        <f>SUM(Q259:AA259)</f>
        <v>15835</v>
      </c>
      <c r="AC259" s="287">
        <f>P259+AB259</f>
        <v>101866</v>
      </c>
      <c r="AD259" s="263"/>
      <c r="AE259" s="263"/>
      <c r="AF259" s="263"/>
      <c r="AG259" s="263"/>
      <c r="AH259" s="479"/>
      <c r="AI259" s="479"/>
      <c r="AJ259" s="479"/>
      <c r="AK259" s="479"/>
    </row>
    <row r="260" spans="1:37" ht="36" customHeight="1" x14ac:dyDescent="0.4">
      <c r="A260" s="477"/>
      <c r="B260" s="304" t="s">
        <v>285</v>
      </c>
      <c r="C260" s="469">
        <f>C257+D257+E257+F257+C258+D258+E258+F258</f>
        <v>63242.315499999997</v>
      </c>
      <c r="D260" s="470"/>
      <c r="E260" s="470"/>
      <c r="F260" s="471"/>
      <c r="G260" s="469">
        <f>G257+H257+I257+G258+H258+I258</f>
        <v>8278</v>
      </c>
      <c r="H260" s="470"/>
      <c r="I260" s="471"/>
      <c r="J260" s="273"/>
      <c r="K260" s="273"/>
      <c r="L260" s="469">
        <f>L257+M257+N257+L258+M258+N258</f>
        <v>1590.7649999999999</v>
      </c>
      <c r="M260" s="470"/>
      <c r="N260" s="471"/>
      <c r="O260" s="114"/>
      <c r="P260" s="286"/>
      <c r="Q260" s="469">
        <f>Q257+R257+S257+Q258+R258+S258</f>
        <v>5536.42</v>
      </c>
      <c r="R260" s="470"/>
      <c r="S260" s="471"/>
      <c r="T260" s="114"/>
      <c r="U260" s="114"/>
      <c r="V260" s="114"/>
      <c r="W260" s="114"/>
      <c r="X260" s="114"/>
      <c r="Y260" s="114"/>
      <c r="Z260" s="114"/>
      <c r="AA260" s="261"/>
      <c r="AB260" s="286"/>
      <c r="AC260" s="287"/>
      <c r="AD260" s="263"/>
      <c r="AE260" s="263"/>
      <c r="AF260" s="263"/>
      <c r="AG260" s="263"/>
      <c r="AH260" s="479"/>
      <c r="AI260" s="479"/>
      <c r="AJ260" s="479"/>
      <c r="AK260" s="479"/>
    </row>
    <row r="261" spans="1:37" ht="36" customHeight="1" x14ac:dyDescent="0.4">
      <c r="A261" s="477"/>
      <c r="B261" s="304" t="s">
        <v>247</v>
      </c>
      <c r="C261" s="469">
        <f>C259+D259+E259+F259</f>
        <v>73002</v>
      </c>
      <c r="D261" s="470"/>
      <c r="E261" s="470"/>
      <c r="F261" s="471"/>
      <c r="G261" s="469">
        <f>G259+H259+I259</f>
        <v>10753</v>
      </c>
      <c r="H261" s="470"/>
      <c r="I261" s="471"/>
      <c r="J261" s="273"/>
      <c r="K261" s="273"/>
      <c r="L261" s="469">
        <f>L259+M259+N259</f>
        <v>2125</v>
      </c>
      <c r="M261" s="470"/>
      <c r="N261" s="471"/>
      <c r="O261" s="114"/>
      <c r="P261" s="286"/>
      <c r="Q261" s="469">
        <f>Q259+R259+S259</f>
        <v>6048</v>
      </c>
      <c r="R261" s="470"/>
      <c r="S261" s="471"/>
      <c r="T261" s="114"/>
      <c r="U261" s="114"/>
      <c r="V261" s="114"/>
      <c r="W261" s="114"/>
      <c r="X261" s="114"/>
      <c r="Y261" s="114"/>
      <c r="Z261" s="114"/>
      <c r="AA261" s="261"/>
      <c r="AB261" s="286"/>
      <c r="AC261" s="287"/>
      <c r="AD261" s="263"/>
      <c r="AE261" s="263"/>
      <c r="AF261" s="263"/>
      <c r="AG261" s="263"/>
      <c r="AH261" s="479"/>
      <c r="AI261" s="479"/>
      <c r="AJ261" s="479"/>
      <c r="AK261" s="479"/>
    </row>
    <row r="262" spans="1:37" ht="36" customHeight="1" x14ac:dyDescent="0.4">
      <c r="A262" s="477"/>
      <c r="B262" s="297" t="s">
        <v>262</v>
      </c>
      <c r="C262" s="472">
        <f>C260/C261</f>
        <v>0.86630935453823177</v>
      </c>
      <c r="D262" s="473"/>
      <c r="E262" s="473"/>
      <c r="F262" s="474"/>
      <c r="G262" s="472">
        <f>G260/G261</f>
        <v>0.76983167488142845</v>
      </c>
      <c r="H262" s="473"/>
      <c r="I262" s="474"/>
      <c r="J262" s="276"/>
      <c r="K262" s="276"/>
      <c r="L262" s="472">
        <f>L260/L261</f>
        <v>0.74859529411764703</v>
      </c>
      <c r="M262" s="473"/>
      <c r="N262" s="474"/>
      <c r="O262" s="280">
        <f>(O257+O258)/O259</f>
        <v>1</v>
      </c>
      <c r="P262" s="290">
        <f>(P257+P258)/P259</f>
        <v>0.85157769292464336</v>
      </c>
      <c r="Q262" s="472">
        <f>Q260/Q261</f>
        <v>0.9154133597883598</v>
      </c>
      <c r="R262" s="473"/>
      <c r="S262" s="474"/>
      <c r="T262" s="280">
        <f t="shared" ref="T262:Z262" si="44">(T257+T258)/T259</f>
        <v>0.84135025062656643</v>
      </c>
      <c r="U262" s="280">
        <f t="shared" si="44"/>
        <v>0.48286833088595205</v>
      </c>
      <c r="V262" s="280">
        <f t="shared" si="44"/>
        <v>0.85913853317811406</v>
      </c>
      <c r="W262" s="280">
        <f t="shared" si="44"/>
        <v>0.96232876712328763</v>
      </c>
      <c r="X262" s="280">
        <f t="shared" si="44"/>
        <v>0.91666666666666663</v>
      </c>
      <c r="Y262" s="280">
        <f t="shared" si="44"/>
        <v>0.99019607843137258</v>
      </c>
      <c r="Z262" s="280">
        <f t="shared" si="44"/>
        <v>0.80487804878048785</v>
      </c>
      <c r="AA262" s="265"/>
      <c r="AB262" s="290">
        <f>(AB257+AB258)/AB259</f>
        <v>0.7865809914745816</v>
      </c>
      <c r="AC262" s="291">
        <f>(AC257+AC258)/AC259</f>
        <v>0.84147400015706919</v>
      </c>
      <c r="AD262" s="281">
        <f>AD257/$AG$173</f>
        <v>0.5714285714285714</v>
      </c>
      <c r="AE262" s="281">
        <f>AE257/$AG$173</f>
        <v>0.23809523809523808</v>
      </c>
      <c r="AF262" s="281">
        <f>AF257/$AG$173</f>
        <v>0.19047619047619047</v>
      </c>
      <c r="AG262" s="305">
        <f>AG257/$AG$173</f>
        <v>1</v>
      </c>
      <c r="AH262" s="480"/>
      <c r="AI262" s="480"/>
      <c r="AJ262" s="480"/>
      <c r="AK262" s="480"/>
    </row>
    <row r="263" spans="1:37" ht="36" customHeight="1" x14ac:dyDescent="0.4">
      <c r="A263" s="477" t="s">
        <v>300</v>
      </c>
      <c r="B263" s="292" t="s">
        <v>269</v>
      </c>
      <c r="C263" s="258">
        <v>8074</v>
      </c>
      <c r="D263" s="258">
        <v>32146</v>
      </c>
      <c r="E263" s="258">
        <v>3809</v>
      </c>
      <c r="F263" s="258">
        <v>18439</v>
      </c>
      <c r="G263" s="258">
        <v>1561</v>
      </c>
      <c r="H263" s="258">
        <v>5107</v>
      </c>
      <c r="I263" s="258">
        <v>2197</v>
      </c>
      <c r="J263" s="258"/>
      <c r="K263" s="258"/>
      <c r="L263" s="258">
        <v>42</v>
      </c>
      <c r="M263" s="258">
        <v>834</v>
      </c>
      <c r="N263" s="258">
        <v>713</v>
      </c>
      <c r="O263" s="258">
        <v>151</v>
      </c>
      <c r="P263" s="286">
        <f>SUM(C263:O263)</f>
        <v>73073</v>
      </c>
      <c r="Q263" s="258">
        <v>1162</v>
      </c>
      <c r="R263" s="258">
        <v>2380</v>
      </c>
      <c r="S263" s="258">
        <v>1939</v>
      </c>
      <c r="T263" s="258">
        <v>2685</v>
      </c>
      <c r="U263" s="258">
        <v>2103</v>
      </c>
      <c r="V263" s="258">
        <v>748</v>
      </c>
      <c r="W263" s="258">
        <v>284</v>
      </c>
      <c r="X263" s="258">
        <v>729</v>
      </c>
      <c r="Y263" s="67">
        <v>174</v>
      </c>
      <c r="Z263" s="67">
        <v>132</v>
      </c>
      <c r="AA263" s="261"/>
      <c r="AB263" s="286">
        <f>SUM(Q263:AA263)</f>
        <v>12336</v>
      </c>
      <c r="AC263" s="287">
        <f>P263+AB263</f>
        <v>85409</v>
      </c>
      <c r="AD263" s="278">
        <v>12</v>
      </c>
      <c r="AE263" s="278">
        <v>6</v>
      </c>
      <c r="AF263" s="278">
        <v>3</v>
      </c>
      <c r="AG263" s="279">
        <f>SUM(AD263:AF263)</f>
        <v>21</v>
      </c>
      <c r="AH263" s="478">
        <v>1836</v>
      </c>
      <c r="AI263" s="478">
        <v>2850</v>
      </c>
      <c r="AJ263" s="478">
        <v>1236</v>
      </c>
      <c r="AK263" s="478">
        <f>SUM(AH263:AJ268)</f>
        <v>5922</v>
      </c>
    </row>
    <row r="264" spans="1:37" ht="36" customHeight="1" x14ac:dyDescent="0.4">
      <c r="A264" s="477"/>
      <c r="B264" s="292" t="s">
        <v>265</v>
      </c>
      <c r="C264" s="258">
        <v>36.332999999999998</v>
      </c>
      <c r="D264" s="258">
        <v>144.65699999999998</v>
      </c>
      <c r="E264" s="258">
        <v>17.140499999999999</v>
      </c>
      <c r="F264" s="258">
        <v>82.975499999999997</v>
      </c>
      <c r="G264" s="258">
        <v>0</v>
      </c>
      <c r="H264" s="258">
        <v>0</v>
      </c>
      <c r="I264" s="258">
        <v>0</v>
      </c>
      <c r="J264" s="258"/>
      <c r="K264" s="258"/>
      <c r="L264" s="258">
        <v>0</v>
      </c>
      <c r="M264" s="258">
        <v>4.17</v>
      </c>
      <c r="N264" s="258">
        <v>3.5649999999999999</v>
      </c>
      <c r="O264" s="258">
        <v>0</v>
      </c>
      <c r="P264" s="286">
        <f>SUM(C264:O264)</f>
        <v>288.84100000000001</v>
      </c>
      <c r="Q264" s="258">
        <v>32.620000000000005</v>
      </c>
      <c r="R264" s="258">
        <v>0</v>
      </c>
      <c r="S264" s="258">
        <v>0</v>
      </c>
      <c r="T264" s="258">
        <v>26.85</v>
      </c>
      <c r="U264" s="258">
        <v>0</v>
      </c>
      <c r="V264" s="258">
        <v>0</v>
      </c>
      <c r="W264" s="258">
        <v>0</v>
      </c>
      <c r="X264" s="258">
        <v>182.25</v>
      </c>
      <c r="Y264" s="258">
        <v>0</v>
      </c>
      <c r="Z264" s="67">
        <v>0</v>
      </c>
      <c r="AA264" s="261"/>
      <c r="AB264" s="286">
        <f>SUM(Q264:AA264)</f>
        <v>241.72</v>
      </c>
      <c r="AC264" s="287">
        <f>P264+AB264</f>
        <v>530.56100000000004</v>
      </c>
      <c r="AD264" s="278"/>
      <c r="AE264" s="278"/>
      <c r="AF264" s="278"/>
      <c r="AG264" s="279"/>
      <c r="AH264" s="479"/>
      <c r="AI264" s="479"/>
      <c r="AJ264" s="479"/>
      <c r="AK264" s="479"/>
    </row>
    <row r="265" spans="1:37" ht="36" customHeight="1" x14ac:dyDescent="0.4">
      <c r="A265" s="477"/>
      <c r="B265" s="304" t="s">
        <v>284</v>
      </c>
      <c r="C265" s="114">
        <v>9252</v>
      </c>
      <c r="D265" s="114">
        <v>37456</v>
      </c>
      <c r="E265" s="114">
        <v>4675</v>
      </c>
      <c r="F265" s="114">
        <v>21619</v>
      </c>
      <c r="G265" s="114">
        <v>1710</v>
      </c>
      <c r="H265" s="114">
        <v>6490</v>
      </c>
      <c r="I265" s="114">
        <v>2553</v>
      </c>
      <c r="J265" s="114"/>
      <c r="K265" s="114"/>
      <c r="L265" s="114">
        <v>102</v>
      </c>
      <c r="M265" s="114">
        <v>876</v>
      </c>
      <c r="N265" s="114">
        <v>1147</v>
      </c>
      <c r="O265" s="114">
        <v>151</v>
      </c>
      <c r="P265" s="286">
        <f>SUM(C265:O265)</f>
        <v>86031</v>
      </c>
      <c r="Q265" s="114">
        <v>1262</v>
      </c>
      <c r="R265" s="114">
        <v>2766</v>
      </c>
      <c r="S265" s="114">
        <v>2020</v>
      </c>
      <c r="T265" s="56">
        <v>3192</v>
      </c>
      <c r="U265" s="114">
        <v>4086</v>
      </c>
      <c r="V265" s="56">
        <v>859</v>
      </c>
      <c r="W265" s="114">
        <v>292</v>
      </c>
      <c r="X265" s="114">
        <v>990</v>
      </c>
      <c r="Y265" s="114">
        <v>204</v>
      </c>
      <c r="Z265" s="114">
        <v>164</v>
      </c>
      <c r="AA265" s="261"/>
      <c r="AB265" s="286">
        <f>SUM(Q265:AA265)</f>
        <v>15835</v>
      </c>
      <c r="AC265" s="287">
        <f>P265+AB265</f>
        <v>101866</v>
      </c>
      <c r="AD265" s="263"/>
      <c r="AE265" s="263"/>
      <c r="AF265" s="263"/>
      <c r="AG265" s="263"/>
      <c r="AH265" s="479"/>
      <c r="AI265" s="479"/>
      <c r="AJ265" s="479"/>
      <c r="AK265" s="479"/>
    </row>
    <row r="266" spans="1:37" ht="36" customHeight="1" x14ac:dyDescent="0.4">
      <c r="A266" s="477"/>
      <c r="B266" s="304" t="s">
        <v>285</v>
      </c>
      <c r="C266" s="469">
        <f>C263+D263+E263+F263+C264+D264+E264+F264</f>
        <v>62749.106</v>
      </c>
      <c r="D266" s="470"/>
      <c r="E266" s="470"/>
      <c r="F266" s="471"/>
      <c r="G266" s="469">
        <f>G263+H263+I263+G264+H264+I264</f>
        <v>8865</v>
      </c>
      <c r="H266" s="470"/>
      <c r="I266" s="471"/>
      <c r="J266" s="273"/>
      <c r="K266" s="273"/>
      <c r="L266" s="469">
        <f>L263+M263+N263+L264+M264+N264</f>
        <v>1596.7350000000001</v>
      </c>
      <c r="M266" s="470"/>
      <c r="N266" s="471"/>
      <c r="O266" s="114"/>
      <c r="P266" s="286"/>
      <c r="Q266" s="469">
        <f>Q263+R263+S263+Q264+R264+S264</f>
        <v>5513.62</v>
      </c>
      <c r="R266" s="470"/>
      <c r="S266" s="471"/>
      <c r="T266" s="114"/>
      <c r="U266" s="114"/>
      <c r="V266" s="114"/>
      <c r="W266" s="114"/>
      <c r="X266" s="114"/>
      <c r="Y266" s="114"/>
      <c r="Z266" s="114"/>
      <c r="AA266" s="261"/>
      <c r="AB266" s="286"/>
      <c r="AC266" s="287"/>
      <c r="AD266" s="263"/>
      <c r="AE266" s="263"/>
      <c r="AF266" s="263"/>
      <c r="AG266" s="263"/>
      <c r="AH266" s="479"/>
      <c r="AI266" s="479"/>
      <c r="AJ266" s="479"/>
      <c r="AK266" s="479"/>
    </row>
    <row r="267" spans="1:37" ht="36" customHeight="1" x14ac:dyDescent="0.4">
      <c r="A267" s="477"/>
      <c r="B267" s="304" t="s">
        <v>247</v>
      </c>
      <c r="C267" s="469">
        <f>C265+D265+E265+F265</f>
        <v>73002</v>
      </c>
      <c r="D267" s="470"/>
      <c r="E267" s="470"/>
      <c r="F267" s="471"/>
      <c r="G267" s="469">
        <f>G265+H265+I265</f>
        <v>10753</v>
      </c>
      <c r="H267" s="470"/>
      <c r="I267" s="471"/>
      <c r="J267" s="273"/>
      <c r="K267" s="273"/>
      <c r="L267" s="469">
        <f>L265+M265+N265</f>
        <v>2125</v>
      </c>
      <c r="M267" s="470"/>
      <c r="N267" s="471"/>
      <c r="O267" s="114"/>
      <c r="P267" s="286"/>
      <c r="Q267" s="469">
        <f>Q265+R265+S265</f>
        <v>6048</v>
      </c>
      <c r="R267" s="470"/>
      <c r="S267" s="471"/>
      <c r="T267" s="114"/>
      <c r="U267" s="114"/>
      <c r="V267" s="114"/>
      <c r="W267" s="114"/>
      <c r="X267" s="114"/>
      <c r="Y267" s="114"/>
      <c r="Z267" s="114"/>
      <c r="AA267" s="261"/>
      <c r="AB267" s="286"/>
      <c r="AC267" s="287"/>
      <c r="AD267" s="263"/>
      <c r="AE267" s="263"/>
      <c r="AF267" s="263"/>
      <c r="AG267" s="263"/>
      <c r="AH267" s="479"/>
      <c r="AI267" s="479"/>
      <c r="AJ267" s="479"/>
      <c r="AK267" s="479"/>
    </row>
    <row r="268" spans="1:37" ht="36" customHeight="1" x14ac:dyDescent="0.4">
      <c r="A268" s="477"/>
      <c r="B268" s="297" t="s">
        <v>262</v>
      </c>
      <c r="C268" s="472">
        <f>C266/C267</f>
        <v>0.85955324511657216</v>
      </c>
      <c r="D268" s="473"/>
      <c r="E268" s="473"/>
      <c r="F268" s="474"/>
      <c r="G268" s="472">
        <f>G266/G267</f>
        <v>0.82442109178833811</v>
      </c>
      <c r="H268" s="473"/>
      <c r="I268" s="474"/>
      <c r="J268" s="276"/>
      <c r="K268" s="276"/>
      <c r="L268" s="472">
        <f>L266/L267</f>
        <v>0.75140470588235297</v>
      </c>
      <c r="M268" s="473"/>
      <c r="N268" s="474"/>
      <c r="O268" s="280">
        <f>(O263+O264)/O265</f>
        <v>1</v>
      </c>
      <c r="P268" s="290">
        <f>(P263+P264)/P265</f>
        <v>0.85273728074763744</v>
      </c>
      <c r="Q268" s="472">
        <f>Q266/Q267</f>
        <v>0.91164351851851855</v>
      </c>
      <c r="R268" s="473"/>
      <c r="S268" s="474"/>
      <c r="T268" s="280">
        <f t="shared" ref="T268:Z268" si="45">(T263+T264)/T265</f>
        <v>0.84957706766917296</v>
      </c>
      <c r="U268" s="280">
        <f t="shared" si="45"/>
        <v>0.51468428781204112</v>
      </c>
      <c r="V268" s="280">
        <f t="shared" si="45"/>
        <v>0.87077997671711294</v>
      </c>
      <c r="W268" s="280">
        <f t="shared" si="45"/>
        <v>0.9726027397260274</v>
      </c>
      <c r="X268" s="280">
        <f t="shared" si="45"/>
        <v>0.92045454545454541</v>
      </c>
      <c r="Y268" s="280">
        <f t="shared" si="45"/>
        <v>0.8529411764705882</v>
      </c>
      <c r="Z268" s="280">
        <f t="shared" si="45"/>
        <v>0.80487804878048785</v>
      </c>
      <c r="AA268" s="265"/>
      <c r="AB268" s="290">
        <f>(AB263+AB264)/AB265</f>
        <v>0.79429870539943159</v>
      </c>
      <c r="AC268" s="291">
        <f>(AC263+AC264)/AC265</f>
        <v>0.84365304419531539</v>
      </c>
      <c r="AD268" s="281">
        <f>AD263/$AG$173</f>
        <v>0.5714285714285714</v>
      </c>
      <c r="AE268" s="281">
        <f>AE263/$AG$173</f>
        <v>0.2857142857142857</v>
      </c>
      <c r="AF268" s="281">
        <f>AF263/$AG$173</f>
        <v>0.14285714285714285</v>
      </c>
      <c r="AG268" s="305">
        <f>AG263/$AG$173</f>
        <v>1</v>
      </c>
      <c r="AH268" s="480"/>
      <c r="AI268" s="480"/>
      <c r="AJ268" s="480"/>
      <c r="AK268" s="480"/>
    </row>
    <row r="269" spans="1:37" ht="36" customHeight="1" x14ac:dyDescent="0.4">
      <c r="A269" s="477" t="s">
        <v>301</v>
      </c>
      <c r="B269" s="292" t="s">
        <v>269</v>
      </c>
      <c r="C269" s="258">
        <v>8158</v>
      </c>
      <c r="D269" s="258">
        <v>32420</v>
      </c>
      <c r="E269" s="258">
        <v>3771</v>
      </c>
      <c r="F269" s="258">
        <v>18417</v>
      </c>
      <c r="G269" s="258">
        <v>1551</v>
      </c>
      <c r="H269" s="258">
        <v>5163</v>
      </c>
      <c r="I269" s="258">
        <v>2273</v>
      </c>
      <c r="J269" s="258"/>
      <c r="K269" s="258"/>
      <c r="L269" s="258">
        <v>57</v>
      </c>
      <c r="M269" s="258">
        <v>836</v>
      </c>
      <c r="N269" s="258">
        <v>694</v>
      </c>
      <c r="O269" s="258">
        <v>151</v>
      </c>
      <c r="P269" s="286">
        <f>SUM(C269:O269)</f>
        <v>73491</v>
      </c>
      <c r="Q269" s="258">
        <v>1152</v>
      </c>
      <c r="R269" s="258">
        <v>2248</v>
      </c>
      <c r="S269" s="258">
        <v>1932</v>
      </c>
      <c r="T269" s="258">
        <v>2629</v>
      </c>
      <c r="U269" s="258">
        <v>2480</v>
      </c>
      <c r="V269" s="258">
        <v>755</v>
      </c>
      <c r="W269" s="258">
        <v>286</v>
      </c>
      <c r="X269" s="258">
        <v>738</v>
      </c>
      <c r="Y269" s="67">
        <v>175</v>
      </c>
      <c r="Z269" s="67">
        <v>133</v>
      </c>
      <c r="AA269" s="261"/>
      <c r="AB269" s="286">
        <f>SUM(Q269:AA269)</f>
        <v>12528</v>
      </c>
      <c r="AC269" s="287">
        <f>P269+AB269</f>
        <v>86019</v>
      </c>
      <c r="AD269" s="278">
        <v>11</v>
      </c>
      <c r="AE269" s="278">
        <v>7</v>
      </c>
      <c r="AF269" s="278">
        <v>3</v>
      </c>
      <c r="AG269" s="279">
        <f>SUM(AD269:AF269)</f>
        <v>21</v>
      </c>
      <c r="AH269" s="478">
        <v>1984</v>
      </c>
      <c r="AI269" s="478">
        <v>2680</v>
      </c>
      <c r="AJ269" s="478">
        <v>1317</v>
      </c>
      <c r="AK269" s="478">
        <f>SUM(AH269:AJ274)</f>
        <v>5981</v>
      </c>
    </row>
    <row r="270" spans="1:37" ht="36" customHeight="1" x14ac:dyDescent="0.4">
      <c r="A270" s="477"/>
      <c r="B270" s="292" t="s">
        <v>265</v>
      </c>
      <c r="C270" s="258">
        <v>36.710999999999999</v>
      </c>
      <c r="D270" s="258">
        <v>145.88999999999999</v>
      </c>
      <c r="E270" s="258">
        <v>16.9695</v>
      </c>
      <c r="F270" s="258">
        <v>82.876499999999993</v>
      </c>
      <c r="G270" s="258">
        <v>0</v>
      </c>
      <c r="H270" s="258">
        <v>0</v>
      </c>
      <c r="I270" s="258">
        <v>0</v>
      </c>
      <c r="J270" s="258"/>
      <c r="K270" s="258"/>
      <c r="L270" s="258">
        <v>0</v>
      </c>
      <c r="M270" s="258">
        <v>4.18</v>
      </c>
      <c r="N270" s="258">
        <v>3.47</v>
      </c>
      <c r="O270" s="258">
        <v>0</v>
      </c>
      <c r="P270" s="286">
        <f>SUM(C270:O270)</f>
        <v>290.09700000000004</v>
      </c>
      <c r="Q270" s="258">
        <v>32.519999999999996</v>
      </c>
      <c r="R270" s="258">
        <v>0</v>
      </c>
      <c r="S270" s="258">
        <v>0</v>
      </c>
      <c r="T270" s="258">
        <v>26.29</v>
      </c>
      <c r="U270" s="258">
        <v>0</v>
      </c>
      <c r="V270" s="258">
        <v>0</v>
      </c>
      <c r="W270" s="258">
        <v>0</v>
      </c>
      <c r="X270" s="258">
        <v>184.5</v>
      </c>
      <c r="Y270" s="258">
        <v>0</v>
      </c>
      <c r="Z270" s="67">
        <v>0</v>
      </c>
      <c r="AA270" s="261"/>
      <c r="AB270" s="286">
        <f>SUM(Q270:AA270)</f>
        <v>243.31</v>
      </c>
      <c r="AC270" s="287">
        <f>P270+AB270</f>
        <v>533.40700000000004</v>
      </c>
      <c r="AD270" s="278"/>
      <c r="AE270" s="278"/>
      <c r="AF270" s="278"/>
      <c r="AG270" s="279"/>
      <c r="AH270" s="479"/>
      <c r="AI270" s="479"/>
      <c r="AJ270" s="479"/>
      <c r="AK270" s="479"/>
    </row>
    <row r="271" spans="1:37" ht="36" customHeight="1" x14ac:dyDescent="0.4">
      <c r="A271" s="477"/>
      <c r="B271" s="304" t="s">
        <v>284</v>
      </c>
      <c r="C271" s="114">
        <v>9252</v>
      </c>
      <c r="D271" s="114">
        <v>37456</v>
      </c>
      <c r="E271" s="114">
        <v>4675</v>
      </c>
      <c r="F271" s="114">
        <v>21619</v>
      </c>
      <c r="G271" s="114">
        <v>1710</v>
      </c>
      <c r="H271" s="114">
        <v>6490</v>
      </c>
      <c r="I271" s="114">
        <v>2553</v>
      </c>
      <c r="J271" s="114"/>
      <c r="K271" s="114"/>
      <c r="L271" s="114">
        <v>102</v>
      </c>
      <c r="M271" s="114">
        <v>876</v>
      </c>
      <c r="N271" s="114">
        <v>1147</v>
      </c>
      <c r="O271" s="114">
        <v>151</v>
      </c>
      <c r="P271" s="286">
        <f>SUM(C271:O271)</f>
        <v>86031</v>
      </c>
      <c r="Q271" s="114">
        <v>1262</v>
      </c>
      <c r="R271" s="114">
        <v>2766</v>
      </c>
      <c r="S271" s="114">
        <v>2020</v>
      </c>
      <c r="T271" s="56">
        <v>3192</v>
      </c>
      <c r="U271" s="114">
        <v>4086</v>
      </c>
      <c r="V271" s="56">
        <v>859</v>
      </c>
      <c r="W271" s="114">
        <v>292</v>
      </c>
      <c r="X271" s="114">
        <v>990</v>
      </c>
      <c r="Y271" s="114">
        <v>204</v>
      </c>
      <c r="Z271" s="114">
        <v>164</v>
      </c>
      <c r="AA271" s="261"/>
      <c r="AB271" s="286">
        <f>SUM(Q271:AA271)</f>
        <v>15835</v>
      </c>
      <c r="AC271" s="287">
        <f>P271+AB271</f>
        <v>101866</v>
      </c>
      <c r="AD271" s="263"/>
      <c r="AE271" s="263"/>
      <c r="AF271" s="263"/>
      <c r="AG271" s="263"/>
      <c r="AH271" s="479"/>
      <c r="AI271" s="479"/>
      <c r="AJ271" s="479"/>
      <c r="AK271" s="479"/>
    </row>
    <row r="272" spans="1:37" ht="36" customHeight="1" x14ac:dyDescent="0.4">
      <c r="A272" s="477"/>
      <c r="B272" s="304" t="s">
        <v>285</v>
      </c>
      <c r="C272" s="469">
        <f>C269+D269+E269+F269+C270+D270+E270+F270</f>
        <v>63048.447</v>
      </c>
      <c r="D272" s="470"/>
      <c r="E272" s="470"/>
      <c r="F272" s="471"/>
      <c r="G272" s="469">
        <f>G269+H269+I269+G270+H270+I270</f>
        <v>8987</v>
      </c>
      <c r="H272" s="470"/>
      <c r="I272" s="471"/>
      <c r="J272" s="273"/>
      <c r="K272" s="273"/>
      <c r="L272" s="469">
        <f>L269+M269+N269+L270+M270+N270</f>
        <v>1594.65</v>
      </c>
      <c r="M272" s="470"/>
      <c r="N272" s="471"/>
      <c r="O272" s="114"/>
      <c r="P272" s="286"/>
      <c r="Q272" s="469">
        <f>Q269+R269+S269+Q270+R270+S270</f>
        <v>5364.52</v>
      </c>
      <c r="R272" s="470"/>
      <c r="S272" s="471"/>
      <c r="T272" s="114"/>
      <c r="U272" s="114"/>
      <c r="V272" s="114"/>
      <c r="W272" s="114"/>
      <c r="X272" s="114"/>
      <c r="Y272" s="114"/>
      <c r="Z272" s="114"/>
      <c r="AA272" s="261"/>
      <c r="AB272" s="286"/>
      <c r="AC272" s="287"/>
      <c r="AD272" s="263"/>
      <c r="AE272" s="263"/>
      <c r="AF272" s="263"/>
      <c r="AG272" s="263"/>
      <c r="AH272" s="479"/>
      <c r="AI272" s="479"/>
      <c r="AJ272" s="479"/>
      <c r="AK272" s="479"/>
    </row>
    <row r="273" spans="1:37" ht="36" customHeight="1" x14ac:dyDescent="0.4">
      <c r="A273" s="477"/>
      <c r="B273" s="304" t="s">
        <v>247</v>
      </c>
      <c r="C273" s="469">
        <f>C271+D271+E271+F271</f>
        <v>73002</v>
      </c>
      <c r="D273" s="470"/>
      <c r="E273" s="470"/>
      <c r="F273" s="471"/>
      <c r="G273" s="469">
        <f>G271+H271+I271</f>
        <v>10753</v>
      </c>
      <c r="H273" s="470"/>
      <c r="I273" s="471"/>
      <c r="J273" s="273"/>
      <c r="K273" s="273"/>
      <c r="L273" s="469">
        <f>L271+M271+N271</f>
        <v>2125</v>
      </c>
      <c r="M273" s="470"/>
      <c r="N273" s="471"/>
      <c r="O273" s="114"/>
      <c r="P273" s="286"/>
      <c r="Q273" s="469">
        <f>Q271+R271+S271</f>
        <v>6048</v>
      </c>
      <c r="R273" s="470"/>
      <c r="S273" s="471"/>
      <c r="T273" s="114"/>
      <c r="U273" s="114"/>
      <c r="V273" s="114"/>
      <c r="W273" s="114"/>
      <c r="X273" s="114"/>
      <c r="Y273" s="114"/>
      <c r="Z273" s="114"/>
      <c r="AA273" s="261"/>
      <c r="AB273" s="286"/>
      <c r="AC273" s="287"/>
      <c r="AD273" s="263"/>
      <c r="AE273" s="263"/>
      <c r="AF273" s="263"/>
      <c r="AG273" s="263"/>
      <c r="AH273" s="479"/>
      <c r="AI273" s="479"/>
      <c r="AJ273" s="479"/>
      <c r="AK273" s="479"/>
    </row>
    <row r="274" spans="1:37" ht="36" customHeight="1" x14ac:dyDescent="0.4">
      <c r="A274" s="477"/>
      <c r="B274" s="297" t="s">
        <v>262</v>
      </c>
      <c r="C274" s="472">
        <f>C272/C273</f>
        <v>0.86365369441933093</v>
      </c>
      <c r="D274" s="473"/>
      <c r="E274" s="473"/>
      <c r="F274" s="474"/>
      <c r="G274" s="472">
        <f>G272/G273</f>
        <v>0.83576676276387984</v>
      </c>
      <c r="H274" s="473"/>
      <c r="I274" s="474"/>
      <c r="J274" s="276"/>
      <c r="K274" s="276"/>
      <c r="L274" s="472">
        <f>L272/L273</f>
        <v>0.75042352941176471</v>
      </c>
      <c r="M274" s="473"/>
      <c r="N274" s="474"/>
      <c r="O274" s="280">
        <f>(O269+O270)/O271</f>
        <v>1</v>
      </c>
      <c r="P274" s="290">
        <f>(P269+P270)/P271</f>
        <v>0.85761059385570315</v>
      </c>
      <c r="Q274" s="472">
        <f>Q272/Q273</f>
        <v>0.8869907407407408</v>
      </c>
      <c r="R274" s="473"/>
      <c r="S274" s="474"/>
      <c r="T274" s="280">
        <f t="shared" ref="T274:Z274" si="46">(T269+T270)/T271</f>
        <v>0.83185776942355893</v>
      </c>
      <c r="U274" s="280">
        <f t="shared" si="46"/>
        <v>0.60695056289769944</v>
      </c>
      <c r="V274" s="280">
        <f t="shared" si="46"/>
        <v>0.87892898719441215</v>
      </c>
      <c r="W274" s="280">
        <f t="shared" si="46"/>
        <v>0.97945205479452058</v>
      </c>
      <c r="X274" s="280">
        <f t="shared" si="46"/>
        <v>0.93181818181818177</v>
      </c>
      <c r="Y274" s="280">
        <f t="shared" si="46"/>
        <v>0.85784313725490191</v>
      </c>
      <c r="Z274" s="280">
        <f t="shared" si="46"/>
        <v>0.81097560975609762</v>
      </c>
      <c r="AA274" s="265"/>
      <c r="AB274" s="290">
        <f>(AB269+AB270)/AB271</f>
        <v>0.80652415535206812</v>
      </c>
      <c r="AC274" s="291">
        <f>(AC269+AC270)/AC271</f>
        <v>0.8496692419453008</v>
      </c>
      <c r="AD274" s="281">
        <f>AD269/$AG$173</f>
        <v>0.52380952380952384</v>
      </c>
      <c r="AE274" s="281">
        <f>AE269/$AG$173</f>
        <v>0.33333333333333331</v>
      </c>
      <c r="AF274" s="281">
        <f>AF269/$AG$173</f>
        <v>0.14285714285714285</v>
      </c>
      <c r="AG274" s="305">
        <f>AG269/$AG$173</f>
        <v>1</v>
      </c>
      <c r="AH274" s="480"/>
      <c r="AI274" s="480"/>
      <c r="AJ274" s="480"/>
      <c r="AK274" s="480"/>
    </row>
    <row r="275" spans="1:37" ht="36" customHeight="1" x14ac:dyDescent="0.4">
      <c r="A275" s="477" t="s">
        <v>302</v>
      </c>
      <c r="B275" s="292" t="s">
        <v>269</v>
      </c>
      <c r="C275" s="258">
        <v>8240</v>
      </c>
      <c r="D275" s="258">
        <v>32685</v>
      </c>
      <c r="E275" s="258">
        <v>3841</v>
      </c>
      <c r="F275" s="258">
        <v>18650</v>
      </c>
      <c r="G275" s="258">
        <v>1573</v>
      </c>
      <c r="H275" s="258">
        <v>5129</v>
      </c>
      <c r="I275" s="258">
        <v>2309</v>
      </c>
      <c r="J275" s="258"/>
      <c r="K275" s="258"/>
      <c r="L275" s="258">
        <v>59</v>
      </c>
      <c r="M275" s="258">
        <v>830</v>
      </c>
      <c r="N275" s="258">
        <v>706</v>
      </c>
      <c r="O275" s="258">
        <v>151</v>
      </c>
      <c r="P275" s="286">
        <f>SUM(C275:O275)</f>
        <v>74173</v>
      </c>
      <c r="Q275" s="258">
        <v>1145</v>
      </c>
      <c r="R275" s="258">
        <v>2289</v>
      </c>
      <c r="S275" s="258">
        <v>1965</v>
      </c>
      <c r="T275" s="258">
        <v>2629</v>
      </c>
      <c r="U275" s="258">
        <v>2558</v>
      </c>
      <c r="V275" s="258">
        <v>767</v>
      </c>
      <c r="W275" s="258">
        <v>286</v>
      </c>
      <c r="X275" s="258">
        <v>757</v>
      </c>
      <c r="Y275" s="67">
        <v>177</v>
      </c>
      <c r="Z275" s="67">
        <v>134</v>
      </c>
      <c r="AA275" s="261"/>
      <c r="AB275" s="286">
        <f>SUM(Q275:AA275)</f>
        <v>12707</v>
      </c>
      <c r="AC275" s="287">
        <f>P275+AB275</f>
        <v>86880</v>
      </c>
      <c r="AD275" s="278">
        <v>13</v>
      </c>
      <c r="AE275" s="278">
        <v>5</v>
      </c>
      <c r="AF275" s="278">
        <v>3</v>
      </c>
      <c r="AG275" s="279">
        <f>SUM(AD275:AF275)</f>
        <v>21</v>
      </c>
      <c r="AH275" s="478">
        <v>2147</v>
      </c>
      <c r="AI275" s="478">
        <v>1620</v>
      </c>
      <c r="AJ275" s="478">
        <v>417</v>
      </c>
      <c r="AK275" s="478">
        <f>SUM(AH275:AJ280)</f>
        <v>4184</v>
      </c>
    </row>
    <row r="276" spans="1:37" ht="36" customHeight="1" x14ac:dyDescent="0.4">
      <c r="A276" s="477"/>
      <c r="B276" s="292" t="s">
        <v>265</v>
      </c>
      <c r="C276" s="258">
        <v>37.08</v>
      </c>
      <c r="D276" s="258">
        <v>147.08249999999998</v>
      </c>
      <c r="E276" s="258">
        <v>17.284499999999998</v>
      </c>
      <c r="F276" s="258">
        <v>83.924999999999997</v>
      </c>
      <c r="G276" s="258">
        <v>0</v>
      </c>
      <c r="H276" s="258">
        <v>0</v>
      </c>
      <c r="I276" s="258">
        <v>0</v>
      </c>
      <c r="J276" s="258"/>
      <c r="K276" s="258"/>
      <c r="L276" s="258">
        <v>0</v>
      </c>
      <c r="M276" s="258">
        <v>4.1500000000000004</v>
      </c>
      <c r="N276" s="258">
        <v>3.5300000000000002</v>
      </c>
      <c r="O276" s="258">
        <v>0</v>
      </c>
      <c r="P276" s="286">
        <f>SUM(C276:O276)</f>
        <v>293.05199999999991</v>
      </c>
      <c r="Q276" s="258">
        <v>32.450000000000003</v>
      </c>
      <c r="R276" s="258">
        <v>0</v>
      </c>
      <c r="S276" s="258">
        <v>0</v>
      </c>
      <c r="T276" s="258">
        <v>26.29</v>
      </c>
      <c r="U276" s="258">
        <v>0</v>
      </c>
      <c r="V276" s="258">
        <v>0</v>
      </c>
      <c r="W276" s="258">
        <v>0</v>
      </c>
      <c r="X276" s="258">
        <v>189.25</v>
      </c>
      <c r="Y276" s="258">
        <v>0</v>
      </c>
      <c r="Z276" s="67">
        <v>0</v>
      </c>
      <c r="AA276" s="261"/>
      <c r="AB276" s="286">
        <f>SUM(Q276:AA276)</f>
        <v>247.99</v>
      </c>
      <c r="AC276" s="287">
        <f>P276+AB276</f>
        <v>541.04199999999992</v>
      </c>
      <c r="AD276" s="278"/>
      <c r="AE276" s="278"/>
      <c r="AF276" s="278"/>
      <c r="AG276" s="279"/>
      <c r="AH276" s="479"/>
      <c r="AI276" s="479"/>
      <c r="AJ276" s="479"/>
      <c r="AK276" s="479"/>
    </row>
    <row r="277" spans="1:37" ht="36" customHeight="1" x14ac:dyDescent="0.4">
      <c r="A277" s="477"/>
      <c r="B277" s="304" t="s">
        <v>284</v>
      </c>
      <c r="C277" s="114">
        <v>9252</v>
      </c>
      <c r="D277" s="114">
        <v>37456</v>
      </c>
      <c r="E277" s="114">
        <v>4675</v>
      </c>
      <c r="F277" s="114">
        <v>21619</v>
      </c>
      <c r="G277" s="114">
        <v>1710</v>
      </c>
      <c r="H277" s="114">
        <v>6490</v>
      </c>
      <c r="I277" s="114">
        <v>2553</v>
      </c>
      <c r="J277" s="114"/>
      <c r="K277" s="114"/>
      <c r="L277" s="114">
        <v>102</v>
      </c>
      <c r="M277" s="114">
        <v>876</v>
      </c>
      <c r="N277" s="114">
        <v>1147</v>
      </c>
      <c r="O277" s="114">
        <v>151</v>
      </c>
      <c r="P277" s="286">
        <f>SUM(C277:O277)</f>
        <v>86031</v>
      </c>
      <c r="Q277" s="114">
        <v>1262</v>
      </c>
      <c r="R277" s="114">
        <v>2766</v>
      </c>
      <c r="S277" s="114">
        <v>2020</v>
      </c>
      <c r="T277" s="56">
        <v>3192</v>
      </c>
      <c r="U277" s="114">
        <v>4086</v>
      </c>
      <c r="V277" s="56">
        <v>859</v>
      </c>
      <c r="W277" s="114">
        <v>292</v>
      </c>
      <c r="X277" s="114">
        <v>990</v>
      </c>
      <c r="Y277" s="114">
        <v>204</v>
      </c>
      <c r="Z277" s="114">
        <v>164</v>
      </c>
      <c r="AA277" s="261"/>
      <c r="AB277" s="286">
        <f>SUM(Q277:AA277)</f>
        <v>15835</v>
      </c>
      <c r="AC277" s="287">
        <f>P277+AB277</f>
        <v>101866</v>
      </c>
      <c r="AD277" s="263"/>
      <c r="AE277" s="263"/>
      <c r="AF277" s="263"/>
      <c r="AG277" s="263"/>
      <c r="AH277" s="479"/>
      <c r="AI277" s="479"/>
      <c r="AJ277" s="479"/>
      <c r="AK277" s="479"/>
    </row>
    <row r="278" spans="1:37" ht="36" customHeight="1" x14ac:dyDescent="0.4">
      <c r="A278" s="477"/>
      <c r="B278" s="304" t="s">
        <v>285</v>
      </c>
      <c r="C278" s="469">
        <f>C275+D275+E275+F275+C276+D276+E276+F276</f>
        <v>63701.372000000003</v>
      </c>
      <c r="D278" s="470"/>
      <c r="E278" s="470"/>
      <c r="F278" s="471"/>
      <c r="G278" s="469">
        <f>G275+H275+I275+G276+H276+I276</f>
        <v>9011</v>
      </c>
      <c r="H278" s="470"/>
      <c r="I278" s="471"/>
      <c r="J278" s="273"/>
      <c r="K278" s="273"/>
      <c r="L278" s="469">
        <f>L275+M275+N275+L276+M276+N276</f>
        <v>1602.68</v>
      </c>
      <c r="M278" s="470"/>
      <c r="N278" s="471"/>
      <c r="O278" s="114"/>
      <c r="P278" s="286"/>
      <c r="Q278" s="469">
        <f>Q275+R275+S275+Q276+R276+S276</f>
        <v>5431.45</v>
      </c>
      <c r="R278" s="470"/>
      <c r="S278" s="471"/>
      <c r="T278" s="114"/>
      <c r="U278" s="114"/>
      <c r="V278" s="114"/>
      <c r="W278" s="114"/>
      <c r="X278" s="114"/>
      <c r="Y278" s="114"/>
      <c r="Z278" s="114"/>
      <c r="AA278" s="261"/>
      <c r="AB278" s="286"/>
      <c r="AC278" s="287"/>
      <c r="AD278" s="263"/>
      <c r="AE278" s="263"/>
      <c r="AF278" s="263"/>
      <c r="AG278" s="263"/>
      <c r="AH278" s="479"/>
      <c r="AI278" s="479"/>
      <c r="AJ278" s="479"/>
      <c r="AK278" s="479"/>
    </row>
    <row r="279" spans="1:37" ht="36" customHeight="1" x14ac:dyDescent="0.4">
      <c r="A279" s="477"/>
      <c r="B279" s="304" t="s">
        <v>247</v>
      </c>
      <c r="C279" s="469">
        <f>C277+D277+E277+F277</f>
        <v>73002</v>
      </c>
      <c r="D279" s="470"/>
      <c r="E279" s="470"/>
      <c r="F279" s="471"/>
      <c r="G279" s="469">
        <f>G277+H277+I277</f>
        <v>10753</v>
      </c>
      <c r="H279" s="470"/>
      <c r="I279" s="471"/>
      <c r="J279" s="273"/>
      <c r="K279" s="273"/>
      <c r="L279" s="469">
        <f>L277+M277+N277</f>
        <v>2125</v>
      </c>
      <c r="M279" s="470"/>
      <c r="N279" s="471"/>
      <c r="O279" s="114"/>
      <c r="P279" s="286"/>
      <c r="Q279" s="469">
        <f>Q277+R277+S277</f>
        <v>6048</v>
      </c>
      <c r="R279" s="470"/>
      <c r="S279" s="471"/>
      <c r="T279" s="114"/>
      <c r="U279" s="114"/>
      <c r="V279" s="114"/>
      <c r="W279" s="114"/>
      <c r="X279" s="114"/>
      <c r="Y279" s="114"/>
      <c r="Z279" s="114"/>
      <c r="AA279" s="261"/>
      <c r="AB279" s="286"/>
      <c r="AC279" s="287"/>
      <c r="AD279" s="263"/>
      <c r="AE279" s="263"/>
      <c r="AF279" s="263"/>
      <c r="AG279" s="263"/>
      <c r="AH279" s="479"/>
      <c r="AI279" s="479"/>
      <c r="AJ279" s="479"/>
      <c r="AK279" s="479"/>
    </row>
    <row r="280" spans="1:37" ht="36" customHeight="1" x14ac:dyDescent="0.4">
      <c r="A280" s="477"/>
      <c r="B280" s="297" t="s">
        <v>262</v>
      </c>
      <c r="C280" s="472">
        <f>C278/C279</f>
        <v>0.87259762746226133</v>
      </c>
      <c r="D280" s="473"/>
      <c r="E280" s="473"/>
      <c r="F280" s="474"/>
      <c r="G280" s="472">
        <f>G278/G279</f>
        <v>0.83799869803775695</v>
      </c>
      <c r="H280" s="473"/>
      <c r="I280" s="474"/>
      <c r="J280" s="276"/>
      <c r="K280" s="276"/>
      <c r="L280" s="472">
        <f>L278/L279</f>
        <v>0.75420235294117655</v>
      </c>
      <c r="M280" s="473"/>
      <c r="N280" s="474"/>
      <c r="O280" s="280">
        <f>(O275+O276)/O277</f>
        <v>1</v>
      </c>
      <c r="P280" s="290">
        <f>(P275+P276)/P277</f>
        <v>0.86557231695551595</v>
      </c>
      <c r="Q280" s="472">
        <f>Q278/Q279</f>
        <v>0.89805720899470898</v>
      </c>
      <c r="R280" s="473"/>
      <c r="S280" s="474"/>
      <c r="T280" s="280">
        <f t="shared" ref="T280:Z280" si="47">(T275+T276)/T277</f>
        <v>0.83185776942355893</v>
      </c>
      <c r="U280" s="280">
        <f t="shared" si="47"/>
        <v>0.62604013705335293</v>
      </c>
      <c r="V280" s="280">
        <f t="shared" si="47"/>
        <v>0.89289871944121069</v>
      </c>
      <c r="W280" s="280">
        <f t="shared" si="47"/>
        <v>0.97945205479452058</v>
      </c>
      <c r="X280" s="280">
        <f t="shared" si="47"/>
        <v>0.95580808080808077</v>
      </c>
      <c r="Y280" s="280">
        <f t="shared" si="47"/>
        <v>0.86764705882352944</v>
      </c>
      <c r="Z280" s="280">
        <f t="shared" si="47"/>
        <v>0.81707317073170727</v>
      </c>
      <c r="AA280" s="265"/>
      <c r="AB280" s="290">
        <f>(AB275+AB276)/AB277</f>
        <v>0.81812377644458478</v>
      </c>
      <c r="AC280" s="291">
        <f>(AC275+AC276)/AC277</f>
        <v>0.85819647379891228</v>
      </c>
      <c r="AD280" s="281">
        <f>AD275/$AG$173</f>
        <v>0.61904761904761907</v>
      </c>
      <c r="AE280" s="281">
        <f>AE275/$AG$173</f>
        <v>0.23809523809523808</v>
      </c>
      <c r="AF280" s="281">
        <f>AF275/$AG$173</f>
        <v>0.14285714285714285</v>
      </c>
      <c r="AG280" s="305">
        <f>AG275/$AG$173</f>
        <v>1</v>
      </c>
      <c r="AH280" s="480"/>
      <c r="AI280" s="480"/>
      <c r="AJ280" s="480"/>
      <c r="AK280" s="480"/>
    </row>
    <row r="281" spans="1:37" ht="36" customHeight="1" x14ac:dyDescent="0.4">
      <c r="A281" s="477" t="s">
        <v>303</v>
      </c>
      <c r="B281" s="292" t="s">
        <v>269</v>
      </c>
      <c r="C281" s="258">
        <v>8185</v>
      </c>
      <c r="D281" s="258">
        <v>32709</v>
      </c>
      <c r="E281" s="258">
        <v>3854</v>
      </c>
      <c r="F281" s="258">
        <v>18689</v>
      </c>
      <c r="G281" s="258">
        <v>1575</v>
      </c>
      <c r="H281" s="258">
        <v>5063</v>
      </c>
      <c r="I281" s="258">
        <v>2318</v>
      </c>
      <c r="J281" s="258"/>
      <c r="K281" s="258"/>
      <c r="L281" s="258">
        <v>60</v>
      </c>
      <c r="M281" s="258">
        <v>823</v>
      </c>
      <c r="N281" s="258">
        <v>708</v>
      </c>
      <c r="O281" s="258">
        <v>151</v>
      </c>
      <c r="P281" s="286">
        <f>SUM(C281:O281)</f>
        <v>74135</v>
      </c>
      <c r="Q281" s="258">
        <v>1212</v>
      </c>
      <c r="R281" s="258">
        <v>2315</v>
      </c>
      <c r="S281" s="258">
        <v>1955</v>
      </c>
      <c r="T281" s="258">
        <v>2657</v>
      </c>
      <c r="U281" s="258">
        <v>2537</v>
      </c>
      <c r="V281" s="258">
        <v>760</v>
      </c>
      <c r="W281" s="258">
        <v>288</v>
      </c>
      <c r="X281" s="258">
        <v>767</v>
      </c>
      <c r="Y281" s="67">
        <v>182</v>
      </c>
      <c r="Z281" s="67">
        <v>134</v>
      </c>
      <c r="AA281" s="261"/>
      <c r="AB281" s="286">
        <f>SUM(Q281:AA281)</f>
        <v>12807</v>
      </c>
      <c r="AC281" s="287">
        <f>P281+AB281</f>
        <v>86942</v>
      </c>
      <c r="AD281" s="278">
        <v>13</v>
      </c>
      <c r="AE281" s="278">
        <v>5</v>
      </c>
      <c r="AF281" s="278">
        <v>3</v>
      </c>
      <c r="AG281" s="279">
        <f>SUM(AD281:AF281)</f>
        <v>21</v>
      </c>
      <c r="AH281" s="478">
        <v>1551</v>
      </c>
      <c r="AI281" s="478">
        <v>1993</v>
      </c>
      <c r="AJ281" s="478">
        <v>611</v>
      </c>
      <c r="AK281" s="478">
        <f>SUM(AH281:AJ286)</f>
        <v>4155</v>
      </c>
    </row>
    <row r="282" spans="1:37" ht="36" customHeight="1" x14ac:dyDescent="0.4">
      <c r="A282" s="477"/>
      <c r="B282" s="292" t="s">
        <v>265</v>
      </c>
      <c r="C282" s="258">
        <v>37.08</v>
      </c>
      <c r="D282" s="258">
        <v>147.08249999999998</v>
      </c>
      <c r="E282" s="258">
        <v>17.284499999999998</v>
      </c>
      <c r="F282" s="258">
        <v>83.924999999999997</v>
      </c>
      <c r="G282" s="258">
        <v>0</v>
      </c>
      <c r="H282" s="258">
        <v>0</v>
      </c>
      <c r="I282" s="258">
        <v>0</v>
      </c>
      <c r="J282" s="258"/>
      <c r="K282" s="258"/>
      <c r="L282" s="258">
        <v>0</v>
      </c>
      <c r="M282" s="258">
        <v>4.1500000000000004</v>
      </c>
      <c r="N282" s="258">
        <v>3.5300000000000002</v>
      </c>
      <c r="O282" s="258">
        <v>0</v>
      </c>
      <c r="P282" s="286">
        <f>SUM(C282:O282)</f>
        <v>293.05199999999991</v>
      </c>
      <c r="Q282" s="258">
        <v>33.120000000000005</v>
      </c>
      <c r="R282" s="258">
        <v>0</v>
      </c>
      <c r="S282" s="258">
        <v>0</v>
      </c>
      <c r="T282" s="258">
        <v>26.57</v>
      </c>
      <c r="U282" s="258">
        <v>0</v>
      </c>
      <c r="V282" s="258">
        <v>0</v>
      </c>
      <c r="W282" s="258">
        <v>0</v>
      </c>
      <c r="X282" s="258">
        <v>191.75</v>
      </c>
      <c r="Y282" s="258">
        <v>0</v>
      </c>
      <c r="Z282" s="67">
        <v>0</v>
      </c>
      <c r="AA282" s="261"/>
      <c r="AB282" s="286">
        <f>SUM(Q282:AA282)</f>
        <v>251.44</v>
      </c>
      <c r="AC282" s="287">
        <f>P282+AB282</f>
        <v>544.49199999999996</v>
      </c>
      <c r="AD282" s="278"/>
      <c r="AE282" s="278"/>
      <c r="AF282" s="278"/>
      <c r="AG282" s="279"/>
      <c r="AH282" s="479"/>
      <c r="AI282" s="479"/>
      <c r="AJ282" s="479"/>
      <c r="AK282" s="479"/>
    </row>
    <row r="283" spans="1:37" ht="36" customHeight="1" x14ac:dyDescent="0.4">
      <c r="A283" s="477"/>
      <c r="B283" s="304" t="s">
        <v>284</v>
      </c>
      <c r="C283" s="114">
        <v>9252</v>
      </c>
      <c r="D283" s="114">
        <v>37456</v>
      </c>
      <c r="E283" s="114">
        <v>4675</v>
      </c>
      <c r="F283" s="114">
        <v>21619</v>
      </c>
      <c r="G283" s="114">
        <v>1710</v>
      </c>
      <c r="H283" s="125">
        <v>763</v>
      </c>
      <c r="I283" s="114">
        <v>2553</v>
      </c>
      <c r="J283" s="114"/>
      <c r="K283" s="114"/>
      <c r="L283" s="114">
        <v>102</v>
      </c>
      <c r="M283" s="114">
        <v>876</v>
      </c>
      <c r="N283" s="114">
        <v>1147</v>
      </c>
      <c r="O283" s="114">
        <v>151</v>
      </c>
      <c r="P283" s="286">
        <f>SUM(C283:O283)</f>
        <v>80304</v>
      </c>
      <c r="Q283" s="114">
        <v>1262</v>
      </c>
      <c r="R283" s="114">
        <v>2766</v>
      </c>
      <c r="S283" s="114">
        <v>2020</v>
      </c>
      <c r="T283" s="56">
        <v>3192</v>
      </c>
      <c r="U283" s="125">
        <v>1132</v>
      </c>
      <c r="V283" s="56">
        <v>859</v>
      </c>
      <c r="W283" s="114">
        <v>292</v>
      </c>
      <c r="X283" s="114">
        <v>990</v>
      </c>
      <c r="Y283" s="114">
        <v>204</v>
      </c>
      <c r="Z283" s="114">
        <v>164</v>
      </c>
      <c r="AA283" s="261"/>
      <c r="AB283" s="286">
        <f>SUM(Q283:AA283)</f>
        <v>12881</v>
      </c>
      <c r="AC283" s="287">
        <f>P283+AB283</f>
        <v>93185</v>
      </c>
      <c r="AD283" s="263"/>
      <c r="AE283" s="263"/>
      <c r="AF283" s="263"/>
      <c r="AG283" s="263"/>
      <c r="AH283" s="479"/>
      <c r="AI283" s="479"/>
      <c r="AJ283" s="479"/>
      <c r="AK283" s="479"/>
    </row>
    <row r="284" spans="1:37" ht="36" customHeight="1" x14ac:dyDescent="0.4">
      <c r="A284" s="477"/>
      <c r="B284" s="304" t="s">
        <v>285</v>
      </c>
      <c r="C284" s="469">
        <f>C281+D281+E281+F281+C282+D282+E282+F282</f>
        <v>63722.372000000003</v>
      </c>
      <c r="D284" s="470"/>
      <c r="E284" s="470"/>
      <c r="F284" s="471"/>
      <c r="G284" s="469">
        <f>G281+H281+I281+G282+H282+I282</f>
        <v>8956</v>
      </c>
      <c r="H284" s="470"/>
      <c r="I284" s="471"/>
      <c r="J284" s="273"/>
      <c r="K284" s="273"/>
      <c r="L284" s="469">
        <f>L281+M281+N281+L282+M282+N282</f>
        <v>1598.68</v>
      </c>
      <c r="M284" s="470"/>
      <c r="N284" s="471"/>
      <c r="O284" s="114"/>
      <c r="P284" s="286"/>
      <c r="Q284" s="469">
        <f>Q281+R281+S281+Q282+R282+S282</f>
        <v>5515.12</v>
      </c>
      <c r="R284" s="470"/>
      <c r="S284" s="471"/>
      <c r="T284" s="114"/>
      <c r="U284" s="114"/>
      <c r="V284" s="114"/>
      <c r="W284" s="114"/>
      <c r="X284" s="114"/>
      <c r="Y284" s="114"/>
      <c r="Z284" s="114"/>
      <c r="AA284" s="261"/>
      <c r="AB284" s="286"/>
      <c r="AC284" s="287"/>
      <c r="AD284" s="263"/>
      <c r="AE284" s="263"/>
      <c r="AF284" s="263"/>
      <c r="AG284" s="263"/>
      <c r="AH284" s="479"/>
      <c r="AI284" s="479"/>
      <c r="AJ284" s="479"/>
      <c r="AK284" s="479"/>
    </row>
    <row r="285" spans="1:37" ht="36" customHeight="1" x14ac:dyDescent="0.4">
      <c r="A285" s="477"/>
      <c r="B285" s="304" t="s">
        <v>247</v>
      </c>
      <c r="C285" s="469">
        <f>C283+D283+E283+F283</f>
        <v>73002</v>
      </c>
      <c r="D285" s="470"/>
      <c r="E285" s="470"/>
      <c r="F285" s="471"/>
      <c r="G285" s="469">
        <f>G283+H283+I283</f>
        <v>5026</v>
      </c>
      <c r="H285" s="470"/>
      <c r="I285" s="471"/>
      <c r="J285" s="273"/>
      <c r="K285" s="273"/>
      <c r="L285" s="469">
        <f>L283+M283+N283</f>
        <v>2125</v>
      </c>
      <c r="M285" s="470"/>
      <c r="N285" s="471"/>
      <c r="O285" s="114"/>
      <c r="P285" s="286"/>
      <c r="Q285" s="469">
        <f>Q283+R283+S283</f>
        <v>6048</v>
      </c>
      <c r="R285" s="470"/>
      <c r="S285" s="471"/>
      <c r="T285" s="114"/>
      <c r="U285" s="114"/>
      <c r="V285" s="114"/>
      <c r="W285" s="114"/>
      <c r="X285" s="114"/>
      <c r="Y285" s="114"/>
      <c r="Z285" s="114"/>
      <c r="AA285" s="261"/>
      <c r="AB285" s="286"/>
      <c r="AC285" s="287"/>
      <c r="AD285" s="263"/>
      <c r="AE285" s="263"/>
      <c r="AF285" s="263"/>
      <c r="AG285" s="263"/>
      <c r="AH285" s="479"/>
      <c r="AI285" s="479"/>
      <c r="AJ285" s="479"/>
      <c r="AK285" s="479"/>
    </row>
    <row r="286" spans="1:37" ht="36" customHeight="1" x14ac:dyDescent="0.4">
      <c r="A286" s="477"/>
      <c r="B286" s="297" t="s">
        <v>262</v>
      </c>
      <c r="C286" s="472">
        <f>C284/C285</f>
        <v>0.87288529081395039</v>
      </c>
      <c r="D286" s="473"/>
      <c r="E286" s="473"/>
      <c r="F286" s="474"/>
      <c r="G286" s="472">
        <f>G284/G285</f>
        <v>1.7819339434938322</v>
      </c>
      <c r="H286" s="473"/>
      <c r="I286" s="474"/>
      <c r="J286" s="276"/>
      <c r="K286" s="276"/>
      <c r="L286" s="472">
        <f>L284/L285</f>
        <v>0.75231999999999999</v>
      </c>
      <c r="M286" s="473"/>
      <c r="N286" s="474"/>
      <c r="O286" s="280">
        <f>(O281+O282)/O283</f>
        <v>1</v>
      </c>
      <c r="P286" s="290">
        <f>(P281+P282)/P283</f>
        <v>0.92682870093644143</v>
      </c>
      <c r="Q286" s="472">
        <f>Q284/Q285</f>
        <v>0.91189153439153436</v>
      </c>
      <c r="R286" s="473"/>
      <c r="S286" s="474"/>
      <c r="T286" s="280">
        <f t="shared" ref="T286:Z286" si="48">(T281+T282)/T283</f>
        <v>0.84071741854636595</v>
      </c>
      <c r="U286" s="280">
        <f t="shared" si="48"/>
        <v>2.2411660777385158</v>
      </c>
      <c r="V286" s="280">
        <f t="shared" si="48"/>
        <v>0.88474970896391147</v>
      </c>
      <c r="W286" s="280">
        <f t="shared" si="48"/>
        <v>0.98630136986301364</v>
      </c>
      <c r="X286" s="280">
        <f t="shared" si="48"/>
        <v>0.96843434343434343</v>
      </c>
      <c r="Y286" s="280">
        <f t="shared" si="48"/>
        <v>0.89215686274509809</v>
      </c>
      <c r="Z286" s="280">
        <f t="shared" si="48"/>
        <v>0.81707317073170727</v>
      </c>
      <c r="AA286" s="265"/>
      <c r="AB286" s="290">
        <f>(AB281+AB282)/AB283</f>
        <v>1.0137753280024844</v>
      </c>
      <c r="AC286" s="291">
        <f>(AC281+AC282)/AC283</f>
        <v>0.93884736813864889</v>
      </c>
      <c r="AD286" s="281">
        <f>AD281/$AG$173</f>
        <v>0.61904761904761907</v>
      </c>
      <c r="AE286" s="281">
        <f>AE281/$AG$173</f>
        <v>0.23809523809523808</v>
      </c>
      <c r="AF286" s="281">
        <f>AF281/$AG$173</f>
        <v>0.14285714285714285</v>
      </c>
      <c r="AG286" s="305">
        <f>AG281/$AG$173</f>
        <v>1</v>
      </c>
      <c r="AH286" s="480"/>
      <c r="AI286" s="480"/>
      <c r="AJ286" s="480"/>
      <c r="AK286" s="480"/>
    </row>
    <row r="287" spans="1:37" ht="36" customHeight="1" x14ac:dyDescent="0.4">
      <c r="A287" s="477" t="s">
        <v>304</v>
      </c>
      <c r="B287" s="292" t="s">
        <v>269</v>
      </c>
      <c r="C287" s="258">
        <v>8044</v>
      </c>
      <c r="D287" s="258">
        <v>32692</v>
      </c>
      <c r="E287" s="258">
        <v>3717</v>
      </c>
      <c r="F287" s="258">
        <v>18893</v>
      </c>
      <c r="G287" s="258">
        <v>1581</v>
      </c>
      <c r="H287" s="258">
        <v>5059</v>
      </c>
      <c r="I287" s="258">
        <v>2282</v>
      </c>
      <c r="J287" s="258"/>
      <c r="K287" s="258"/>
      <c r="L287" s="258">
        <v>52</v>
      </c>
      <c r="M287" s="258">
        <v>829</v>
      </c>
      <c r="N287" s="258">
        <v>708</v>
      </c>
      <c r="O287" s="258">
        <v>151</v>
      </c>
      <c r="P287" s="286">
        <f>SUM(C287:O287)</f>
        <v>74008</v>
      </c>
      <c r="Q287" s="258">
        <v>1220</v>
      </c>
      <c r="R287" s="258">
        <v>2320</v>
      </c>
      <c r="S287" s="258">
        <v>1964</v>
      </c>
      <c r="T287" s="258">
        <v>2679</v>
      </c>
      <c r="U287" s="258">
        <v>2582</v>
      </c>
      <c r="V287" s="258">
        <v>771</v>
      </c>
      <c r="W287" s="258">
        <v>290</v>
      </c>
      <c r="X287" s="258">
        <v>777</v>
      </c>
      <c r="Y287" s="67">
        <v>185</v>
      </c>
      <c r="Z287" s="67">
        <v>134</v>
      </c>
      <c r="AA287" s="261"/>
      <c r="AB287" s="286">
        <f>SUM(Q287:AA287)</f>
        <v>12922</v>
      </c>
      <c r="AC287" s="287">
        <f>P287+AB287</f>
        <v>86930</v>
      </c>
      <c r="AD287" s="278">
        <v>13</v>
      </c>
      <c r="AE287" s="278">
        <v>5</v>
      </c>
      <c r="AF287" s="278">
        <v>3</v>
      </c>
      <c r="AG287" s="279">
        <f>SUM(AD287:AF287)</f>
        <v>21</v>
      </c>
      <c r="AH287" s="478">
        <v>1667</v>
      </c>
      <c r="AI287" s="478">
        <v>2350</v>
      </c>
      <c r="AJ287" s="478">
        <v>761</v>
      </c>
      <c r="AK287" s="478">
        <f>SUM(AH287:AJ292)</f>
        <v>4778</v>
      </c>
    </row>
    <row r="288" spans="1:37" ht="36" customHeight="1" x14ac:dyDescent="0.4">
      <c r="A288" s="477"/>
      <c r="B288" s="292" t="s">
        <v>265</v>
      </c>
      <c r="C288" s="258">
        <v>36.198</v>
      </c>
      <c r="D288" s="258">
        <v>147.11399999999998</v>
      </c>
      <c r="E288" s="258">
        <v>16.726499999999998</v>
      </c>
      <c r="F288" s="258">
        <v>85.018499999999989</v>
      </c>
      <c r="G288" s="258">
        <v>0</v>
      </c>
      <c r="H288" s="258">
        <v>0</v>
      </c>
      <c r="I288" s="258">
        <v>0</v>
      </c>
      <c r="J288" s="258"/>
      <c r="K288" s="258"/>
      <c r="L288" s="258">
        <v>0</v>
      </c>
      <c r="M288" s="258">
        <v>4.1450000000000005</v>
      </c>
      <c r="N288" s="258">
        <v>3.54</v>
      </c>
      <c r="O288" s="258">
        <v>0</v>
      </c>
      <c r="P288" s="286">
        <f>SUM(C288:O288)</f>
        <v>292.74199999999996</v>
      </c>
      <c r="Q288" s="258">
        <v>33.200000000000003</v>
      </c>
      <c r="R288" s="258">
        <v>0</v>
      </c>
      <c r="S288" s="258">
        <v>0</v>
      </c>
      <c r="T288" s="258">
        <v>26.79</v>
      </c>
      <c r="U288" s="258">
        <v>0</v>
      </c>
      <c r="V288" s="258">
        <v>0</v>
      </c>
      <c r="W288" s="258">
        <v>0</v>
      </c>
      <c r="X288" s="258">
        <v>194.25</v>
      </c>
      <c r="Y288" s="258">
        <v>0</v>
      </c>
      <c r="Z288" s="67">
        <v>0</v>
      </c>
      <c r="AA288" s="261"/>
      <c r="AB288" s="286">
        <f>SUM(Q288:AA288)</f>
        <v>254.24</v>
      </c>
      <c r="AC288" s="287">
        <f>P288+AB288</f>
        <v>546.98199999999997</v>
      </c>
      <c r="AD288" s="278"/>
      <c r="AE288" s="278"/>
      <c r="AF288" s="278"/>
      <c r="AG288" s="279"/>
      <c r="AH288" s="479"/>
      <c r="AI288" s="479"/>
      <c r="AJ288" s="479"/>
      <c r="AK288" s="479"/>
    </row>
    <row r="289" spans="1:37" ht="36" customHeight="1" x14ac:dyDescent="0.4">
      <c r="A289" s="477"/>
      <c r="B289" s="304" t="s">
        <v>284</v>
      </c>
      <c r="C289" s="114">
        <v>9252</v>
      </c>
      <c r="D289" s="114">
        <v>37456</v>
      </c>
      <c r="E289" s="114">
        <v>4675</v>
      </c>
      <c r="F289" s="114">
        <v>21619</v>
      </c>
      <c r="G289" s="114">
        <v>1710</v>
      </c>
      <c r="H289" s="125">
        <v>763</v>
      </c>
      <c r="I289" s="114">
        <v>2553</v>
      </c>
      <c r="J289" s="114"/>
      <c r="K289" s="114"/>
      <c r="L289" s="114">
        <v>102</v>
      </c>
      <c r="M289" s="114">
        <v>876</v>
      </c>
      <c r="N289" s="114">
        <v>1147</v>
      </c>
      <c r="O289" s="114">
        <v>151</v>
      </c>
      <c r="P289" s="286">
        <f>SUM(C289:O289)</f>
        <v>80304</v>
      </c>
      <c r="Q289" s="114">
        <v>1262</v>
      </c>
      <c r="R289" s="114">
        <v>2766</v>
      </c>
      <c r="S289" s="114">
        <v>2020</v>
      </c>
      <c r="T289" s="114">
        <v>3192</v>
      </c>
      <c r="U289" s="125">
        <v>1132</v>
      </c>
      <c r="V289" s="114">
        <v>859</v>
      </c>
      <c r="W289" s="114">
        <v>292</v>
      </c>
      <c r="X289" s="114">
        <v>990</v>
      </c>
      <c r="Y289" s="114">
        <v>204</v>
      </c>
      <c r="Z289" s="114">
        <v>164</v>
      </c>
      <c r="AA289" s="261"/>
      <c r="AB289" s="286">
        <f>SUM(Q289:AA289)</f>
        <v>12881</v>
      </c>
      <c r="AC289" s="287">
        <f>P289+AB289</f>
        <v>93185</v>
      </c>
      <c r="AD289" s="263"/>
      <c r="AE289" s="263"/>
      <c r="AF289" s="263"/>
      <c r="AG289" s="263"/>
      <c r="AH289" s="479"/>
      <c r="AI289" s="479"/>
      <c r="AJ289" s="479"/>
      <c r="AK289" s="479"/>
    </row>
    <row r="290" spans="1:37" ht="36" customHeight="1" x14ac:dyDescent="0.4">
      <c r="A290" s="477"/>
      <c r="B290" s="304" t="s">
        <v>285</v>
      </c>
      <c r="C290" s="469">
        <f>C287+D287+E287+F287+C288+D288+E288+F288</f>
        <v>63631.056999999993</v>
      </c>
      <c r="D290" s="470"/>
      <c r="E290" s="470"/>
      <c r="F290" s="471"/>
      <c r="G290" s="469">
        <f>G287+H287+I287+G288+H288+I288</f>
        <v>8922</v>
      </c>
      <c r="H290" s="470"/>
      <c r="I290" s="471"/>
      <c r="J290" s="273"/>
      <c r="K290" s="273"/>
      <c r="L290" s="469">
        <f>L287+M287+N287+L288+M288+N288</f>
        <v>1596.6849999999999</v>
      </c>
      <c r="M290" s="470"/>
      <c r="N290" s="471"/>
      <c r="O290" s="114"/>
      <c r="P290" s="286"/>
      <c r="Q290" s="469">
        <f>Q287+R287+S287+Q288+R288+S288</f>
        <v>5537.2</v>
      </c>
      <c r="R290" s="470"/>
      <c r="S290" s="471"/>
      <c r="T290" s="114"/>
      <c r="U290" s="114"/>
      <c r="V290" s="114"/>
      <c r="W290" s="114"/>
      <c r="X290" s="114"/>
      <c r="Y290" s="114"/>
      <c r="Z290" s="114"/>
      <c r="AA290" s="261"/>
      <c r="AB290" s="286"/>
      <c r="AC290" s="287"/>
      <c r="AD290" s="263"/>
      <c r="AE290" s="263"/>
      <c r="AF290" s="263"/>
      <c r="AG290" s="263"/>
      <c r="AH290" s="479"/>
      <c r="AI290" s="479"/>
      <c r="AJ290" s="479"/>
      <c r="AK290" s="479"/>
    </row>
    <row r="291" spans="1:37" ht="36" customHeight="1" x14ac:dyDescent="0.4">
      <c r="A291" s="477"/>
      <c r="B291" s="304" t="s">
        <v>247</v>
      </c>
      <c r="C291" s="469">
        <f>C289+D289+E289+F289</f>
        <v>73002</v>
      </c>
      <c r="D291" s="470"/>
      <c r="E291" s="470"/>
      <c r="F291" s="471"/>
      <c r="G291" s="469">
        <f>G289+H289+I289</f>
        <v>5026</v>
      </c>
      <c r="H291" s="470"/>
      <c r="I291" s="471"/>
      <c r="J291" s="273"/>
      <c r="K291" s="273"/>
      <c r="L291" s="469">
        <f>L289+M289+N289</f>
        <v>2125</v>
      </c>
      <c r="M291" s="470"/>
      <c r="N291" s="471"/>
      <c r="O291" s="114"/>
      <c r="P291" s="286"/>
      <c r="Q291" s="469">
        <f>Q289+R289+S289</f>
        <v>6048</v>
      </c>
      <c r="R291" s="470"/>
      <c r="S291" s="471"/>
      <c r="T291" s="114"/>
      <c r="U291" s="114"/>
      <c r="V291" s="114"/>
      <c r="W291" s="114"/>
      <c r="X291" s="114"/>
      <c r="Y291" s="114"/>
      <c r="Z291" s="114"/>
      <c r="AA291" s="261"/>
      <c r="AB291" s="286"/>
      <c r="AC291" s="287"/>
      <c r="AD291" s="263"/>
      <c r="AE291" s="263"/>
      <c r="AF291" s="263"/>
      <c r="AG291" s="263"/>
      <c r="AH291" s="479"/>
      <c r="AI291" s="479"/>
      <c r="AJ291" s="479"/>
      <c r="AK291" s="479"/>
    </row>
    <row r="292" spans="1:37" ht="36" customHeight="1" x14ac:dyDescent="0.4">
      <c r="A292" s="477"/>
      <c r="B292" s="297" t="s">
        <v>262</v>
      </c>
      <c r="C292" s="472">
        <f>C290/C291</f>
        <v>0.8716344346730226</v>
      </c>
      <c r="D292" s="473"/>
      <c r="E292" s="473"/>
      <c r="F292" s="474"/>
      <c r="G292" s="472">
        <f>G290/G291</f>
        <v>1.7751691205730202</v>
      </c>
      <c r="H292" s="473"/>
      <c r="I292" s="474"/>
      <c r="J292" s="276"/>
      <c r="K292" s="276"/>
      <c r="L292" s="472">
        <f>L290/L291</f>
        <v>0.75138117647058822</v>
      </c>
      <c r="M292" s="473"/>
      <c r="N292" s="474"/>
      <c r="O292" s="280">
        <f>(O287+O288)/O289</f>
        <v>1</v>
      </c>
      <c r="P292" s="290">
        <f>(P287+P288)/P289</f>
        <v>0.92524335026897786</v>
      </c>
      <c r="Q292" s="472">
        <f>Q290/Q291</f>
        <v>0.91554232804232805</v>
      </c>
      <c r="R292" s="473"/>
      <c r="S292" s="474"/>
      <c r="T292" s="280">
        <f t="shared" ref="T292:Z292" si="49">(T287+T288)/T289</f>
        <v>0.84767857142857139</v>
      </c>
      <c r="U292" s="280">
        <f t="shared" si="49"/>
        <v>2.2809187279151946</v>
      </c>
      <c r="V292" s="280">
        <f t="shared" si="49"/>
        <v>0.89755529685681024</v>
      </c>
      <c r="W292" s="280">
        <f t="shared" si="49"/>
        <v>0.99315068493150682</v>
      </c>
      <c r="X292" s="280">
        <f t="shared" si="49"/>
        <v>0.98106060606060608</v>
      </c>
      <c r="Y292" s="280">
        <f t="shared" si="49"/>
        <v>0.90686274509803921</v>
      </c>
      <c r="Z292" s="280">
        <f t="shared" si="49"/>
        <v>0.81707317073170727</v>
      </c>
      <c r="AA292" s="265"/>
      <c r="AB292" s="290">
        <f>(AB287+AB288)/AB289</f>
        <v>1.0229205807002562</v>
      </c>
      <c r="AC292" s="291">
        <f>(AC287+AC288)/AC289</f>
        <v>0.93874531308687026</v>
      </c>
      <c r="AD292" s="281">
        <f>AD287/$AG$173</f>
        <v>0.61904761904761907</v>
      </c>
      <c r="AE292" s="281">
        <f>AE287/$AG$173</f>
        <v>0.23809523809523808</v>
      </c>
      <c r="AF292" s="281">
        <f>AF287/$AG$173</f>
        <v>0.14285714285714285</v>
      </c>
      <c r="AG292" s="305">
        <f>AG287/$AG$173</f>
        <v>1</v>
      </c>
      <c r="AH292" s="480"/>
      <c r="AI292" s="480"/>
      <c r="AJ292" s="480"/>
      <c r="AK292" s="480"/>
    </row>
    <row r="293" spans="1:37" ht="36" customHeight="1" x14ac:dyDescent="0.4">
      <c r="A293" s="477" t="s">
        <v>305</v>
      </c>
      <c r="B293" s="292" t="s">
        <v>269</v>
      </c>
      <c r="C293" s="258">
        <v>8004</v>
      </c>
      <c r="D293" s="258">
        <v>32835</v>
      </c>
      <c r="E293" s="258">
        <v>3842</v>
      </c>
      <c r="F293" s="258">
        <v>19124</v>
      </c>
      <c r="G293" s="258">
        <v>1602</v>
      </c>
      <c r="H293" s="258">
        <v>5042</v>
      </c>
      <c r="I293" s="258">
        <v>2363</v>
      </c>
      <c r="J293" s="258"/>
      <c r="K293" s="258"/>
      <c r="L293" s="258">
        <v>86</v>
      </c>
      <c r="M293" s="258">
        <v>826</v>
      </c>
      <c r="N293" s="258">
        <v>710</v>
      </c>
      <c r="O293" s="258">
        <v>151</v>
      </c>
      <c r="P293" s="286">
        <f>SUM(C293:O293)</f>
        <v>74585</v>
      </c>
      <c r="Q293" s="258">
        <v>1146</v>
      </c>
      <c r="R293" s="258">
        <v>2366</v>
      </c>
      <c r="S293" s="258">
        <v>1985</v>
      </c>
      <c r="T293" s="258">
        <v>2733</v>
      </c>
      <c r="U293" s="258">
        <v>2537</v>
      </c>
      <c r="V293" s="258">
        <v>770</v>
      </c>
      <c r="W293" s="258">
        <v>290</v>
      </c>
      <c r="X293" s="258">
        <v>784</v>
      </c>
      <c r="Y293" s="67">
        <v>184</v>
      </c>
      <c r="Z293" s="67">
        <v>134</v>
      </c>
      <c r="AA293" s="261"/>
      <c r="AB293" s="286">
        <f>SUM(Q293:AA293)</f>
        <v>12929</v>
      </c>
      <c r="AC293" s="287">
        <f>P293+AB293</f>
        <v>87514</v>
      </c>
      <c r="AD293" s="278">
        <v>14</v>
      </c>
      <c r="AE293" s="278">
        <v>5</v>
      </c>
      <c r="AF293" s="278">
        <v>2</v>
      </c>
      <c r="AG293" s="279">
        <f>SUM(AD293:AF293)</f>
        <v>21</v>
      </c>
      <c r="AH293" s="478">
        <v>2086</v>
      </c>
      <c r="AI293" s="478">
        <v>2329</v>
      </c>
      <c r="AJ293" s="478">
        <v>824</v>
      </c>
      <c r="AK293" s="478">
        <f>SUM(AH293:AJ298)</f>
        <v>5239</v>
      </c>
    </row>
    <row r="294" spans="1:37" ht="36" customHeight="1" x14ac:dyDescent="0.4">
      <c r="A294" s="477"/>
      <c r="B294" s="292" t="s">
        <v>265</v>
      </c>
      <c r="C294" s="258">
        <v>36.018000000000001</v>
      </c>
      <c r="D294" s="258">
        <v>147.75749999999999</v>
      </c>
      <c r="E294" s="258">
        <v>17.288999999999998</v>
      </c>
      <c r="F294" s="258">
        <v>86.057999999999993</v>
      </c>
      <c r="G294" s="258">
        <v>0</v>
      </c>
      <c r="H294" s="258">
        <v>0</v>
      </c>
      <c r="I294" s="258">
        <v>0</v>
      </c>
      <c r="J294" s="258"/>
      <c r="K294" s="258"/>
      <c r="L294" s="258">
        <v>0</v>
      </c>
      <c r="M294" s="258">
        <v>3.7169999999999996</v>
      </c>
      <c r="N294" s="258">
        <v>3.1949999999999998</v>
      </c>
      <c r="O294" s="258">
        <v>0</v>
      </c>
      <c r="P294" s="286">
        <f>SUM(C294:O294)</f>
        <v>294.03449999999992</v>
      </c>
      <c r="Q294" s="258">
        <v>32.46</v>
      </c>
      <c r="R294" s="258">
        <v>0</v>
      </c>
      <c r="S294" s="258">
        <v>0</v>
      </c>
      <c r="T294" s="258">
        <v>27.330000000000002</v>
      </c>
      <c r="U294" s="258">
        <v>0</v>
      </c>
      <c r="V294" s="258">
        <v>0</v>
      </c>
      <c r="W294" s="258">
        <v>0</v>
      </c>
      <c r="X294" s="258">
        <v>156.80000000000001</v>
      </c>
      <c r="Y294" s="258">
        <v>0</v>
      </c>
      <c r="Z294" s="67">
        <v>0</v>
      </c>
      <c r="AA294" s="261"/>
      <c r="AB294" s="286">
        <f>SUM(Q294:AA294)</f>
        <v>216.59000000000003</v>
      </c>
      <c r="AC294" s="287">
        <f>P294+AB294</f>
        <v>510.62449999999995</v>
      </c>
      <c r="AD294" s="278"/>
      <c r="AE294" s="278"/>
      <c r="AF294" s="278"/>
      <c r="AG294" s="279"/>
      <c r="AH294" s="479"/>
      <c r="AI294" s="479"/>
      <c r="AJ294" s="479"/>
      <c r="AK294" s="479"/>
    </row>
    <row r="295" spans="1:37" ht="36" customHeight="1" x14ac:dyDescent="0.4">
      <c r="A295" s="477"/>
      <c r="B295" s="304" t="s">
        <v>284</v>
      </c>
      <c r="C295" s="114">
        <v>9252</v>
      </c>
      <c r="D295" s="114">
        <v>37456</v>
      </c>
      <c r="E295" s="114">
        <v>4675</v>
      </c>
      <c r="F295" s="114">
        <v>21619</v>
      </c>
      <c r="G295" s="114">
        <v>1710</v>
      </c>
      <c r="H295" s="125">
        <v>763</v>
      </c>
      <c r="I295" s="114">
        <v>2553</v>
      </c>
      <c r="J295" s="114"/>
      <c r="K295" s="114"/>
      <c r="L295" s="114">
        <v>102</v>
      </c>
      <c r="M295" s="114">
        <v>876</v>
      </c>
      <c r="N295" s="114">
        <v>1147</v>
      </c>
      <c r="O295" s="114">
        <v>151</v>
      </c>
      <c r="P295" s="286">
        <f>SUM(C295:O295)</f>
        <v>80304</v>
      </c>
      <c r="Q295" s="114">
        <v>1262</v>
      </c>
      <c r="R295" s="114">
        <v>2766</v>
      </c>
      <c r="S295" s="114">
        <v>2020</v>
      </c>
      <c r="T295" s="114">
        <v>3192</v>
      </c>
      <c r="U295" s="125">
        <v>1132</v>
      </c>
      <c r="V295" s="114">
        <v>859</v>
      </c>
      <c r="W295" s="114">
        <v>292</v>
      </c>
      <c r="X295" s="114">
        <v>990</v>
      </c>
      <c r="Y295" s="114">
        <v>204</v>
      </c>
      <c r="Z295" s="114">
        <v>164</v>
      </c>
      <c r="AA295" s="261"/>
      <c r="AB295" s="286">
        <f>SUM(Q295:AA295)</f>
        <v>12881</v>
      </c>
      <c r="AC295" s="287">
        <f>P295+AB295</f>
        <v>93185</v>
      </c>
      <c r="AD295" s="263"/>
      <c r="AE295" s="263"/>
      <c r="AF295" s="263"/>
      <c r="AG295" s="263"/>
      <c r="AH295" s="479"/>
      <c r="AI295" s="479"/>
      <c r="AJ295" s="479"/>
      <c r="AK295" s="479"/>
    </row>
    <row r="296" spans="1:37" ht="36" customHeight="1" x14ac:dyDescent="0.4">
      <c r="A296" s="477"/>
      <c r="B296" s="304" t="s">
        <v>285</v>
      </c>
      <c r="C296" s="469">
        <f>C293+D293+E293+F293+C294+D294+E294+F294</f>
        <v>64092.12249999999</v>
      </c>
      <c r="D296" s="470"/>
      <c r="E296" s="470"/>
      <c r="F296" s="471"/>
      <c r="G296" s="469">
        <f>G293+H293+I293+G294+H294+I294</f>
        <v>9007</v>
      </c>
      <c r="H296" s="470"/>
      <c r="I296" s="471"/>
      <c r="J296" s="273"/>
      <c r="K296" s="273"/>
      <c r="L296" s="469">
        <f>L293+M293+N293+L294+M294+N294</f>
        <v>1628.912</v>
      </c>
      <c r="M296" s="470"/>
      <c r="N296" s="471"/>
      <c r="O296" s="114"/>
      <c r="P296" s="286"/>
      <c r="Q296" s="469">
        <f>Q293+R293+S293+Q294+R294+S294</f>
        <v>5529.46</v>
      </c>
      <c r="R296" s="470"/>
      <c r="S296" s="471"/>
      <c r="T296" s="114"/>
      <c r="U296" s="114"/>
      <c r="V296" s="114"/>
      <c r="W296" s="114"/>
      <c r="X296" s="114"/>
      <c r="Y296" s="114"/>
      <c r="Z296" s="114"/>
      <c r="AA296" s="261"/>
      <c r="AB296" s="286"/>
      <c r="AC296" s="287"/>
      <c r="AD296" s="263"/>
      <c r="AE296" s="263"/>
      <c r="AF296" s="263"/>
      <c r="AG296" s="263"/>
      <c r="AH296" s="479"/>
      <c r="AI296" s="479"/>
      <c r="AJ296" s="479"/>
      <c r="AK296" s="479"/>
    </row>
    <row r="297" spans="1:37" ht="36" customHeight="1" x14ac:dyDescent="0.4">
      <c r="A297" s="477"/>
      <c r="B297" s="304" t="s">
        <v>247</v>
      </c>
      <c r="C297" s="469">
        <f>C295+D295+E295+F295</f>
        <v>73002</v>
      </c>
      <c r="D297" s="470"/>
      <c r="E297" s="470"/>
      <c r="F297" s="471"/>
      <c r="G297" s="469">
        <f>G295+H295+I295</f>
        <v>5026</v>
      </c>
      <c r="H297" s="470"/>
      <c r="I297" s="471"/>
      <c r="J297" s="273"/>
      <c r="K297" s="273"/>
      <c r="L297" s="469">
        <f>L295+M295+N295</f>
        <v>2125</v>
      </c>
      <c r="M297" s="470"/>
      <c r="N297" s="471"/>
      <c r="O297" s="114"/>
      <c r="P297" s="286"/>
      <c r="Q297" s="469">
        <f>Q295+R295+S295</f>
        <v>6048</v>
      </c>
      <c r="R297" s="470"/>
      <c r="S297" s="471"/>
      <c r="T297" s="114"/>
      <c r="U297" s="114"/>
      <c r="V297" s="114"/>
      <c r="W297" s="114"/>
      <c r="X297" s="114"/>
      <c r="Y297" s="114"/>
      <c r="Z297" s="114"/>
      <c r="AA297" s="261"/>
      <c r="AB297" s="286"/>
      <c r="AC297" s="287"/>
      <c r="AD297" s="263"/>
      <c r="AE297" s="263"/>
      <c r="AF297" s="263"/>
      <c r="AG297" s="263"/>
      <c r="AH297" s="479"/>
      <c r="AI297" s="479"/>
      <c r="AJ297" s="479"/>
      <c r="AK297" s="479"/>
    </row>
    <row r="298" spans="1:37" ht="36" customHeight="1" x14ac:dyDescent="0.4">
      <c r="A298" s="477"/>
      <c r="B298" s="297" t="s">
        <v>262</v>
      </c>
      <c r="C298" s="472">
        <f>C296/C297</f>
        <v>0.87795022739103024</v>
      </c>
      <c r="D298" s="473"/>
      <c r="E298" s="473"/>
      <c r="F298" s="474"/>
      <c r="G298" s="472">
        <f>G296/G297</f>
        <v>1.7920811778750498</v>
      </c>
      <c r="H298" s="473"/>
      <c r="I298" s="474"/>
      <c r="J298" s="276"/>
      <c r="K298" s="276"/>
      <c r="L298" s="472">
        <f>L296/L297</f>
        <v>0.76654682352941184</v>
      </c>
      <c r="M298" s="473"/>
      <c r="N298" s="474"/>
      <c r="O298" s="280">
        <f>(O293+O294)/O295</f>
        <v>1</v>
      </c>
      <c r="P298" s="290">
        <f>(P293+P294)/P295</f>
        <v>0.93244464161187479</v>
      </c>
      <c r="Q298" s="472">
        <f>Q296/Q297</f>
        <v>0.91426256613756618</v>
      </c>
      <c r="R298" s="473"/>
      <c r="S298" s="474"/>
      <c r="T298" s="280">
        <f t="shared" ref="T298:Z298" si="50">(T293+T294)/T295</f>
        <v>0.86476503759398493</v>
      </c>
      <c r="U298" s="280">
        <f t="shared" si="50"/>
        <v>2.2411660777385158</v>
      </c>
      <c r="V298" s="280">
        <f t="shared" si="50"/>
        <v>0.89639115250291035</v>
      </c>
      <c r="W298" s="280">
        <f t="shared" si="50"/>
        <v>0.99315068493150682</v>
      </c>
      <c r="X298" s="280">
        <f t="shared" si="50"/>
        <v>0.95030303030303021</v>
      </c>
      <c r="Y298" s="280">
        <f t="shared" si="50"/>
        <v>0.90196078431372551</v>
      </c>
      <c r="Z298" s="280">
        <f t="shared" si="50"/>
        <v>0.81707317073170727</v>
      </c>
      <c r="AA298" s="265"/>
      <c r="AB298" s="290">
        <f>(AB293+AB294)/AB295</f>
        <v>1.0205411070569055</v>
      </c>
      <c r="AC298" s="291">
        <f>(AC293+AC294)/AC295</f>
        <v>0.94462225143531686</v>
      </c>
      <c r="AD298" s="281">
        <f>AD293/$AG$173</f>
        <v>0.66666666666666663</v>
      </c>
      <c r="AE298" s="281">
        <f>AE293/$AG$173</f>
        <v>0.23809523809523808</v>
      </c>
      <c r="AF298" s="281">
        <f>AF293/$AG$173</f>
        <v>9.5238095238095233E-2</v>
      </c>
      <c r="AG298" s="305">
        <f>AG293/$AG$173</f>
        <v>1</v>
      </c>
      <c r="AH298" s="480"/>
      <c r="AI298" s="480"/>
      <c r="AJ298" s="480"/>
      <c r="AK298" s="480"/>
    </row>
    <row r="299" spans="1:37" ht="36" customHeight="1" x14ac:dyDescent="0.4">
      <c r="A299" s="477" t="s">
        <v>306</v>
      </c>
      <c r="B299" s="292" t="s">
        <v>269</v>
      </c>
      <c r="C299" s="258">
        <v>7907</v>
      </c>
      <c r="D299" s="258">
        <v>32886</v>
      </c>
      <c r="E299" s="258">
        <v>3872</v>
      </c>
      <c r="F299" s="258">
        <v>19430</v>
      </c>
      <c r="G299" s="258">
        <v>1609</v>
      </c>
      <c r="H299" s="258">
        <v>5214</v>
      </c>
      <c r="I299" s="258">
        <v>2410</v>
      </c>
      <c r="J299" s="258"/>
      <c r="K299" s="258"/>
      <c r="L299" s="258">
        <v>86</v>
      </c>
      <c r="M299" s="258">
        <v>828</v>
      </c>
      <c r="N299" s="258">
        <v>711</v>
      </c>
      <c r="O299" s="258">
        <v>151</v>
      </c>
      <c r="P299" s="286">
        <f>SUM(C299:O299)</f>
        <v>75104</v>
      </c>
      <c r="Q299" s="258">
        <v>1166</v>
      </c>
      <c r="R299" s="258">
        <v>2373</v>
      </c>
      <c r="S299" s="258">
        <v>1994</v>
      </c>
      <c r="T299" s="258">
        <v>2779</v>
      </c>
      <c r="U299" s="258">
        <v>2537</v>
      </c>
      <c r="V299" s="258">
        <v>782</v>
      </c>
      <c r="W299" s="258">
        <v>288</v>
      </c>
      <c r="X299" s="258">
        <v>787</v>
      </c>
      <c r="Y299" s="67">
        <v>184</v>
      </c>
      <c r="Z299" s="67">
        <v>134</v>
      </c>
      <c r="AA299" s="261"/>
      <c r="AB299" s="286">
        <f>SUM(Q299:AA299)</f>
        <v>13024</v>
      </c>
      <c r="AC299" s="287">
        <f>P299+AB299</f>
        <v>88128</v>
      </c>
      <c r="AD299" s="278">
        <v>15</v>
      </c>
      <c r="AE299" s="278">
        <v>5</v>
      </c>
      <c r="AF299" s="278">
        <v>1</v>
      </c>
      <c r="AG299" s="279">
        <f>SUM(AD299:AF299)</f>
        <v>21</v>
      </c>
      <c r="AH299" s="478">
        <v>1695</v>
      </c>
      <c r="AI299" s="478">
        <v>1848</v>
      </c>
      <c r="AJ299" s="478">
        <v>794</v>
      </c>
      <c r="AK299" s="478">
        <f>SUM(AH299:AJ304)</f>
        <v>4337</v>
      </c>
    </row>
    <row r="300" spans="1:37" ht="36" customHeight="1" x14ac:dyDescent="0.4">
      <c r="A300" s="477"/>
      <c r="B300" s="292" t="s">
        <v>265</v>
      </c>
      <c r="C300" s="258">
        <v>35.581499999999998</v>
      </c>
      <c r="D300" s="258">
        <v>147.98699999999999</v>
      </c>
      <c r="E300" s="258">
        <v>17.423999999999999</v>
      </c>
      <c r="F300" s="258">
        <v>87.434999999999988</v>
      </c>
      <c r="G300" s="258">
        <v>0</v>
      </c>
      <c r="H300" s="258">
        <v>0</v>
      </c>
      <c r="I300" s="258">
        <v>0</v>
      </c>
      <c r="J300" s="258"/>
      <c r="K300" s="258"/>
      <c r="L300" s="258">
        <v>0</v>
      </c>
      <c r="M300" s="258">
        <v>3.7259999999999995</v>
      </c>
      <c r="N300" s="258">
        <v>3.1994999999999996</v>
      </c>
      <c r="O300" s="258">
        <v>0</v>
      </c>
      <c r="P300" s="286">
        <f>SUM(C300:O300)</f>
        <v>295.35300000000001</v>
      </c>
      <c r="Q300" s="258">
        <v>32.659999999999997</v>
      </c>
      <c r="R300" s="258">
        <v>0</v>
      </c>
      <c r="S300" s="258">
        <v>0</v>
      </c>
      <c r="T300" s="258">
        <v>27.79</v>
      </c>
      <c r="U300" s="258">
        <v>0</v>
      </c>
      <c r="V300" s="258">
        <v>0</v>
      </c>
      <c r="W300" s="258">
        <v>0</v>
      </c>
      <c r="X300" s="258">
        <v>157.4</v>
      </c>
      <c r="Y300" s="258">
        <v>0</v>
      </c>
      <c r="Z300" s="67">
        <v>0</v>
      </c>
      <c r="AA300" s="261"/>
      <c r="AB300" s="286">
        <f>SUM(Q300:AA300)</f>
        <v>217.85</v>
      </c>
      <c r="AC300" s="287">
        <f>P300+AB300</f>
        <v>513.20299999999997</v>
      </c>
      <c r="AD300" s="278"/>
      <c r="AE300" s="278"/>
      <c r="AF300" s="278"/>
      <c r="AG300" s="279"/>
      <c r="AH300" s="479"/>
      <c r="AI300" s="479"/>
      <c r="AJ300" s="479"/>
      <c r="AK300" s="479"/>
    </row>
    <row r="301" spans="1:37" ht="36" customHeight="1" x14ac:dyDescent="0.4">
      <c r="A301" s="477"/>
      <c r="B301" s="304" t="s">
        <v>284</v>
      </c>
      <c r="C301" s="114">
        <v>9252</v>
      </c>
      <c r="D301" s="114">
        <v>37456</v>
      </c>
      <c r="E301" s="114">
        <v>4675</v>
      </c>
      <c r="F301" s="114">
        <v>21619</v>
      </c>
      <c r="G301" s="114">
        <v>1710</v>
      </c>
      <c r="H301" s="125">
        <v>763</v>
      </c>
      <c r="I301" s="114">
        <v>2553</v>
      </c>
      <c r="J301" s="114"/>
      <c r="K301" s="114"/>
      <c r="L301" s="114">
        <v>102</v>
      </c>
      <c r="M301" s="114">
        <v>876</v>
      </c>
      <c r="N301" s="114">
        <v>1147</v>
      </c>
      <c r="O301" s="114">
        <v>151</v>
      </c>
      <c r="P301" s="286">
        <f>SUM(C301:O301)</f>
        <v>80304</v>
      </c>
      <c r="Q301" s="114">
        <v>1262</v>
      </c>
      <c r="R301" s="114">
        <v>2766</v>
      </c>
      <c r="S301" s="114">
        <v>2020</v>
      </c>
      <c r="T301" s="114">
        <v>3192</v>
      </c>
      <c r="U301" s="125">
        <v>1132</v>
      </c>
      <c r="V301" s="114">
        <v>859</v>
      </c>
      <c r="W301" s="114">
        <v>292</v>
      </c>
      <c r="X301" s="114">
        <v>990</v>
      </c>
      <c r="Y301" s="114">
        <v>204</v>
      </c>
      <c r="Z301" s="114">
        <v>164</v>
      </c>
      <c r="AA301" s="261"/>
      <c r="AB301" s="286">
        <f>SUM(Q301:AA301)</f>
        <v>12881</v>
      </c>
      <c r="AC301" s="287">
        <f>P301+AB301</f>
        <v>93185</v>
      </c>
      <c r="AD301" s="263"/>
      <c r="AE301" s="263"/>
      <c r="AF301" s="263"/>
      <c r="AG301" s="263"/>
      <c r="AH301" s="479"/>
      <c r="AI301" s="479"/>
      <c r="AJ301" s="479"/>
      <c r="AK301" s="479"/>
    </row>
    <row r="302" spans="1:37" ht="36" customHeight="1" x14ac:dyDescent="0.4">
      <c r="A302" s="477"/>
      <c r="B302" s="304" t="s">
        <v>285</v>
      </c>
      <c r="C302" s="469">
        <f>C299+D299+E299+F299+C300+D300+E300+F300</f>
        <v>64383.427499999998</v>
      </c>
      <c r="D302" s="470"/>
      <c r="E302" s="470"/>
      <c r="F302" s="471"/>
      <c r="G302" s="469">
        <f>G299+H299+I299+G300+H300+I300</f>
        <v>9233</v>
      </c>
      <c r="H302" s="470"/>
      <c r="I302" s="471"/>
      <c r="J302" s="273"/>
      <c r="K302" s="273"/>
      <c r="L302" s="469">
        <f>L299+M299+N299+L300+M300+N300</f>
        <v>1631.9255000000001</v>
      </c>
      <c r="M302" s="470"/>
      <c r="N302" s="471"/>
      <c r="O302" s="114"/>
      <c r="P302" s="286"/>
      <c r="Q302" s="469">
        <f>Q299+R299+S299+Q300+R300+S300</f>
        <v>5565.66</v>
      </c>
      <c r="R302" s="470"/>
      <c r="S302" s="471"/>
      <c r="T302" s="114"/>
      <c r="U302" s="114"/>
      <c r="V302" s="114"/>
      <c r="W302" s="114"/>
      <c r="X302" s="114"/>
      <c r="Y302" s="114"/>
      <c r="Z302" s="114"/>
      <c r="AA302" s="261"/>
      <c r="AB302" s="286"/>
      <c r="AC302" s="287"/>
      <c r="AD302" s="263"/>
      <c r="AE302" s="263"/>
      <c r="AF302" s="263"/>
      <c r="AG302" s="263"/>
      <c r="AH302" s="479"/>
      <c r="AI302" s="479"/>
      <c r="AJ302" s="479"/>
      <c r="AK302" s="479"/>
    </row>
    <row r="303" spans="1:37" ht="36" customHeight="1" x14ac:dyDescent="0.4">
      <c r="A303" s="477"/>
      <c r="B303" s="304" t="s">
        <v>247</v>
      </c>
      <c r="C303" s="469">
        <f>C301+D301+E301+F301</f>
        <v>73002</v>
      </c>
      <c r="D303" s="470"/>
      <c r="E303" s="470"/>
      <c r="F303" s="471"/>
      <c r="G303" s="469">
        <f>G301+H301+I301</f>
        <v>5026</v>
      </c>
      <c r="H303" s="470"/>
      <c r="I303" s="471"/>
      <c r="J303" s="273"/>
      <c r="K303" s="273"/>
      <c r="L303" s="469">
        <f>L301+M301+N301</f>
        <v>2125</v>
      </c>
      <c r="M303" s="470"/>
      <c r="N303" s="471"/>
      <c r="O303" s="114"/>
      <c r="P303" s="286"/>
      <c r="Q303" s="469">
        <f>Q301+R301+S301</f>
        <v>6048</v>
      </c>
      <c r="R303" s="470"/>
      <c r="S303" s="471"/>
      <c r="T303" s="114"/>
      <c r="U303" s="114"/>
      <c r="V303" s="114"/>
      <c r="W303" s="114"/>
      <c r="X303" s="114"/>
      <c r="Y303" s="114"/>
      <c r="Z303" s="114"/>
      <c r="AA303" s="261"/>
      <c r="AB303" s="286"/>
      <c r="AC303" s="287"/>
      <c r="AD303" s="263"/>
      <c r="AE303" s="263"/>
      <c r="AF303" s="263"/>
      <c r="AG303" s="263"/>
      <c r="AH303" s="479"/>
      <c r="AI303" s="479"/>
      <c r="AJ303" s="479"/>
      <c r="AK303" s="479"/>
    </row>
    <row r="304" spans="1:37" ht="36" customHeight="1" x14ac:dyDescent="0.4">
      <c r="A304" s="477"/>
      <c r="B304" s="297" t="s">
        <v>262</v>
      </c>
      <c r="C304" s="472">
        <f>C302/C303</f>
        <v>0.88194059751787623</v>
      </c>
      <c r="D304" s="473"/>
      <c r="E304" s="473"/>
      <c r="F304" s="474"/>
      <c r="G304" s="472">
        <f>G302/G303</f>
        <v>1.8370473537604457</v>
      </c>
      <c r="H304" s="473"/>
      <c r="I304" s="474"/>
      <c r="J304" s="276"/>
      <c r="K304" s="276"/>
      <c r="L304" s="472">
        <f>L302/L303</f>
        <v>0.76796494117647063</v>
      </c>
      <c r="M304" s="473"/>
      <c r="N304" s="474"/>
      <c r="O304" s="280">
        <f>(O299+O300)/O301</f>
        <v>1</v>
      </c>
      <c r="P304" s="290">
        <f>(P299+P300)/P301</f>
        <v>0.93892400129507869</v>
      </c>
      <c r="Q304" s="472">
        <f>Q302/Q303</f>
        <v>0.92024801587301586</v>
      </c>
      <c r="R304" s="473"/>
      <c r="S304" s="474"/>
      <c r="T304" s="280">
        <f t="shared" ref="T304:Z304" si="51">(T299+T300)/T301</f>
        <v>0.87932017543859653</v>
      </c>
      <c r="U304" s="280">
        <f t="shared" si="51"/>
        <v>2.2411660777385158</v>
      </c>
      <c r="V304" s="280">
        <f t="shared" si="51"/>
        <v>0.910360884749709</v>
      </c>
      <c r="W304" s="280">
        <f t="shared" si="51"/>
        <v>0.98630136986301364</v>
      </c>
      <c r="X304" s="280">
        <f t="shared" si="51"/>
        <v>0.95393939393939386</v>
      </c>
      <c r="Y304" s="280">
        <f t="shared" si="51"/>
        <v>0.90196078431372551</v>
      </c>
      <c r="Z304" s="280">
        <f t="shared" si="51"/>
        <v>0.81707317073170727</v>
      </c>
      <c r="AA304" s="265"/>
      <c r="AB304" s="290">
        <f>(AB299+AB300)/AB301</f>
        <v>1.0280141293377845</v>
      </c>
      <c r="AC304" s="291">
        <f>(AC299+AC300)/AC301</f>
        <v>0.95123896549873899</v>
      </c>
      <c r="AD304" s="281">
        <f>AD299/$AG$173</f>
        <v>0.7142857142857143</v>
      </c>
      <c r="AE304" s="281">
        <f>AE299/$AG$173</f>
        <v>0.23809523809523808</v>
      </c>
      <c r="AF304" s="281">
        <f>AF299/$AG$173</f>
        <v>4.7619047619047616E-2</v>
      </c>
      <c r="AG304" s="305">
        <f>AG299/$AG$173</f>
        <v>1</v>
      </c>
      <c r="AH304" s="480"/>
      <c r="AI304" s="480"/>
      <c r="AJ304" s="480"/>
      <c r="AK304" s="480"/>
    </row>
    <row r="305" spans="1:37" ht="36" customHeight="1" x14ac:dyDescent="0.4">
      <c r="A305" s="477" t="s">
        <v>307</v>
      </c>
      <c r="B305" s="292" t="s">
        <v>269</v>
      </c>
      <c r="C305" s="258">
        <v>7788</v>
      </c>
      <c r="D305" s="258">
        <v>33121</v>
      </c>
      <c r="E305" s="258">
        <v>3962</v>
      </c>
      <c r="F305" s="258">
        <v>19352</v>
      </c>
      <c r="G305" s="258">
        <v>1600</v>
      </c>
      <c r="H305" s="258">
        <v>5185</v>
      </c>
      <c r="I305" s="258">
        <v>2439</v>
      </c>
      <c r="J305" s="258"/>
      <c r="K305" s="258"/>
      <c r="L305" s="258">
        <v>64</v>
      </c>
      <c r="M305" s="258">
        <v>837</v>
      </c>
      <c r="N305" s="258">
        <v>724</v>
      </c>
      <c r="O305" s="258">
        <v>151</v>
      </c>
      <c r="P305" s="286">
        <f>SUM(C305:O305)</f>
        <v>75223</v>
      </c>
      <c r="Q305" s="258">
        <v>1185</v>
      </c>
      <c r="R305" s="258">
        <v>2404</v>
      </c>
      <c r="S305" s="258">
        <v>1991</v>
      </c>
      <c r="T305" s="258">
        <v>2769</v>
      </c>
      <c r="U305" s="258">
        <v>2541</v>
      </c>
      <c r="V305" s="258">
        <v>785</v>
      </c>
      <c r="W305" s="258">
        <v>285</v>
      </c>
      <c r="X305" s="258">
        <v>789</v>
      </c>
      <c r="Y305" s="67">
        <v>186</v>
      </c>
      <c r="Z305" s="67">
        <v>135</v>
      </c>
      <c r="AA305" s="261"/>
      <c r="AB305" s="286">
        <f>SUM(Q305:AA305)</f>
        <v>13070</v>
      </c>
      <c r="AC305" s="287">
        <f>P305+AB305</f>
        <v>88293</v>
      </c>
      <c r="AD305" s="278">
        <v>16</v>
      </c>
      <c r="AE305" s="278">
        <v>3</v>
      </c>
      <c r="AF305" s="278">
        <v>2</v>
      </c>
      <c r="AG305" s="279">
        <f>SUM(AD305:AF305)</f>
        <v>21</v>
      </c>
      <c r="AH305" s="478">
        <v>1926</v>
      </c>
      <c r="AI305" s="478">
        <v>2996</v>
      </c>
      <c r="AJ305" s="478">
        <v>1238</v>
      </c>
      <c r="AK305" s="478">
        <f>SUM(AH305:AJ310)</f>
        <v>6160</v>
      </c>
    </row>
    <row r="306" spans="1:37" ht="36" customHeight="1" x14ac:dyDescent="0.4">
      <c r="A306" s="477"/>
      <c r="B306" s="292" t="s">
        <v>265</v>
      </c>
      <c r="C306" s="258">
        <v>35.045999999999999</v>
      </c>
      <c r="D306" s="258">
        <v>149.0445</v>
      </c>
      <c r="E306" s="258">
        <v>17.828999999999997</v>
      </c>
      <c r="F306" s="258">
        <v>87.083999999999989</v>
      </c>
      <c r="G306" s="258">
        <v>0</v>
      </c>
      <c r="H306" s="258">
        <v>0</v>
      </c>
      <c r="I306" s="258">
        <v>0</v>
      </c>
      <c r="J306" s="258"/>
      <c r="K306" s="258"/>
      <c r="L306" s="258">
        <v>0</v>
      </c>
      <c r="M306" s="258">
        <v>3.7664999999999997</v>
      </c>
      <c r="N306" s="258">
        <v>3.2579999999999996</v>
      </c>
      <c r="O306" s="258">
        <v>0</v>
      </c>
      <c r="P306" s="286">
        <f>SUM(C306:O306)</f>
        <v>296.02799999999996</v>
      </c>
      <c r="Q306" s="258">
        <v>32.85</v>
      </c>
      <c r="R306" s="258">
        <v>0</v>
      </c>
      <c r="S306" s="258">
        <v>0</v>
      </c>
      <c r="T306" s="258">
        <v>27.69</v>
      </c>
      <c r="U306" s="258">
        <v>0</v>
      </c>
      <c r="V306" s="258">
        <v>0</v>
      </c>
      <c r="W306" s="258">
        <v>0</v>
      </c>
      <c r="X306" s="258">
        <v>157.80000000000001</v>
      </c>
      <c r="Y306" s="258">
        <v>0</v>
      </c>
      <c r="Z306" s="67">
        <v>0</v>
      </c>
      <c r="AA306" s="261"/>
      <c r="AB306" s="286">
        <f>SUM(Q306:AA306)</f>
        <v>218.34000000000003</v>
      </c>
      <c r="AC306" s="287">
        <f>P306+AB306</f>
        <v>514.36799999999994</v>
      </c>
      <c r="AD306" s="278"/>
      <c r="AE306" s="278"/>
      <c r="AF306" s="278"/>
      <c r="AG306" s="279"/>
      <c r="AH306" s="479"/>
      <c r="AI306" s="479"/>
      <c r="AJ306" s="479"/>
      <c r="AK306" s="479"/>
    </row>
    <row r="307" spans="1:37" ht="36" customHeight="1" x14ac:dyDescent="0.4">
      <c r="A307" s="477"/>
      <c r="B307" s="304" t="s">
        <v>284</v>
      </c>
      <c r="C307" s="114">
        <v>9252</v>
      </c>
      <c r="D307" s="114">
        <v>37456</v>
      </c>
      <c r="E307" s="114">
        <v>4675</v>
      </c>
      <c r="F307" s="114">
        <v>21619</v>
      </c>
      <c r="G307" s="114">
        <v>1710</v>
      </c>
      <c r="H307" s="125">
        <v>763</v>
      </c>
      <c r="I307" s="114">
        <v>2553</v>
      </c>
      <c r="J307" s="114"/>
      <c r="K307" s="114"/>
      <c r="L307" s="114">
        <v>102</v>
      </c>
      <c r="M307" s="114">
        <v>876</v>
      </c>
      <c r="N307" s="114">
        <v>1147</v>
      </c>
      <c r="O307" s="114">
        <v>151</v>
      </c>
      <c r="P307" s="286">
        <f>SUM(C307:O307)</f>
        <v>80304</v>
      </c>
      <c r="Q307" s="114">
        <v>1262</v>
      </c>
      <c r="R307" s="114">
        <v>2766</v>
      </c>
      <c r="S307" s="114">
        <v>2020</v>
      </c>
      <c r="T307" s="114">
        <v>3192</v>
      </c>
      <c r="U307" s="125">
        <v>1132</v>
      </c>
      <c r="V307" s="114">
        <v>859</v>
      </c>
      <c r="W307" s="114">
        <v>292</v>
      </c>
      <c r="X307" s="114">
        <v>990</v>
      </c>
      <c r="Y307" s="114">
        <v>204</v>
      </c>
      <c r="Z307" s="114">
        <v>164</v>
      </c>
      <c r="AA307" s="261"/>
      <c r="AB307" s="286">
        <f>SUM(Q307:AA307)</f>
        <v>12881</v>
      </c>
      <c r="AC307" s="287">
        <f>P307+AB307</f>
        <v>93185</v>
      </c>
      <c r="AD307" s="263"/>
      <c r="AE307" s="263"/>
      <c r="AF307" s="263"/>
      <c r="AG307" s="263"/>
      <c r="AH307" s="479"/>
      <c r="AI307" s="479"/>
      <c r="AJ307" s="479"/>
      <c r="AK307" s="479"/>
    </row>
    <row r="308" spans="1:37" ht="36" customHeight="1" x14ac:dyDescent="0.4">
      <c r="A308" s="477"/>
      <c r="B308" s="304" t="s">
        <v>285</v>
      </c>
      <c r="C308" s="469">
        <f>C305+D305+E305+F305+C306+D306+E306+F306</f>
        <v>64512.003500000006</v>
      </c>
      <c r="D308" s="470"/>
      <c r="E308" s="470"/>
      <c r="F308" s="471"/>
      <c r="G308" s="469">
        <f>G305+H305+I305+G306+H306+I306</f>
        <v>9224</v>
      </c>
      <c r="H308" s="470"/>
      <c r="I308" s="471"/>
      <c r="J308" s="273"/>
      <c r="K308" s="273"/>
      <c r="L308" s="469">
        <f>L305+M305+N305+L306+M306+N306</f>
        <v>1632.0245</v>
      </c>
      <c r="M308" s="470"/>
      <c r="N308" s="471"/>
      <c r="O308" s="114"/>
      <c r="P308" s="286"/>
      <c r="Q308" s="469">
        <f>Q305+R305+S305+Q306+R306+S306</f>
        <v>5612.85</v>
      </c>
      <c r="R308" s="470"/>
      <c r="S308" s="471"/>
      <c r="T308" s="114"/>
      <c r="U308" s="114"/>
      <c r="V308" s="114"/>
      <c r="W308" s="114"/>
      <c r="X308" s="114"/>
      <c r="Y308" s="114"/>
      <c r="Z308" s="114"/>
      <c r="AA308" s="261"/>
      <c r="AB308" s="286"/>
      <c r="AC308" s="287"/>
      <c r="AD308" s="263"/>
      <c r="AE308" s="263"/>
      <c r="AF308" s="263"/>
      <c r="AG308" s="263"/>
      <c r="AH308" s="479"/>
      <c r="AI308" s="479"/>
      <c r="AJ308" s="479"/>
      <c r="AK308" s="479"/>
    </row>
    <row r="309" spans="1:37" ht="36" customHeight="1" x14ac:dyDescent="0.4">
      <c r="A309" s="477"/>
      <c r="B309" s="304" t="s">
        <v>247</v>
      </c>
      <c r="C309" s="469">
        <f>C307+D307+E307+F307</f>
        <v>73002</v>
      </c>
      <c r="D309" s="470"/>
      <c r="E309" s="470"/>
      <c r="F309" s="471"/>
      <c r="G309" s="469">
        <f>G307+H307+I307</f>
        <v>5026</v>
      </c>
      <c r="H309" s="470"/>
      <c r="I309" s="471"/>
      <c r="J309" s="273"/>
      <c r="K309" s="273"/>
      <c r="L309" s="469">
        <f>L307+M307+N307</f>
        <v>2125</v>
      </c>
      <c r="M309" s="470"/>
      <c r="N309" s="471"/>
      <c r="O309" s="114"/>
      <c r="P309" s="286"/>
      <c r="Q309" s="469">
        <f>Q307+R307+S307</f>
        <v>6048</v>
      </c>
      <c r="R309" s="470"/>
      <c r="S309" s="471"/>
      <c r="T309" s="114"/>
      <c r="U309" s="114"/>
      <c r="V309" s="114"/>
      <c r="W309" s="114"/>
      <c r="X309" s="114"/>
      <c r="Y309" s="114"/>
      <c r="Z309" s="114"/>
      <c r="AA309" s="261"/>
      <c r="AB309" s="286"/>
      <c r="AC309" s="287"/>
      <c r="AD309" s="263"/>
      <c r="AE309" s="263"/>
      <c r="AF309" s="263"/>
      <c r="AG309" s="263"/>
      <c r="AH309" s="479"/>
      <c r="AI309" s="479"/>
      <c r="AJ309" s="479"/>
      <c r="AK309" s="479"/>
    </row>
    <row r="310" spans="1:37" ht="36" customHeight="1" x14ac:dyDescent="0.4">
      <c r="A310" s="477"/>
      <c r="B310" s="297" t="s">
        <v>262</v>
      </c>
      <c r="C310" s="472">
        <f>C308/C309</f>
        <v>0.8837018643324841</v>
      </c>
      <c r="D310" s="473"/>
      <c r="E310" s="473"/>
      <c r="F310" s="474"/>
      <c r="G310" s="472">
        <f>G308/G309</f>
        <v>1.8352566653402309</v>
      </c>
      <c r="H310" s="473"/>
      <c r="I310" s="474"/>
      <c r="J310" s="276"/>
      <c r="K310" s="276"/>
      <c r="L310" s="472">
        <f>L308/L309</f>
        <v>0.76801152941176465</v>
      </c>
      <c r="M310" s="473"/>
      <c r="N310" s="474"/>
      <c r="O310" s="280">
        <f>(O305+O306)/O307</f>
        <v>1</v>
      </c>
      <c r="P310" s="290">
        <f>(P305+P306)/P307</f>
        <v>0.94041427575214198</v>
      </c>
      <c r="Q310" s="472">
        <f>Q308/Q309</f>
        <v>0.9280505952380953</v>
      </c>
      <c r="R310" s="473"/>
      <c r="S310" s="474"/>
      <c r="T310" s="280">
        <f t="shared" ref="T310:Z310" si="52">(T305+T306)/T307</f>
        <v>0.87615601503759399</v>
      </c>
      <c r="U310" s="280">
        <f t="shared" si="52"/>
        <v>2.2446996466431095</v>
      </c>
      <c r="V310" s="280">
        <f t="shared" si="52"/>
        <v>0.91385331781140866</v>
      </c>
      <c r="W310" s="280">
        <f t="shared" si="52"/>
        <v>0.97602739726027399</v>
      </c>
      <c r="X310" s="280">
        <f t="shared" si="52"/>
        <v>0.9563636363636363</v>
      </c>
      <c r="Y310" s="280">
        <f t="shared" si="52"/>
        <v>0.91176470588235292</v>
      </c>
      <c r="Z310" s="280">
        <f t="shared" si="52"/>
        <v>0.82317073170731703</v>
      </c>
      <c r="AA310" s="265"/>
      <c r="AB310" s="290">
        <f>(AB305+AB306)/AB307</f>
        <v>1.0316233211707166</v>
      </c>
      <c r="AC310" s="291">
        <f>(AC305+AC306)/AC307</f>
        <v>0.95302213875623765</v>
      </c>
      <c r="AD310" s="281">
        <f>AD305/$AG$173</f>
        <v>0.76190476190476186</v>
      </c>
      <c r="AE310" s="281">
        <f>AE305/$AG$173</f>
        <v>0.14285714285714285</v>
      </c>
      <c r="AF310" s="281">
        <f>AF305/$AG$173</f>
        <v>9.5238095238095233E-2</v>
      </c>
      <c r="AG310" s="305">
        <f>AG305/$AG$173</f>
        <v>1</v>
      </c>
      <c r="AH310" s="480"/>
      <c r="AI310" s="480"/>
      <c r="AJ310" s="480"/>
      <c r="AK310" s="480"/>
    </row>
    <row r="311" spans="1:37" ht="36" customHeight="1" x14ac:dyDescent="0.4">
      <c r="A311" s="477" t="s">
        <v>308</v>
      </c>
      <c r="B311" s="292" t="s">
        <v>269</v>
      </c>
      <c r="C311" s="258">
        <v>7811</v>
      </c>
      <c r="D311" s="258">
        <v>33172</v>
      </c>
      <c r="E311" s="258">
        <v>3718</v>
      </c>
      <c r="F311" s="258">
        <v>19196</v>
      </c>
      <c r="G311" s="258">
        <v>1617</v>
      </c>
      <c r="H311" s="258">
        <v>5221</v>
      </c>
      <c r="I311" s="258">
        <v>2447</v>
      </c>
      <c r="J311" s="258"/>
      <c r="K311" s="258"/>
      <c r="L311" s="258">
        <v>77</v>
      </c>
      <c r="M311" s="258">
        <v>835</v>
      </c>
      <c r="N311" s="258">
        <v>727</v>
      </c>
      <c r="O311" s="258">
        <v>151</v>
      </c>
      <c r="P311" s="286">
        <f>SUM(C311:O311)</f>
        <v>74972</v>
      </c>
      <c r="Q311" s="258">
        <v>1187</v>
      </c>
      <c r="R311" s="258">
        <v>2413</v>
      </c>
      <c r="S311" s="258">
        <v>2001</v>
      </c>
      <c r="T311" s="258">
        <v>2778</v>
      </c>
      <c r="U311" s="258">
        <v>2365</v>
      </c>
      <c r="V311" s="258">
        <v>778</v>
      </c>
      <c r="W311" s="258">
        <v>286</v>
      </c>
      <c r="X311" s="258">
        <v>785</v>
      </c>
      <c r="Y311" s="67">
        <v>192</v>
      </c>
      <c r="Z311" s="67">
        <v>135</v>
      </c>
      <c r="AA311" s="261"/>
      <c r="AB311" s="286">
        <f>SUM(Q311:AA311)</f>
        <v>12920</v>
      </c>
      <c r="AC311" s="287">
        <f>P311+AB311</f>
        <v>87892</v>
      </c>
      <c r="AD311" s="278">
        <v>16</v>
      </c>
      <c r="AE311" s="278">
        <v>4</v>
      </c>
      <c r="AF311" s="278">
        <v>1</v>
      </c>
      <c r="AG311" s="279">
        <f>SUM(AD311:AF311)</f>
        <v>21</v>
      </c>
      <c r="AH311" s="478">
        <v>2060</v>
      </c>
      <c r="AI311" s="478">
        <v>3260</v>
      </c>
      <c r="AJ311" s="478">
        <v>806</v>
      </c>
      <c r="AK311" s="478">
        <f>SUM(AH311:AJ316)</f>
        <v>6126</v>
      </c>
    </row>
    <row r="312" spans="1:37" ht="36" customHeight="1" x14ac:dyDescent="0.4">
      <c r="A312" s="477"/>
      <c r="B312" s="292" t="s">
        <v>265</v>
      </c>
      <c r="C312" s="258">
        <v>35.149499999999996</v>
      </c>
      <c r="D312" s="258">
        <v>149.274</v>
      </c>
      <c r="E312" s="258">
        <v>16.730999999999998</v>
      </c>
      <c r="F312" s="258">
        <v>86.381999999999991</v>
      </c>
      <c r="G312" s="258">
        <v>0</v>
      </c>
      <c r="H312" s="258">
        <v>0</v>
      </c>
      <c r="I312" s="258">
        <v>0</v>
      </c>
      <c r="J312" s="258"/>
      <c r="K312" s="258"/>
      <c r="L312" s="258">
        <v>0</v>
      </c>
      <c r="M312" s="258">
        <v>3.7574999999999998</v>
      </c>
      <c r="N312" s="258">
        <v>3.2714999999999996</v>
      </c>
      <c r="O312" s="258">
        <v>0</v>
      </c>
      <c r="P312" s="286">
        <f>SUM(C312:O312)</f>
        <v>294.56549999999999</v>
      </c>
      <c r="Q312" s="258">
        <v>32.870000000000005</v>
      </c>
      <c r="R312" s="258">
        <v>0</v>
      </c>
      <c r="S312" s="258">
        <v>0</v>
      </c>
      <c r="T312" s="258">
        <v>27.78</v>
      </c>
      <c r="U312" s="258">
        <v>0</v>
      </c>
      <c r="V312" s="258">
        <v>0</v>
      </c>
      <c r="W312" s="258">
        <v>0</v>
      </c>
      <c r="X312" s="258">
        <v>157</v>
      </c>
      <c r="Y312" s="258">
        <v>0</v>
      </c>
      <c r="Z312" s="67">
        <v>0</v>
      </c>
      <c r="AA312" s="261"/>
      <c r="AB312" s="286">
        <f>SUM(Q312:AA312)</f>
        <v>217.65</v>
      </c>
      <c r="AC312" s="287">
        <f>P312+AB312</f>
        <v>512.21550000000002</v>
      </c>
      <c r="AD312" s="278"/>
      <c r="AE312" s="278"/>
      <c r="AF312" s="278"/>
      <c r="AG312" s="279"/>
      <c r="AH312" s="479"/>
      <c r="AI312" s="479"/>
      <c r="AJ312" s="479"/>
      <c r="AK312" s="479"/>
    </row>
    <row r="313" spans="1:37" ht="36" customHeight="1" x14ac:dyDescent="0.4">
      <c r="A313" s="477"/>
      <c r="B313" s="304" t="s">
        <v>284</v>
      </c>
      <c r="C313" s="114">
        <v>9252</v>
      </c>
      <c r="D313" s="114">
        <v>37456</v>
      </c>
      <c r="E313" s="114">
        <v>4675</v>
      </c>
      <c r="F313" s="114">
        <v>21619</v>
      </c>
      <c r="G313" s="114">
        <v>1710</v>
      </c>
      <c r="H313" s="125">
        <v>763</v>
      </c>
      <c r="I313" s="114">
        <v>2553</v>
      </c>
      <c r="J313" s="114"/>
      <c r="K313" s="114"/>
      <c r="L313" s="114">
        <v>102</v>
      </c>
      <c r="M313" s="114">
        <v>876</v>
      </c>
      <c r="N313" s="114">
        <v>1147</v>
      </c>
      <c r="O313" s="114">
        <v>151</v>
      </c>
      <c r="P313" s="286">
        <f>SUM(C313:O313)</f>
        <v>80304</v>
      </c>
      <c r="Q313" s="114">
        <v>1262</v>
      </c>
      <c r="R313" s="114">
        <v>2766</v>
      </c>
      <c r="S313" s="114">
        <v>2020</v>
      </c>
      <c r="T313" s="114">
        <v>3192</v>
      </c>
      <c r="U313" s="125">
        <v>1132</v>
      </c>
      <c r="V313" s="114">
        <v>859</v>
      </c>
      <c r="W313" s="114">
        <v>292</v>
      </c>
      <c r="X313" s="114">
        <v>990</v>
      </c>
      <c r="Y313" s="114">
        <v>204</v>
      </c>
      <c r="Z313" s="114">
        <v>164</v>
      </c>
      <c r="AA313" s="261"/>
      <c r="AB313" s="286">
        <f>SUM(Q313:AA313)</f>
        <v>12881</v>
      </c>
      <c r="AC313" s="287">
        <f>P313+AB313</f>
        <v>93185</v>
      </c>
      <c r="AD313" s="263"/>
      <c r="AE313" s="263"/>
      <c r="AF313" s="263"/>
      <c r="AG313" s="263"/>
      <c r="AH313" s="479"/>
      <c r="AI313" s="479"/>
      <c r="AJ313" s="479"/>
      <c r="AK313" s="479"/>
    </row>
    <row r="314" spans="1:37" ht="36" customHeight="1" x14ac:dyDescent="0.4">
      <c r="A314" s="477"/>
      <c r="B314" s="304" t="s">
        <v>285</v>
      </c>
      <c r="C314" s="469">
        <f>C311+D311+E311+F311+C312+D312+E312+F312</f>
        <v>64184.536499999995</v>
      </c>
      <c r="D314" s="470"/>
      <c r="E314" s="470"/>
      <c r="F314" s="471"/>
      <c r="G314" s="469">
        <f>G311+H311+I311+G312+H312+I312</f>
        <v>9285</v>
      </c>
      <c r="H314" s="470"/>
      <c r="I314" s="471"/>
      <c r="J314" s="273"/>
      <c r="K314" s="273"/>
      <c r="L314" s="469">
        <f>L311+M311+N311+L312+M312+N312</f>
        <v>1646.029</v>
      </c>
      <c r="M314" s="470"/>
      <c r="N314" s="471"/>
      <c r="O314" s="114"/>
      <c r="P314" s="286"/>
      <c r="Q314" s="469">
        <f>Q311+R311+S311+Q312+R312+S312</f>
        <v>5633.87</v>
      </c>
      <c r="R314" s="470"/>
      <c r="S314" s="471"/>
      <c r="T314" s="114"/>
      <c r="U314" s="114"/>
      <c r="V314" s="114"/>
      <c r="W314" s="114"/>
      <c r="X314" s="114"/>
      <c r="Y314" s="114"/>
      <c r="Z314" s="114"/>
      <c r="AA314" s="261"/>
      <c r="AB314" s="286"/>
      <c r="AC314" s="287"/>
      <c r="AD314" s="263"/>
      <c r="AE314" s="263"/>
      <c r="AF314" s="263"/>
      <c r="AG314" s="263"/>
      <c r="AH314" s="479"/>
      <c r="AI314" s="479"/>
      <c r="AJ314" s="479"/>
      <c r="AK314" s="479"/>
    </row>
    <row r="315" spans="1:37" ht="36" customHeight="1" x14ac:dyDescent="0.4">
      <c r="A315" s="477"/>
      <c r="B315" s="304" t="s">
        <v>247</v>
      </c>
      <c r="C315" s="469">
        <f>C313+D313+E313+F313</f>
        <v>73002</v>
      </c>
      <c r="D315" s="470"/>
      <c r="E315" s="470"/>
      <c r="F315" s="471"/>
      <c r="G315" s="469">
        <f>G313+H313+I313</f>
        <v>5026</v>
      </c>
      <c r="H315" s="470"/>
      <c r="I315" s="471"/>
      <c r="J315" s="273"/>
      <c r="K315" s="273"/>
      <c r="L315" s="469">
        <f>L313+M313+N313</f>
        <v>2125</v>
      </c>
      <c r="M315" s="470"/>
      <c r="N315" s="471"/>
      <c r="O315" s="114"/>
      <c r="P315" s="286"/>
      <c r="Q315" s="469">
        <f>Q313+R313+S313</f>
        <v>6048</v>
      </c>
      <c r="R315" s="470"/>
      <c r="S315" s="471"/>
      <c r="T315" s="114"/>
      <c r="U315" s="114"/>
      <c r="V315" s="114"/>
      <c r="W315" s="114"/>
      <c r="X315" s="114"/>
      <c r="Y315" s="114"/>
      <c r="Z315" s="114"/>
      <c r="AA315" s="261"/>
      <c r="AB315" s="286"/>
      <c r="AC315" s="287"/>
      <c r="AD315" s="263"/>
      <c r="AE315" s="263"/>
      <c r="AF315" s="263"/>
      <c r="AG315" s="263"/>
      <c r="AH315" s="479"/>
      <c r="AI315" s="479"/>
      <c r="AJ315" s="479"/>
      <c r="AK315" s="479"/>
    </row>
    <row r="316" spans="1:37" ht="36" customHeight="1" x14ac:dyDescent="0.4">
      <c r="A316" s="477"/>
      <c r="B316" s="297" t="s">
        <v>262</v>
      </c>
      <c r="C316" s="472">
        <f>C314/C315</f>
        <v>0.87921613791402964</v>
      </c>
      <c r="D316" s="473"/>
      <c r="E316" s="473"/>
      <c r="F316" s="474"/>
      <c r="G316" s="472">
        <f>G314/G315</f>
        <v>1.8473935535216872</v>
      </c>
      <c r="H316" s="473"/>
      <c r="I316" s="474"/>
      <c r="J316" s="276"/>
      <c r="K316" s="276"/>
      <c r="L316" s="472">
        <f>L314/L315</f>
        <v>0.77460188235294114</v>
      </c>
      <c r="M316" s="473"/>
      <c r="N316" s="474"/>
      <c r="O316" s="280">
        <f>(O311+O312)/O313</f>
        <v>1</v>
      </c>
      <c r="P316" s="290">
        <f>(P311+P312)/P313</f>
        <v>0.9372704410739191</v>
      </c>
      <c r="Q316" s="472">
        <f>Q314/Q315</f>
        <v>0.93152612433862436</v>
      </c>
      <c r="R316" s="473"/>
      <c r="S316" s="474"/>
      <c r="T316" s="280">
        <f t="shared" ref="T316:Z316" si="53">(T311+T312)/T313</f>
        <v>0.87900375939849629</v>
      </c>
      <c r="U316" s="280">
        <f t="shared" si="53"/>
        <v>2.0892226148409896</v>
      </c>
      <c r="V316" s="280">
        <f t="shared" si="53"/>
        <v>0.90570430733410945</v>
      </c>
      <c r="W316" s="280">
        <f t="shared" si="53"/>
        <v>0.97945205479452058</v>
      </c>
      <c r="X316" s="280">
        <f t="shared" si="53"/>
        <v>0.95151515151515154</v>
      </c>
      <c r="Y316" s="280">
        <f t="shared" si="53"/>
        <v>0.94117647058823528</v>
      </c>
      <c r="Z316" s="280">
        <f t="shared" si="53"/>
        <v>0.82317073170731703</v>
      </c>
      <c r="AA316" s="265"/>
      <c r="AB316" s="290">
        <f>(AB311+AB312)/AB313</f>
        <v>1.0199246952876329</v>
      </c>
      <c r="AC316" s="291">
        <f>(AC311+AC312)/AC313</f>
        <v>0.94869577185169296</v>
      </c>
      <c r="AD316" s="281">
        <f>AD311/$AG$173</f>
        <v>0.76190476190476186</v>
      </c>
      <c r="AE316" s="281">
        <f>AE311/$AG$173</f>
        <v>0.19047619047619047</v>
      </c>
      <c r="AF316" s="281">
        <f>AF311/$AG$173</f>
        <v>4.7619047619047616E-2</v>
      </c>
      <c r="AG316" s="305">
        <f>AG311/$AG$173</f>
        <v>1</v>
      </c>
      <c r="AH316" s="480"/>
      <c r="AI316" s="480"/>
      <c r="AJ316" s="480"/>
      <c r="AK316" s="480"/>
    </row>
    <row r="317" spans="1:37" ht="36" customHeight="1" x14ac:dyDescent="0.4">
      <c r="A317" s="477" t="s">
        <v>309</v>
      </c>
      <c r="B317" s="292" t="s">
        <v>269</v>
      </c>
      <c r="C317" s="258">
        <v>7854</v>
      </c>
      <c r="D317" s="258">
        <v>33502</v>
      </c>
      <c r="E317" s="258">
        <v>3777</v>
      </c>
      <c r="F317" s="258">
        <v>19369</v>
      </c>
      <c r="G317" s="258">
        <v>1620</v>
      </c>
      <c r="H317" s="258">
        <v>5227</v>
      </c>
      <c r="I317" s="258">
        <v>2418</v>
      </c>
      <c r="J317" s="258"/>
      <c r="K317" s="258"/>
      <c r="L317" s="258">
        <v>85</v>
      </c>
      <c r="M317" s="258">
        <v>829</v>
      </c>
      <c r="N317" s="258">
        <v>648</v>
      </c>
      <c r="O317" s="258">
        <v>151</v>
      </c>
      <c r="P317" s="286">
        <f>SUM(C317:O317)</f>
        <v>75480</v>
      </c>
      <c r="Q317" s="258">
        <v>1172</v>
      </c>
      <c r="R317" s="258">
        <v>2419</v>
      </c>
      <c r="S317" s="258">
        <v>2001</v>
      </c>
      <c r="T317" s="258">
        <v>2810</v>
      </c>
      <c r="U317" s="258">
        <v>2437</v>
      </c>
      <c r="V317" s="258">
        <v>780</v>
      </c>
      <c r="W317" s="258">
        <v>287</v>
      </c>
      <c r="X317" s="258">
        <v>792</v>
      </c>
      <c r="Y317" s="67">
        <v>197</v>
      </c>
      <c r="Z317" s="67">
        <v>135</v>
      </c>
      <c r="AA317" s="261"/>
      <c r="AB317" s="286">
        <f>SUM(Q317:AA317)</f>
        <v>13030</v>
      </c>
      <c r="AC317" s="287">
        <f>P317+AB317</f>
        <v>88510</v>
      </c>
      <c r="AD317" s="278">
        <v>16</v>
      </c>
      <c r="AE317" s="278">
        <v>4</v>
      </c>
      <c r="AF317" s="278">
        <v>1</v>
      </c>
      <c r="AG317" s="279">
        <f>SUM(AD317:AF317)</f>
        <v>21</v>
      </c>
      <c r="AH317" s="478">
        <v>2287</v>
      </c>
      <c r="AI317" s="478">
        <v>2214</v>
      </c>
      <c r="AJ317" s="478">
        <v>545</v>
      </c>
      <c r="AK317" s="478">
        <f>SUM(AH317:AJ322)</f>
        <v>5046</v>
      </c>
    </row>
    <row r="318" spans="1:37" ht="36" customHeight="1" x14ac:dyDescent="0.4">
      <c r="A318" s="477"/>
      <c r="B318" s="292" t="s">
        <v>265</v>
      </c>
      <c r="C318" s="258">
        <v>35.342999999999996</v>
      </c>
      <c r="D318" s="258">
        <v>150.75899999999999</v>
      </c>
      <c r="E318" s="258">
        <v>16.996499999999997</v>
      </c>
      <c r="F318" s="258">
        <v>87.160499999999999</v>
      </c>
      <c r="G318" s="258">
        <v>0</v>
      </c>
      <c r="H318" s="258">
        <v>0</v>
      </c>
      <c r="I318" s="258">
        <v>0</v>
      </c>
      <c r="J318" s="258"/>
      <c r="K318" s="258"/>
      <c r="L318" s="258">
        <v>0</v>
      </c>
      <c r="M318" s="258">
        <v>3.7304999999999997</v>
      </c>
      <c r="N318" s="258">
        <v>2.9159999999999999</v>
      </c>
      <c r="O318" s="258">
        <v>0</v>
      </c>
      <c r="P318" s="286">
        <f>SUM(C318:O318)</f>
        <v>296.90549999999996</v>
      </c>
      <c r="Q318" s="258">
        <v>32.72</v>
      </c>
      <c r="R318" s="258">
        <v>0</v>
      </c>
      <c r="S318" s="258">
        <v>0</v>
      </c>
      <c r="T318" s="258">
        <v>28.1</v>
      </c>
      <c r="U318" s="258">
        <v>0</v>
      </c>
      <c r="V318" s="258">
        <v>0</v>
      </c>
      <c r="W318" s="258">
        <v>0</v>
      </c>
      <c r="X318" s="258">
        <v>158.4</v>
      </c>
      <c r="Y318" s="258">
        <v>0</v>
      </c>
      <c r="Z318" s="67">
        <v>0</v>
      </c>
      <c r="AA318" s="261"/>
      <c r="AB318" s="286">
        <f>SUM(Q318:AA318)</f>
        <v>219.22</v>
      </c>
      <c r="AC318" s="287">
        <f>P318+AB318</f>
        <v>516.12549999999999</v>
      </c>
      <c r="AD318" s="278"/>
      <c r="AE318" s="278"/>
      <c r="AF318" s="278"/>
      <c r="AG318" s="279"/>
      <c r="AH318" s="479"/>
      <c r="AI318" s="479"/>
      <c r="AJ318" s="479"/>
      <c r="AK318" s="479"/>
    </row>
    <row r="319" spans="1:37" ht="36" customHeight="1" x14ac:dyDescent="0.4">
      <c r="A319" s="477"/>
      <c r="B319" s="304" t="s">
        <v>284</v>
      </c>
      <c r="C319" s="114">
        <v>9252</v>
      </c>
      <c r="D319" s="114">
        <v>37456</v>
      </c>
      <c r="E319" s="114">
        <v>4675</v>
      </c>
      <c r="F319" s="114">
        <v>21619</v>
      </c>
      <c r="G319" s="114">
        <v>1710</v>
      </c>
      <c r="H319" s="125">
        <v>763</v>
      </c>
      <c r="I319" s="114">
        <v>2553</v>
      </c>
      <c r="J319" s="114"/>
      <c r="K319" s="114"/>
      <c r="L319" s="114">
        <v>102</v>
      </c>
      <c r="M319" s="114">
        <v>876</v>
      </c>
      <c r="N319" s="114">
        <v>1147</v>
      </c>
      <c r="O319" s="114">
        <v>151</v>
      </c>
      <c r="P319" s="286">
        <f>SUM(C319:O319)</f>
        <v>80304</v>
      </c>
      <c r="Q319" s="114">
        <v>1262</v>
      </c>
      <c r="R319" s="114">
        <v>2766</v>
      </c>
      <c r="S319" s="114">
        <v>2020</v>
      </c>
      <c r="T319" s="114">
        <v>3192</v>
      </c>
      <c r="U319" s="125">
        <v>1132</v>
      </c>
      <c r="V319" s="114">
        <v>859</v>
      </c>
      <c r="W319" s="114">
        <v>292</v>
      </c>
      <c r="X319" s="114">
        <v>990</v>
      </c>
      <c r="Y319" s="114">
        <v>204</v>
      </c>
      <c r="Z319" s="114">
        <v>164</v>
      </c>
      <c r="AA319" s="261"/>
      <c r="AB319" s="286">
        <f>SUM(Q319:AA319)</f>
        <v>12881</v>
      </c>
      <c r="AC319" s="287">
        <f>P319+AB319</f>
        <v>93185</v>
      </c>
      <c r="AD319" s="263"/>
      <c r="AE319" s="263"/>
      <c r="AF319" s="263"/>
      <c r="AG319" s="263"/>
      <c r="AH319" s="479"/>
      <c r="AI319" s="479"/>
      <c r="AJ319" s="479"/>
      <c r="AK319" s="479"/>
    </row>
    <row r="320" spans="1:37" ht="36" customHeight="1" x14ac:dyDescent="0.4">
      <c r="A320" s="477"/>
      <c r="B320" s="304" t="s">
        <v>285</v>
      </c>
      <c r="C320" s="469">
        <f>C317+D317+E317+F317+C318+D318+E318+F318</f>
        <v>64792.258999999998</v>
      </c>
      <c r="D320" s="470"/>
      <c r="E320" s="470"/>
      <c r="F320" s="471"/>
      <c r="G320" s="469">
        <f>G317+H317+I317+G318+H318+I318</f>
        <v>9265</v>
      </c>
      <c r="H320" s="470"/>
      <c r="I320" s="471"/>
      <c r="J320" s="273"/>
      <c r="K320" s="273"/>
      <c r="L320" s="469">
        <f>L317+M317+N317+L318+M318+N318</f>
        <v>1568.6464999999998</v>
      </c>
      <c r="M320" s="470"/>
      <c r="N320" s="471"/>
      <c r="O320" s="114"/>
      <c r="P320" s="286"/>
      <c r="Q320" s="469">
        <f>Q317+R317+S317+Q318+R318+S318</f>
        <v>5624.72</v>
      </c>
      <c r="R320" s="470"/>
      <c r="S320" s="471"/>
      <c r="T320" s="114"/>
      <c r="U320" s="114"/>
      <c r="V320" s="114"/>
      <c r="W320" s="114"/>
      <c r="X320" s="114"/>
      <c r="Y320" s="114"/>
      <c r="Z320" s="114"/>
      <c r="AA320" s="261"/>
      <c r="AB320" s="286"/>
      <c r="AC320" s="287"/>
      <c r="AD320" s="263"/>
      <c r="AE320" s="263"/>
      <c r="AF320" s="263"/>
      <c r="AG320" s="263"/>
      <c r="AH320" s="479"/>
      <c r="AI320" s="479"/>
      <c r="AJ320" s="479"/>
      <c r="AK320" s="479"/>
    </row>
    <row r="321" spans="1:37" ht="36" customHeight="1" x14ac:dyDescent="0.4">
      <c r="A321" s="477"/>
      <c r="B321" s="304" t="s">
        <v>247</v>
      </c>
      <c r="C321" s="469">
        <f>C319+D319+E319+F319</f>
        <v>73002</v>
      </c>
      <c r="D321" s="470"/>
      <c r="E321" s="470"/>
      <c r="F321" s="471"/>
      <c r="G321" s="469">
        <f>G319+H319+I319</f>
        <v>5026</v>
      </c>
      <c r="H321" s="470"/>
      <c r="I321" s="471"/>
      <c r="J321" s="273"/>
      <c r="K321" s="273"/>
      <c r="L321" s="469">
        <f>L319+M319+N319</f>
        <v>2125</v>
      </c>
      <c r="M321" s="470"/>
      <c r="N321" s="471"/>
      <c r="O321" s="114"/>
      <c r="P321" s="286"/>
      <c r="Q321" s="469">
        <f>Q319+R319+S319</f>
        <v>6048</v>
      </c>
      <c r="R321" s="470"/>
      <c r="S321" s="471"/>
      <c r="T321" s="114"/>
      <c r="U321" s="114"/>
      <c r="V321" s="114"/>
      <c r="W321" s="114"/>
      <c r="X321" s="114"/>
      <c r="Y321" s="114"/>
      <c r="Z321" s="114"/>
      <c r="AA321" s="261"/>
      <c r="AB321" s="286"/>
      <c r="AC321" s="287"/>
      <c r="AD321" s="263"/>
      <c r="AE321" s="263"/>
      <c r="AF321" s="263"/>
      <c r="AG321" s="263"/>
      <c r="AH321" s="479"/>
      <c r="AI321" s="479"/>
      <c r="AJ321" s="479"/>
      <c r="AK321" s="479"/>
    </row>
    <row r="322" spans="1:37" ht="36" customHeight="1" x14ac:dyDescent="0.4">
      <c r="A322" s="477"/>
      <c r="B322" s="297" t="s">
        <v>262</v>
      </c>
      <c r="C322" s="472">
        <f>C320/C321</f>
        <v>0.88754087559244954</v>
      </c>
      <c r="D322" s="473"/>
      <c r="E322" s="473"/>
      <c r="F322" s="474"/>
      <c r="G322" s="472">
        <f>G320/G321</f>
        <v>1.8434142459212097</v>
      </c>
      <c r="H322" s="473"/>
      <c r="I322" s="474"/>
      <c r="J322" s="276"/>
      <c r="K322" s="276"/>
      <c r="L322" s="472">
        <f>L320/L321</f>
        <v>0.73818658823529404</v>
      </c>
      <c r="M322" s="473"/>
      <c r="N322" s="474"/>
      <c r="O322" s="280">
        <f>(O317+O318)/O319</f>
        <v>1</v>
      </c>
      <c r="P322" s="290">
        <f>(P317+P318)/P319</f>
        <v>0.94362554169157198</v>
      </c>
      <c r="Q322" s="472">
        <f>Q320/Q321</f>
        <v>0.93001322751322757</v>
      </c>
      <c r="R322" s="473"/>
      <c r="S322" s="474"/>
      <c r="T322" s="280">
        <f t="shared" ref="T322:Z322" si="54">(T317+T318)/T319</f>
        <v>0.88912907268170427</v>
      </c>
      <c r="U322" s="280">
        <f t="shared" si="54"/>
        <v>2.1528268551236751</v>
      </c>
      <c r="V322" s="280">
        <f t="shared" si="54"/>
        <v>0.90803259604190922</v>
      </c>
      <c r="W322" s="280">
        <f t="shared" si="54"/>
        <v>0.98287671232876717</v>
      </c>
      <c r="X322" s="280">
        <f t="shared" si="54"/>
        <v>0.96</v>
      </c>
      <c r="Y322" s="280">
        <f t="shared" si="54"/>
        <v>0.96568627450980393</v>
      </c>
      <c r="Z322" s="280">
        <f t="shared" si="54"/>
        <v>0.82317073170731703</v>
      </c>
      <c r="AA322" s="265"/>
      <c r="AB322" s="290">
        <f>(AB317+AB318)/AB319</f>
        <v>1.0285862898843257</v>
      </c>
      <c r="AC322" s="291">
        <f>(AC317+AC318)/AC319</f>
        <v>0.95536970005902233</v>
      </c>
      <c r="AD322" s="281">
        <f>AD317/$AG$173</f>
        <v>0.76190476190476186</v>
      </c>
      <c r="AE322" s="281">
        <f>AE317/$AG$173</f>
        <v>0.19047619047619047</v>
      </c>
      <c r="AF322" s="281">
        <f>AF317/$AG$173</f>
        <v>4.7619047619047616E-2</v>
      </c>
      <c r="AG322" s="305">
        <f>AG317/$AG$173</f>
        <v>1</v>
      </c>
      <c r="AH322" s="480"/>
      <c r="AI322" s="480"/>
      <c r="AJ322" s="480"/>
      <c r="AK322" s="480"/>
    </row>
    <row r="323" spans="1:37" ht="36" customHeight="1" x14ac:dyDescent="0.4">
      <c r="A323" s="477" t="s">
        <v>310</v>
      </c>
      <c r="B323" s="292" t="s">
        <v>269</v>
      </c>
      <c r="C323" s="258">
        <v>8016</v>
      </c>
      <c r="D323" s="258">
        <v>33774</v>
      </c>
      <c r="E323" s="258">
        <v>3742</v>
      </c>
      <c r="F323" s="258">
        <v>19307</v>
      </c>
      <c r="G323" s="258">
        <v>1628</v>
      </c>
      <c r="H323" s="258">
        <v>5179</v>
      </c>
      <c r="I323" s="258">
        <v>2431</v>
      </c>
      <c r="J323" s="258"/>
      <c r="K323" s="258"/>
      <c r="L323" s="258">
        <v>81</v>
      </c>
      <c r="M323" s="258">
        <v>836</v>
      </c>
      <c r="N323" s="258">
        <v>652</v>
      </c>
      <c r="O323" s="258">
        <v>151</v>
      </c>
      <c r="P323" s="286">
        <f>SUM(C323:O323)</f>
        <v>75797</v>
      </c>
      <c r="Q323" s="258">
        <v>1158</v>
      </c>
      <c r="R323" s="258">
        <v>2477</v>
      </c>
      <c r="S323" s="258">
        <v>1981</v>
      </c>
      <c r="T323" s="258">
        <v>2605</v>
      </c>
      <c r="U323" s="258">
        <v>2657</v>
      </c>
      <c r="V323" s="258">
        <v>789</v>
      </c>
      <c r="W323" s="258">
        <v>287</v>
      </c>
      <c r="X323" s="258">
        <v>794</v>
      </c>
      <c r="Y323" s="67">
        <v>202</v>
      </c>
      <c r="Z323" s="67">
        <v>136</v>
      </c>
      <c r="AA323" s="261"/>
      <c r="AB323" s="286">
        <f>SUM(Q323:AA323)</f>
        <v>13086</v>
      </c>
      <c r="AC323" s="287">
        <f>P323+AB323</f>
        <v>88883</v>
      </c>
      <c r="AD323" s="278">
        <v>16</v>
      </c>
      <c r="AE323" s="278">
        <v>4</v>
      </c>
      <c r="AF323" s="278">
        <v>1</v>
      </c>
      <c r="AG323" s="279">
        <f>SUM(AD323:AF323)</f>
        <v>21</v>
      </c>
      <c r="AH323" s="478">
        <v>2274</v>
      </c>
      <c r="AI323" s="478">
        <v>2608</v>
      </c>
      <c r="AJ323" s="478">
        <v>715</v>
      </c>
      <c r="AK323" s="478">
        <f>SUM(AH323:AJ328)</f>
        <v>5597</v>
      </c>
    </row>
    <row r="324" spans="1:37" ht="36" customHeight="1" x14ac:dyDescent="0.4">
      <c r="A324" s="477"/>
      <c r="B324" s="292" t="s">
        <v>265</v>
      </c>
      <c r="C324" s="258">
        <v>36.071999999999996</v>
      </c>
      <c r="D324" s="258">
        <v>151.98299999999998</v>
      </c>
      <c r="E324" s="258">
        <v>16.838999999999999</v>
      </c>
      <c r="F324" s="258">
        <v>86.881499999999988</v>
      </c>
      <c r="G324" s="258">
        <v>0</v>
      </c>
      <c r="H324" s="258">
        <v>0</v>
      </c>
      <c r="I324" s="258">
        <v>0</v>
      </c>
      <c r="J324" s="258"/>
      <c r="K324" s="258"/>
      <c r="L324" s="258">
        <v>0</v>
      </c>
      <c r="M324" s="258">
        <v>3.7619999999999996</v>
      </c>
      <c r="N324" s="258">
        <v>2.9339999999999997</v>
      </c>
      <c r="O324" s="258">
        <v>0</v>
      </c>
      <c r="P324" s="286">
        <f>SUM(C324:O324)</f>
        <v>298.47149999999999</v>
      </c>
      <c r="Q324" s="258">
        <v>32.58</v>
      </c>
      <c r="R324" s="258">
        <v>0</v>
      </c>
      <c r="S324" s="258">
        <v>0</v>
      </c>
      <c r="T324" s="258">
        <v>26.05</v>
      </c>
      <c r="U324" s="258">
        <v>0</v>
      </c>
      <c r="V324" s="258">
        <v>0</v>
      </c>
      <c r="W324" s="258">
        <v>0</v>
      </c>
      <c r="X324" s="258">
        <v>158.80000000000001</v>
      </c>
      <c r="Y324" s="258">
        <v>0</v>
      </c>
      <c r="Z324" s="67">
        <v>0</v>
      </c>
      <c r="AA324" s="261"/>
      <c r="AB324" s="286">
        <f>SUM(Q324:AA324)</f>
        <v>217.43</v>
      </c>
      <c r="AC324" s="287">
        <f>P324+AB324</f>
        <v>515.90149999999994</v>
      </c>
      <c r="AD324" s="278"/>
      <c r="AE324" s="278"/>
      <c r="AF324" s="278"/>
      <c r="AG324" s="279"/>
      <c r="AH324" s="479"/>
      <c r="AI324" s="479"/>
      <c r="AJ324" s="479"/>
      <c r="AK324" s="479"/>
    </row>
    <row r="325" spans="1:37" ht="36" customHeight="1" x14ac:dyDescent="0.4">
      <c r="A325" s="477"/>
      <c r="B325" s="304" t="s">
        <v>284</v>
      </c>
      <c r="C325" s="114">
        <v>9252</v>
      </c>
      <c r="D325" s="114">
        <v>37456</v>
      </c>
      <c r="E325" s="114">
        <v>4675</v>
      </c>
      <c r="F325" s="114">
        <v>21619</v>
      </c>
      <c r="G325" s="114">
        <v>1710</v>
      </c>
      <c r="H325" s="125">
        <v>763</v>
      </c>
      <c r="I325" s="114">
        <v>2553</v>
      </c>
      <c r="J325" s="114"/>
      <c r="K325" s="114"/>
      <c r="L325" s="114">
        <v>102</v>
      </c>
      <c r="M325" s="114">
        <v>876</v>
      </c>
      <c r="N325" s="114">
        <v>1147</v>
      </c>
      <c r="O325" s="114">
        <v>151</v>
      </c>
      <c r="P325" s="286">
        <f>SUM(C325:O325)</f>
        <v>80304</v>
      </c>
      <c r="Q325" s="114">
        <v>1262</v>
      </c>
      <c r="R325" s="114">
        <v>2766</v>
      </c>
      <c r="S325" s="114">
        <v>2020</v>
      </c>
      <c r="T325" s="114">
        <v>3192</v>
      </c>
      <c r="U325" s="125">
        <v>1132</v>
      </c>
      <c r="V325" s="114">
        <v>859</v>
      </c>
      <c r="W325" s="114">
        <v>292</v>
      </c>
      <c r="X325" s="114">
        <v>990</v>
      </c>
      <c r="Y325" s="114">
        <v>204</v>
      </c>
      <c r="Z325" s="114">
        <v>164</v>
      </c>
      <c r="AA325" s="261"/>
      <c r="AB325" s="286">
        <f>SUM(Q325:AA325)</f>
        <v>12881</v>
      </c>
      <c r="AC325" s="287">
        <f>P325+AB325</f>
        <v>93185</v>
      </c>
      <c r="AD325" s="263"/>
      <c r="AE325" s="263"/>
      <c r="AF325" s="263"/>
      <c r="AG325" s="263"/>
      <c r="AH325" s="479"/>
      <c r="AI325" s="479"/>
      <c r="AJ325" s="479"/>
      <c r="AK325" s="479"/>
    </row>
    <row r="326" spans="1:37" ht="36" customHeight="1" x14ac:dyDescent="0.4">
      <c r="A326" s="477"/>
      <c r="B326" s="304" t="s">
        <v>285</v>
      </c>
      <c r="C326" s="469">
        <f>C323+D323+E323+F323+C324+D324+E324+F324</f>
        <v>65130.775500000003</v>
      </c>
      <c r="D326" s="470"/>
      <c r="E326" s="470"/>
      <c r="F326" s="471"/>
      <c r="G326" s="469">
        <f>G323+H323+I323+G324+H324+I324</f>
        <v>9238</v>
      </c>
      <c r="H326" s="470"/>
      <c r="I326" s="471"/>
      <c r="J326" s="273"/>
      <c r="K326" s="273"/>
      <c r="L326" s="469">
        <f>L323+M323+N323+L324+M324+N324</f>
        <v>1575.6959999999999</v>
      </c>
      <c r="M326" s="470"/>
      <c r="N326" s="471"/>
      <c r="O326" s="114"/>
      <c r="P326" s="286"/>
      <c r="Q326" s="469">
        <f>Q323+R323+S323+Q324+R324+S324</f>
        <v>5648.58</v>
      </c>
      <c r="R326" s="470"/>
      <c r="S326" s="471"/>
      <c r="T326" s="114"/>
      <c r="U326" s="114"/>
      <c r="V326" s="114"/>
      <c r="W326" s="114"/>
      <c r="X326" s="114"/>
      <c r="Y326" s="114"/>
      <c r="Z326" s="114"/>
      <c r="AA326" s="261"/>
      <c r="AB326" s="286"/>
      <c r="AC326" s="287"/>
      <c r="AD326" s="263"/>
      <c r="AE326" s="263"/>
      <c r="AF326" s="263"/>
      <c r="AG326" s="263"/>
      <c r="AH326" s="479"/>
      <c r="AI326" s="479"/>
      <c r="AJ326" s="479"/>
      <c r="AK326" s="479"/>
    </row>
    <row r="327" spans="1:37" ht="36" customHeight="1" x14ac:dyDescent="0.4">
      <c r="A327" s="477"/>
      <c r="B327" s="304" t="s">
        <v>247</v>
      </c>
      <c r="C327" s="469">
        <f>C325+D325+E325+F325</f>
        <v>73002</v>
      </c>
      <c r="D327" s="470"/>
      <c r="E327" s="470"/>
      <c r="F327" s="471"/>
      <c r="G327" s="469">
        <f>G325+H325+I325</f>
        <v>5026</v>
      </c>
      <c r="H327" s="470"/>
      <c r="I327" s="471"/>
      <c r="J327" s="273"/>
      <c r="K327" s="273"/>
      <c r="L327" s="469">
        <f>L325+M325+N325</f>
        <v>2125</v>
      </c>
      <c r="M327" s="470"/>
      <c r="N327" s="471"/>
      <c r="O327" s="114"/>
      <c r="P327" s="286"/>
      <c r="Q327" s="469">
        <f>Q325+R325+S325</f>
        <v>6048</v>
      </c>
      <c r="R327" s="470"/>
      <c r="S327" s="471"/>
      <c r="T327" s="114"/>
      <c r="U327" s="114"/>
      <c r="V327" s="114"/>
      <c r="W327" s="114"/>
      <c r="X327" s="114"/>
      <c r="Y327" s="114"/>
      <c r="Z327" s="114"/>
      <c r="AA327" s="261"/>
      <c r="AB327" s="286"/>
      <c r="AC327" s="287"/>
      <c r="AD327" s="263"/>
      <c r="AE327" s="263"/>
      <c r="AF327" s="263"/>
      <c r="AG327" s="263"/>
      <c r="AH327" s="479"/>
      <c r="AI327" s="479"/>
      <c r="AJ327" s="479"/>
      <c r="AK327" s="479"/>
    </row>
    <row r="328" spans="1:37" ht="36" customHeight="1" x14ac:dyDescent="0.4">
      <c r="A328" s="477"/>
      <c r="B328" s="297" t="s">
        <v>262</v>
      </c>
      <c r="C328" s="472">
        <f>C326/C327</f>
        <v>0.89217796087778423</v>
      </c>
      <c r="D328" s="473"/>
      <c r="E328" s="473"/>
      <c r="F328" s="474"/>
      <c r="G328" s="472">
        <f>G326/G327</f>
        <v>1.8380421806605651</v>
      </c>
      <c r="H328" s="473"/>
      <c r="I328" s="474"/>
      <c r="J328" s="276"/>
      <c r="K328" s="276"/>
      <c r="L328" s="472">
        <f>L326/L327</f>
        <v>0.74150399999999994</v>
      </c>
      <c r="M328" s="473"/>
      <c r="N328" s="474"/>
      <c r="O328" s="280">
        <f>(O323+O324)/O325</f>
        <v>1</v>
      </c>
      <c r="P328" s="290">
        <f>(P323+P324)/P325</f>
        <v>0.94759254209005772</v>
      </c>
      <c r="Q328" s="472">
        <f>Q326/Q327</f>
        <v>0.93395833333333333</v>
      </c>
      <c r="R328" s="473"/>
      <c r="S328" s="474"/>
      <c r="T328" s="280">
        <f t="shared" ref="T328:Z328" si="55">(T323+T324)/T325</f>
        <v>0.82426378446115289</v>
      </c>
      <c r="U328" s="280">
        <f t="shared" si="55"/>
        <v>2.3471731448763249</v>
      </c>
      <c r="V328" s="280">
        <f t="shared" si="55"/>
        <v>0.9185098952270081</v>
      </c>
      <c r="W328" s="280">
        <f t="shared" si="55"/>
        <v>0.98287671232876717</v>
      </c>
      <c r="X328" s="280">
        <f t="shared" si="55"/>
        <v>0.9624242424242424</v>
      </c>
      <c r="Y328" s="280">
        <f t="shared" si="55"/>
        <v>0.99019607843137258</v>
      </c>
      <c r="Z328" s="280">
        <f t="shared" si="55"/>
        <v>0.82926829268292679</v>
      </c>
      <c r="AA328" s="265"/>
      <c r="AB328" s="290">
        <f>(AB323+AB324)/AB325</f>
        <v>1.0327948140672307</v>
      </c>
      <c r="AC328" s="291">
        <f>(AC323+AC324)/AC325</f>
        <v>0.95937008638729415</v>
      </c>
      <c r="AD328" s="281">
        <f>AD323/$AG$173</f>
        <v>0.76190476190476186</v>
      </c>
      <c r="AE328" s="281">
        <f>AE323/$AG$173</f>
        <v>0.19047619047619047</v>
      </c>
      <c r="AF328" s="281">
        <f>AF323/$AG$173</f>
        <v>4.7619047619047616E-2</v>
      </c>
      <c r="AG328" s="305">
        <f>AG323/$AG$173</f>
        <v>1</v>
      </c>
      <c r="AH328" s="480"/>
      <c r="AI328" s="480"/>
      <c r="AJ328" s="480"/>
      <c r="AK328" s="480"/>
    </row>
    <row r="329" spans="1:37" ht="36" customHeight="1" x14ac:dyDescent="0.4">
      <c r="A329" s="477" t="s">
        <v>311</v>
      </c>
      <c r="B329" s="292" t="s">
        <v>269</v>
      </c>
      <c r="C329" s="258">
        <v>8126</v>
      </c>
      <c r="D329" s="258">
        <v>34198</v>
      </c>
      <c r="E329" s="258">
        <v>3783</v>
      </c>
      <c r="F329" s="258">
        <v>19654</v>
      </c>
      <c r="G329" s="258">
        <v>1631</v>
      </c>
      <c r="H329" s="258">
        <v>5101</v>
      </c>
      <c r="I329" s="258">
        <v>2440</v>
      </c>
      <c r="J329" s="258"/>
      <c r="K329" s="258"/>
      <c r="L329" s="258">
        <v>82</v>
      </c>
      <c r="M329" s="258">
        <v>422</v>
      </c>
      <c r="N329" s="258">
        <v>655</v>
      </c>
      <c r="O329" s="258">
        <v>151</v>
      </c>
      <c r="P329" s="286">
        <f>SUM(C329:O329)</f>
        <v>76243</v>
      </c>
      <c r="Q329" s="258">
        <v>1171</v>
      </c>
      <c r="R329" s="258">
        <v>2474</v>
      </c>
      <c r="S329" s="258">
        <v>1952</v>
      </c>
      <c r="T329" s="258">
        <v>2610</v>
      </c>
      <c r="U329" s="258">
        <v>2737</v>
      </c>
      <c r="V329" s="258">
        <v>785</v>
      </c>
      <c r="W329" s="258">
        <v>288</v>
      </c>
      <c r="X329" s="258">
        <v>794</v>
      </c>
      <c r="Y329" s="67">
        <v>204</v>
      </c>
      <c r="Z329" s="67">
        <v>137</v>
      </c>
      <c r="AA329" s="261"/>
      <c r="AB329" s="286">
        <f>SUM(Q329:AA329)</f>
        <v>13152</v>
      </c>
      <c r="AC329" s="287">
        <f>P329+AB329</f>
        <v>89395</v>
      </c>
      <c r="AD329" s="278">
        <v>15</v>
      </c>
      <c r="AE329" s="278">
        <v>4</v>
      </c>
      <c r="AF329" s="278">
        <v>2</v>
      </c>
      <c r="AG329" s="279">
        <f>SUM(AD329:AF329)</f>
        <v>21</v>
      </c>
      <c r="AH329" s="478">
        <v>2157</v>
      </c>
      <c r="AI329" s="478">
        <v>2401</v>
      </c>
      <c r="AJ329" s="478">
        <v>767</v>
      </c>
      <c r="AK329" s="478">
        <f>SUM(AH329:AJ334)</f>
        <v>5325</v>
      </c>
    </row>
    <row r="330" spans="1:37" ht="36" customHeight="1" x14ac:dyDescent="0.4">
      <c r="A330" s="477"/>
      <c r="B330" s="292" t="s">
        <v>265</v>
      </c>
      <c r="C330" s="258">
        <v>36.567</v>
      </c>
      <c r="D330" s="258">
        <v>153.89099999999999</v>
      </c>
      <c r="E330" s="258">
        <v>17.023499999999999</v>
      </c>
      <c r="F330" s="258">
        <v>88.442999999999998</v>
      </c>
      <c r="G330" s="258">
        <v>0</v>
      </c>
      <c r="H330" s="258">
        <v>0</v>
      </c>
      <c r="I330" s="258">
        <v>0</v>
      </c>
      <c r="J330" s="258"/>
      <c r="K330" s="258"/>
      <c r="L330" s="258">
        <v>0</v>
      </c>
      <c r="M330" s="258">
        <v>1.8989999999999998</v>
      </c>
      <c r="N330" s="258">
        <v>2.9474999999999998</v>
      </c>
      <c r="O330" s="258">
        <v>0</v>
      </c>
      <c r="P330" s="286">
        <f>SUM(C330:O330)</f>
        <v>300.77099999999996</v>
      </c>
      <c r="Q330" s="258">
        <v>32.71</v>
      </c>
      <c r="R330" s="258">
        <v>0</v>
      </c>
      <c r="S330" s="258">
        <v>0</v>
      </c>
      <c r="T330" s="258">
        <v>26.1</v>
      </c>
      <c r="U330" s="258">
        <v>0</v>
      </c>
      <c r="V330" s="258">
        <v>0</v>
      </c>
      <c r="W330" s="258">
        <v>0</v>
      </c>
      <c r="X330" s="258">
        <v>158.80000000000001</v>
      </c>
      <c r="Y330" s="258">
        <v>0</v>
      </c>
      <c r="Z330" s="67">
        <v>0</v>
      </c>
      <c r="AA330" s="261"/>
      <c r="AB330" s="286">
        <f>SUM(Q330:AA330)</f>
        <v>217.61</v>
      </c>
      <c r="AC330" s="287">
        <f>P330+AB330</f>
        <v>518.38099999999997</v>
      </c>
      <c r="AD330" s="278"/>
      <c r="AE330" s="278"/>
      <c r="AF330" s="278"/>
      <c r="AG330" s="279"/>
      <c r="AH330" s="479"/>
      <c r="AI330" s="479"/>
      <c r="AJ330" s="479"/>
      <c r="AK330" s="479"/>
    </row>
    <row r="331" spans="1:37" ht="36" customHeight="1" x14ac:dyDescent="0.4">
      <c r="A331" s="477"/>
      <c r="B331" s="304" t="s">
        <v>284</v>
      </c>
      <c r="C331" s="114">
        <v>9252</v>
      </c>
      <c r="D331" s="114">
        <v>37456</v>
      </c>
      <c r="E331" s="114">
        <v>4675</v>
      </c>
      <c r="F331" s="114">
        <v>21619</v>
      </c>
      <c r="G331" s="114">
        <v>1710</v>
      </c>
      <c r="H331" s="125">
        <v>763</v>
      </c>
      <c r="I331" s="114">
        <v>2553</v>
      </c>
      <c r="J331" s="114"/>
      <c r="K331" s="114"/>
      <c r="L331" s="114">
        <v>102</v>
      </c>
      <c r="M331" s="114">
        <v>876</v>
      </c>
      <c r="N331" s="114">
        <v>1147</v>
      </c>
      <c r="O331" s="114">
        <v>151</v>
      </c>
      <c r="P331" s="286">
        <f>SUM(C331:O331)</f>
        <v>80304</v>
      </c>
      <c r="Q331" s="114">
        <v>1262</v>
      </c>
      <c r="R331" s="114">
        <v>2766</v>
      </c>
      <c r="S331" s="114">
        <v>2020</v>
      </c>
      <c r="T331" s="114">
        <v>3192</v>
      </c>
      <c r="U331" s="125">
        <v>1132</v>
      </c>
      <c r="V331" s="114">
        <v>859</v>
      </c>
      <c r="W331" s="114">
        <v>292</v>
      </c>
      <c r="X331" s="114">
        <v>990</v>
      </c>
      <c r="Y331" s="114">
        <v>204</v>
      </c>
      <c r="Z331" s="114">
        <v>164</v>
      </c>
      <c r="AA331" s="261"/>
      <c r="AB331" s="286">
        <f>SUM(Q331:AA331)</f>
        <v>12881</v>
      </c>
      <c r="AC331" s="287">
        <f>P331+AB331</f>
        <v>93185</v>
      </c>
      <c r="AD331" s="263"/>
      <c r="AE331" s="263"/>
      <c r="AF331" s="263"/>
      <c r="AG331" s="263"/>
      <c r="AH331" s="479"/>
      <c r="AI331" s="479"/>
      <c r="AJ331" s="479"/>
      <c r="AK331" s="479"/>
    </row>
    <row r="332" spans="1:37" ht="36" customHeight="1" x14ac:dyDescent="0.4">
      <c r="A332" s="477"/>
      <c r="B332" s="304" t="s">
        <v>285</v>
      </c>
      <c r="C332" s="469">
        <f>C329+D329+E329+F329+C330+D330+E330+F330</f>
        <v>66056.924499999994</v>
      </c>
      <c r="D332" s="470"/>
      <c r="E332" s="470"/>
      <c r="F332" s="471"/>
      <c r="G332" s="469">
        <f>G329+H329+I329+G330+H330+I330</f>
        <v>9172</v>
      </c>
      <c r="H332" s="470"/>
      <c r="I332" s="471"/>
      <c r="J332" s="273"/>
      <c r="K332" s="273"/>
      <c r="L332" s="469">
        <f>L329+M329+N329+L330+M330+N330</f>
        <v>1163.8464999999999</v>
      </c>
      <c r="M332" s="470"/>
      <c r="N332" s="471"/>
      <c r="O332" s="114"/>
      <c r="P332" s="286"/>
      <c r="Q332" s="469">
        <f>Q329+R329+S329+Q330+R330+S330</f>
        <v>5629.71</v>
      </c>
      <c r="R332" s="470"/>
      <c r="S332" s="471"/>
      <c r="T332" s="114"/>
      <c r="U332" s="114"/>
      <c r="V332" s="114"/>
      <c r="W332" s="114"/>
      <c r="X332" s="114"/>
      <c r="Y332" s="114"/>
      <c r="Z332" s="114"/>
      <c r="AA332" s="261"/>
      <c r="AB332" s="286"/>
      <c r="AC332" s="287"/>
      <c r="AD332" s="263"/>
      <c r="AE332" s="263"/>
      <c r="AF332" s="263"/>
      <c r="AG332" s="263"/>
      <c r="AH332" s="479"/>
      <c r="AI332" s="479"/>
      <c r="AJ332" s="479"/>
      <c r="AK332" s="479"/>
    </row>
    <row r="333" spans="1:37" ht="36" customHeight="1" x14ac:dyDescent="0.4">
      <c r="A333" s="477"/>
      <c r="B333" s="304" t="s">
        <v>247</v>
      </c>
      <c r="C333" s="469">
        <f>C331+D331+E331+F331</f>
        <v>73002</v>
      </c>
      <c r="D333" s="470"/>
      <c r="E333" s="470"/>
      <c r="F333" s="471"/>
      <c r="G333" s="469">
        <f>G331+H331+I331</f>
        <v>5026</v>
      </c>
      <c r="H333" s="470"/>
      <c r="I333" s="471"/>
      <c r="J333" s="273"/>
      <c r="K333" s="273"/>
      <c r="L333" s="469">
        <f>L331+M331+N331</f>
        <v>2125</v>
      </c>
      <c r="M333" s="470"/>
      <c r="N333" s="471"/>
      <c r="O333" s="114"/>
      <c r="P333" s="286"/>
      <c r="Q333" s="469">
        <f>Q331+R331+S331</f>
        <v>6048</v>
      </c>
      <c r="R333" s="470"/>
      <c r="S333" s="471"/>
      <c r="T333" s="114"/>
      <c r="U333" s="114"/>
      <c r="V333" s="114"/>
      <c r="W333" s="114"/>
      <c r="X333" s="114"/>
      <c r="Y333" s="114"/>
      <c r="Z333" s="114"/>
      <c r="AA333" s="261"/>
      <c r="AB333" s="286"/>
      <c r="AC333" s="287"/>
      <c r="AD333" s="263"/>
      <c r="AE333" s="263"/>
      <c r="AF333" s="263"/>
      <c r="AG333" s="263"/>
      <c r="AH333" s="479"/>
      <c r="AI333" s="479"/>
      <c r="AJ333" s="479"/>
      <c r="AK333" s="479"/>
    </row>
    <row r="334" spans="1:37" ht="36" customHeight="1" x14ac:dyDescent="0.4">
      <c r="A334" s="477"/>
      <c r="B334" s="297" t="s">
        <v>262</v>
      </c>
      <c r="C334" s="472">
        <f>C332/C333</f>
        <v>0.904864585901756</v>
      </c>
      <c r="D334" s="473"/>
      <c r="E334" s="473"/>
      <c r="F334" s="474"/>
      <c r="G334" s="472">
        <f>G332/G333</f>
        <v>1.8249104655789892</v>
      </c>
      <c r="H334" s="473"/>
      <c r="I334" s="474"/>
      <c r="J334" s="276"/>
      <c r="K334" s="276"/>
      <c r="L334" s="472">
        <f>L332/L333</f>
        <v>0.54769247058823523</v>
      </c>
      <c r="M334" s="473"/>
      <c r="N334" s="474"/>
      <c r="O334" s="280">
        <f>(O329+O330)/O331</f>
        <v>1</v>
      </c>
      <c r="P334" s="290">
        <f>(P329+P330)/P331</f>
        <v>0.95317507222554287</v>
      </c>
      <c r="Q334" s="472">
        <f>Q332/Q333</f>
        <v>0.93083829365079362</v>
      </c>
      <c r="R334" s="473"/>
      <c r="S334" s="474"/>
      <c r="T334" s="280">
        <f t="shared" ref="T334:Z334" si="56">(T329+T330)/T331</f>
        <v>0.82584586466165411</v>
      </c>
      <c r="U334" s="280">
        <f t="shared" si="56"/>
        <v>2.4178445229681977</v>
      </c>
      <c r="V334" s="280">
        <f t="shared" si="56"/>
        <v>0.91385331781140866</v>
      </c>
      <c r="W334" s="280">
        <f t="shared" si="56"/>
        <v>0.98630136986301364</v>
      </c>
      <c r="X334" s="280">
        <f t="shared" si="56"/>
        <v>0.9624242424242424</v>
      </c>
      <c r="Y334" s="280">
        <f t="shared" si="56"/>
        <v>1</v>
      </c>
      <c r="Z334" s="280">
        <f t="shared" si="56"/>
        <v>0.83536585365853655</v>
      </c>
      <c r="AA334" s="265"/>
      <c r="AB334" s="290">
        <f>(AB329+AB330)/AB331</f>
        <v>1.0379326139274903</v>
      </c>
      <c r="AC334" s="291">
        <f>(AC329+AC330)/AC331</f>
        <v>0.9648911412781026</v>
      </c>
      <c r="AD334" s="281">
        <f>AD329/$AG$173</f>
        <v>0.7142857142857143</v>
      </c>
      <c r="AE334" s="281">
        <f>AE329/$AG$173</f>
        <v>0.19047619047619047</v>
      </c>
      <c r="AF334" s="281">
        <f>AF329/$AG$173</f>
        <v>9.5238095238095233E-2</v>
      </c>
      <c r="AG334" s="305">
        <f>AG329/$AG$173</f>
        <v>1</v>
      </c>
      <c r="AH334" s="480"/>
      <c r="AI334" s="480"/>
      <c r="AJ334" s="480"/>
      <c r="AK334" s="480"/>
    </row>
    <row r="335" spans="1:37" ht="36" customHeight="1" x14ac:dyDescent="0.4">
      <c r="A335" s="477" t="s">
        <v>312</v>
      </c>
      <c r="B335" s="292" t="s">
        <v>269</v>
      </c>
      <c r="C335" s="258">
        <v>8175</v>
      </c>
      <c r="D335" s="258">
        <v>34379</v>
      </c>
      <c r="E335" s="258">
        <v>3909</v>
      </c>
      <c r="F335" s="258">
        <v>19900</v>
      </c>
      <c r="G335" s="258">
        <v>1636</v>
      </c>
      <c r="H335" s="258">
        <v>5035</v>
      </c>
      <c r="I335" s="258">
        <v>2464</v>
      </c>
      <c r="J335" s="258"/>
      <c r="K335" s="258"/>
      <c r="L335" s="258">
        <v>94</v>
      </c>
      <c r="M335" s="258">
        <v>417</v>
      </c>
      <c r="N335" s="258">
        <v>658</v>
      </c>
      <c r="O335" s="258">
        <v>151</v>
      </c>
      <c r="P335" s="286">
        <f>SUM(C335:O335)</f>
        <v>76818</v>
      </c>
      <c r="Q335" s="258">
        <v>1203</v>
      </c>
      <c r="R335" s="258">
        <v>2507</v>
      </c>
      <c r="S335" s="258">
        <v>1969</v>
      </c>
      <c r="T335" s="258">
        <v>2697</v>
      </c>
      <c r="U335" s="258">
        <v>2742</v>
      </c>
      <c r="V335" s="258">
        <v>794</v>
      </c>
      <c r="W335" s="258">
        <v>289</v>
      </c>
      <c r="X335" s="258">
        <v>795</v>
      </c>
      <c r="Y335" s="67">
        <v>203</v>
      </c>
      <c r="Z335" s="67">
        <v>137</v>
      </c>
      <c r="AA335" s="261"/>
      <c r="AB335" s="286">
        <f>SUM(Q335:AA335)</f>
        <v>13336</v>
      </c>
      <c r="AC335" s="287">
        <f>P335+AB335</f>
        <v>90154</v>
      </c>
      <c r="AD335" s="278">
        <v>16</v>
      </c>
      <c r="AE335" s="278">
        <v>3</v>
      </c>
      <c r="AF335" s="278">
        <v>2</v>
      </c>
      <c r="AG335" s="279">
        <f>SUM(AD335:AF335)</f>
        <v>21</v>
      </c>
      <c r="AH335" s="478">
        <v>2420</v>
      </c>
      <c r="AI335" s="478">
        <v>2472</v>
      </c>
      <c r="AJ335" s="478">
        <v>817</v>
      </c>
      <c r="AK335" s="478">
        <f>SUM(AH335:AJ340)</f>
        <v>5709</v>
      </c>
    </row>
    <row r="336" spans="1:37" ht="36" customHeight="1" x14ac:dyDescent="0.4">
      <c r="A336" s="477"/>
      <c r="B336" s="292" t="s">
        <v>265</v>
      </c>
      <c r="C336" s="258">
        <v>36.787499999999994</v>
      </c>
      <c r="D336" s="258">
        <v>154.7055</v>
      </c>
      <c r="E336" s="258">
        <v>17.590499999999999</v>
      </c>
      <c r="F336" s="258">
        <v>89.55</v>
      </c>
      <c r="G336" s="258">
        <v>0</v>
      </c>
      <c r="H336" s="258">
        <v>0</v>
      </c>
      <c r="I336" s="258">
        <v>0</v>
      </c>
      <c r="J336" s="258"/>
      <c r="K336" s="258"/>
      <c r="L336" s="258">
        <v>0</v>
      </c>
      <c r="M336" s="258">
        <v>1.8764999999999998</v>
      </c>
      <c r="N336" s="258">
        <v>2.9609999999999999</v>
      </c>
      <c r="O336" s="258">
        <v>0</v>
      </c>
      <c r="P336" s="286">
        <f>SUM(C336:O336)</f>
        <v>303.471</v>
      </c>
      <c r="Q336" s="258">
        <v>12.030000000000001</v>
      </c>
      <c r="R336" s="258">
        <v>0</v>
      </c>
      <c r="S336" s="258">
        <v>0</v>
      </c>
      <c r="T336" s="258">
        <v>26.97</v>
      </c>
      <c r="U336" s="258">
        <v>0</v>
      </c>
      <c r="V336" s="258">
        <v>0</v>
      </c>
      <c r="W336" s="258">
        <v>0</v>
      </c>
      <c r="X336" s="258">
        <v>159</v>
      </c>
      <c r="Y336" s="258">
        <v>0</v>
      </c>
      <c r="Z336" s="67">
        <v>0</v>
      </c>
      <c r="AA336" s="261"/>
      <c r="AB336" s="286">
        <f>SUM(Q336:AA336)</f>
        <v>198</v>
      </c>
      <c r="AC336" s="287">
        <f>P336+AB336</f>
        <v>501.471</v>
      </c>
      <c r="AD336" s="278"/>
      <c r="AE336" s="278"/>
      <c r="AF336" s="278"/>
      <c r="AG336" s="279"/>
      <c r="AH336" s="479"/>
      <c r="AI336" s="479"/>
      <c r="AJ336" s="479"/>
      <c r="AK336" s="479"/>
    </row>
    <row r="337" spans="1:37" ht="36" customHeight="1" x14ac:dyDescent="0.4">
      <c r="A337" s="477"/>
      <c r="B337" s="304" t="s">
        <v>284</v>
      </c>
      <c r="C337" s="114">
        <v>9252</v>
      </c>
      <c r="D337" s="114">
        <v>37456</v>
      </c>
      <c r="E337" s="114">
        <v>4675</v>
      </c>
      <c r="F337" s="114">
        <v>21619</v>
      </c>
      <c r="G337" s="114">
        <v>1710</v>
      </c>
      <c r="H337" s="125">
        <v>763</v>
      </c>
      <c r="I337" s="114">
        <v>2553</v>
      </c>
      <c r="J337" s="114"/>
      <c r="K337" s="114"/>
      <c r="L337" s="114">
        <v>102</v>
      </c>
      <c r="M337" s="114">
        <v>876</v>
      </c>
      <c r="N337" s="114">
        <v>1147</v>
      </c>
      <c r="O337" s="114">
        <v>151</v>
      </c>
      <c r="P337" s="286">
        <f>SUM(C337:O337)</f>
        <v>80304</v>
      </c>
      <c r="Q337" s="114">
        <v>1262</v>
      </c>
      <c r="R337" s="114">
        <v>2766</v>
      </c>
      <c r="S337" s="114">
        <v>2020</v>
      </c>
      <c r="T337" s="114">
        <v>3192</v>
      </c>
      <c r="U337" s="125">
        <v>1132</v>
      </c>
      <c r="V337" s="114">
        <v>859</v>
      </c>
      <c r="W337" s="114">
        <v>292</v>
      </c>
      <c r="X337" s="114">
        <v>990</v>
      </c>
      <c r="Y337" s="114">
        <v>204</v>
      </c>
      <c r="Z337" s="114">
        <v>164</v>
      </c>
      <c r="AA337" s="261"/>
      <c r="AB337" s="286">
        <f>SUM(Q337:AA337)</f>
        <v>12881</v>
      </c>
      <c r="AC337" s="287">
        <f>P337+AB337</f>
        <v>93185</v>
      </c>
      <c r="AD337" s="263"/>
      <c r="AE337" s="263"/>
      <c r="AF337" s="263"/>
      <c r="AG337" s="263"/>
      <c r="AH337" s="479"/>
      <c r="AI337" s="479"/>
      <c r="AJ337" s="479"/>
      <c r="AK337" s="479"/>
    </row>
    <row r="338" spans="1:37" ht="36" customHeight="1" x14ac:dyDescent="0.4">
      <c r="A338" s="477"/>
      <c r="B338" s="304" t="s">
        <v>285</v>
      </c>
      <c r="C338" s="469">
        <f>C335+D335+E335+F335+C336+D336+E336+F336</f>
        <v>66661.633500000011</v>
      </c>
      <c r="D338" s="470"/>
      <c r="E338" s="470"/>
      <c r="F338" s="471"/>
      <c r="G338" s="469">
        <f>G335+H335+I335+G336+H336+I336</f>
        <v>9135</v>
      </c>
      <c r="H338" s="470"/>
      <c r="I338" s="471"/>
      <c r="J338" s="273"/>
      <c r="K338" s="273"/>
      <c r="L338" s="469">
        <f>L335+M335+N335+L336+M336+N336</f>
        <v>1173.8375000000001</v>
      </c>
      <c r="M338" s="470"/>
      <c r="N338" s="471"/>
      <c r="O338" s="114"/>
      <c r="P338" s="286"/>
      <c r="Q338" s="469">
        <f>Q335+R335+S335+Q336+R336+S336</f>
        <v>5691.03</v>
      </c>
      <c r="R338" s="470"/>
      <c r="S338" s="471"/>
      <c r="T338" s="114"/>
      <c r="U338" s="114"/>
      <c r="V338" s="114"/>
      <c r="W338" s="114"/>
      <c r="X338" s="114"/>
      <c r="Y338" s="114"/>
      <c r="Z338" s="114"/>
      <c r="AA338" s="261"/>
      <c r="AB338" s="286"/>
      <c r="AC338" s="287"/>
      <c r="AD338" s="263"/>
      <c r="AE338" s="263"/>
      <c r="AF338" s="263"/>
      <c r="AG338" s="263"/>
      <c r="AH338" s="479"/>
      <c r="AI338" s="479"/>
      <c r="AJ338" s="479"/>
      <c r="AK338" s="479"/>
    </row>
    <row r="339" spans="1:37" ht="36" customHeight="1" x14ac:dyDescent="0.4">
      <c r="A339" s="477"/>
      <c r="B339" s="304" t="s">
        <v>247</v>
      </c>
      <c r="C339" s="469">
        <f>C337+D337+E337+F337</f>
        <v>73002</v>
      </c>
      <c r="D339" s="470"/>
      <c r="E339" s="470"/>
      <c r="F339" s="471"/>
      <c r="G339" s="469">
        <f>G337+H337+I337</f>
        <v>5026</v>
      </c>
      <c r="H339" s="470"/>
      <c r="I339" s="471"/>
      <c r="J339" s="273"/>
      <c r="K339" s="273"/>
      <c r="L339" s="469">
        <f>L337+M337+N337</f>
        <v>2125</v>
      </c>
      <c r="M339" s="470"/>
      <c r="N339" s="471"/>
      <c r="O339" s="114"/>
      <c r="P339" s="286"/>
      <c r="Q339" s="469">
        <f>Q337+R337+S337</f>
        <v>6048</v>
      </c>
      <c r="R339" s="470"/>
      <c r="S339" s="471"/>
      <c r="T339" s="114"/>
      <c r="U339" s="114"/>
      <c r="V339" s="114"/>
      <c r="W339" s="114"/>
      <c r="X339" s="114"/>
      <c r="Y339" s="114"/>
      <c r="Z339" s="114"/>
      <c r="AA339" s="261"/>
      <c r="AB339" s="286"/>
      <c r="AC339" s="287"/>
      <c r="AD339" s="263"/>
      <c r="AE339" s="263"/>
      <c r="AF339" s="263"/>
      <c r="AG339" s="263"/>
      <c r="AH339" s="479"/>
      <c r="AI339" s="479"/>
      <c r="AJ339" s="479"/>
      <c r="AK339" s="479"/>
    </row>
    <row r="340" spans="1:37" ht="36" customHeight="1" x14ac:dyDescent="0.4">
      <c r="A340" s="477"/>
      <c r="B340" s="297" t="s">
        <v>262</v>
      </c>
      <c r="C340" s="472">
        <f>C338/C339</f>
        <v>0.91314804388920867</v>
      </c>
      <c r="D340" s="473"/>
      <c r="E340" s="473"/>
      <c r="F340" s="474"/>
      <c r="G340" s="472">
        <f>G338/G339</f>
        <v>1.8175487465181059</v>
      </c>
      <c r="H340" s="473"/>
      <c r="I340" s="474"/>
      <c r="J340" s="276"/>
      <c r="K340" s="276"/>
      <c r="L340" s="472">
        <f>L338/L339</f>
        <v>0.55239411764705881</v>
      </c>
      <c r="M340" s="473"/>
      <c r="N340" s="474"/>
      <c r="O340" s="280">
        <f>(O335+O336)/O337</f>
        <v>1</v>
      </c>
      <c r="P340" s="290">
        <f>(P335+P336)/P337</f>
        <v>0.96036898535564863</v>
      </c>
      <c r="Q340" s="472">
        <f>Q338/Q339</f>
        <v>0.94097718253968254</v>
      </c>
      <c r="R340" s="473"/>
      <c r="S340" s="474"/>
      <c r="T340" s="280">
        <f t="shared" ref="T340:Z340" si="57">(T335+T336)/T337</f>
        <v>0.85337406015037587</v>
      </c>
      <c r="U340" s="280">
        <f t="shared" si="57"/>
        <v>2.4222614840989398</v>
      </c>
      <c r="V340" s="280">
        <f t="shared" si="57"/>
        <v>0.92433061699650754</v>
      </c>
      <c r="W340" s="280">
        <f t="shared" si="57"/>
        <v>0.98972602739726023</v>
      </c>
      <c r="X340" s="280">
        <f t="shared" si="57"/>
        <v>0.96363636363636362</v>
      </c>
      <c r="Y340" s="280">
        <f t="shared" si="57"/>
        <v>0.99509803921568629</v>
      </c>
      <c r="Z340" s="280">
        <f t="shared" si="57"/>
        <v>0.83536585365853655</v>
      </c>
      <c r="AA340" s="265"/>
      <c r="AB340" s="290">
        <f>(AB335+AB336)/AB337</f>
        <v>1.0506948218306031</v>
      </c>
      <c r="AC340" s="291">
        <f>(AC335+AC336)/AC337</f>
        <v>0.97285476203251597</v>
      </c>
      <c r="AD340" s="281">
        <f>AD335/$AG$173</f>
        <v>0.76190476190476186</v>
      </c>
      <c r="AE340" s="281">
        <f>AE335/$AG$173</f>
        <v>0.14285714285714285</v>
      </c>
      <c r="AF340" s="281">
        <f>AF335/$AG$173</f>
        <v>9.5238095238095233E-2</v>
      </c>
      <c r="AG340" s="305">
        <f>AG335/$AG$173</f>
        <v>1</v>
      </c>
      <c r="AH340" s="480"/>
      <c r="AI340" s="480"/>
      <c r="AJ340" s="480"/>
      <c r="AK340" s="480"/>
    </row>
    <row r="341" spans="1:37" ht="36" customHeight="1" x14ac:dyDescent="0.4">
      <c r="A341" s="477" t="s">
        <v>313</v>
      </c>
      <c r="B341" s="292" t="s">
        <v>269</v>
      </c>
      <c r="C341" s="258">
        <v>8265</v>
      </c>
      <c r="D341" s="258">
        <v>34834</v>
      </c>
      <c r="E341" s="258">
        <v>3981</v>
      </c>
      <c r="F341" s="258">
        <v>20089</v>
      </c>
      <c r="G341" s="258">
        <v>1635</v>
      </c>
      <c r="H341" s="258">
        <v>5015</v>
      </c>
      <c r="I341" s="258">
        <v>2482</v>
      </c>
      <c r="J341" s="258"/>
      <c r="K341" s="258"/>
      <c r="L341" s="258">
        <v>95</v>
      </c>
      <c r="M341" s="258">
        <v>429</v>
      </c>
      <c r="N341" s="258">
        <v>1897</v>
      </c>
      <c r="O341" s="258">
        <v>151</v>
      </c>
      <c r="P341" s="286">
        <f>SUM(C341:O341)</f>
        <v>78873</v>
      </c>
      <c r="Q341" s="258">
        <v>1213</v>
      </c>
      <c r="R341" s="258">
        <v>2527</v>
      </c>
      <c r="S341" s="258">
        <v>1930</v>
      </c>
      <c r="T341" s="258">
        <v>2780</v>
      </c>
      <c r="U341" s="258">
        <v>2735</v>
      </c>
      <c r="V341" s="258">
        <v>791</v>
      </c>
      <c r="W341" s="258">
        <v>267</v>
      </c>
      <c r="X341" s="258">
        <v>797</v>
      </c>
      <c r="Y341" s="67">
        <v>215</v>
      </c>
      <c r="Z341" s="67">
        <v>139</v>
      </c>
      <c r="AA341" s="261"/>
      <c r="AB341" s="286">
        <f>SUM(Q341:AA341)</f>
        <v>13394</v>
      </c>
      <c r="AC341" s="287">
        <f>P341+AB341</f>
        <v>92267</v>
      </c>
      <c r="AD341" s="278">
        <v>18</v>
      </c>
      <c r="AE341" s="278">
        <v>3</v>
      </c>
      <c r="AF341" s="278">
        <v>0</v>
      </c>
      <c r="AG341" s="279">
        <f>SUM(AD341:AF341)</f>
        <v>21</v>
      </c>
      <c r="AH341" s="478">
        <v>2193</v>
      </c>
      <c r="AI341" s="478">
        <v>1983</v>
      </c>
      <c r="AJ341" s="478">
        <v>659</v>
      </c>
      <c r="AK341" s="478">
        <f>SUM(AH341:AJ346)</f>
        <v>4835</v>
      </c>
    </row>
    <row r="342" spans="1:37" ht="36" customHeight="1" x14ac:dyDescent="0.4">
      <c r="A342" s="477"/>
      <c r="B342" s="292" t="s">
        <v>265</v>
      </c>
      <c r="C342" s="258">
        <v>37.192499999999995</v>
      </c>
      <c r="D342" s="258">
        <v>156.75299999999999</v>
      </c>
      <c r="E342" s="258">
        <v>17.9145</v>
      </c>
      <c r="F342" s="258">
        <v>90.400499999999994</v>
      </c>
      <c r="G342" s="258">
        <v>0</v>
      </c>
      <c r="H342" s="258">
        <v>0</v>
      </c>
      <c r="I342" s="258">
        <v>0</v>
      </c>
      <c r="J342" s="258"/>
      <c r="K342" s="258"/>
      <c r="L342" s="258">
        <v>0</v>
      </c>
      <c r="M342" s="258">
        <v>1.9304999999999999</v>
      </c>
      <c r="N342" s="258">
        <v>8.5365000000000002</v>
      </c>
      <c r="O342" s="258">
        <v>0</v>
      </c>
      <c r="P342" s="286">
        <f>SUM(C342:O342)</f>
        <v>312.72749999999996</v>
      </c>
      <c r="Q342" s="258">
        <v>33.130000000000003</v>
      </c>
      <c r="R342" s="258">
        <v>0</v>
      </c>
      <c r="S342" s="258">
        <v>0</v>
      </c>
      <c r="T342" s="258">
        <v>27.8</v>
      </c>
      <c r="U342" s="258">
        <v>0</v>
      </c>
      <c r="V342" s="258">
        <v>0</v>
      </c>
      <c r="W342" s="258">
        <v>0</v>
      </c>
      <c r="X342" s="258">
        <v>159.4</v>
      </c>
      <c r="Y342" s="258">
        <v>0</v>
      </c>
      <c r="Z342" s="258">
        <v>0</v>
      </c>
      <c r="AA342" s="261"/>
      <c r="AB342" s="286">
        <f>SUM(Q342:AA342)</f>
        <v>220.33</v>
      </c>
      <c r="AC342" s="287">
        <f>P342+AB342</f>
        <v>533.0575</v>
      </c>
      <c r="AD342" s="278"/>
      <c r="AE342" s="278"/>
      <c r="AF342" s="278"/>
      <c r="AG342" s="279"/>
      <c r="AH342" s="479"/>
      <c r="AI342" s="479"/>
      <c r="AJ342" s="479"/>
      <c r="AK342" s="479"/>
    </row>
    <row r="343" spans="1:37" ht="36" customHeight="1" x14ac:dyDescent="0.4">
      <c r="A343" s="477"/>
      <c r="B343" s="304" t="s">
        <v>284</v>
      </c>
      <c r="C343" s="114">
        <v>9252</v>
      </c>
      <c r="D343" s="114">
        <v>37456</v>
      </c>
      <c r="E343" s="114">
        <v>4675</v>
      </c>
      <c r="F343" s="114">
        <v>21619</v>
      </c>
      <c r="G343" s="114">
        <v>1710</v>
      </c>
      <c r="H343" s="114">
        <v>763</v>
      </c>
      <c r="I343" s="114">
        <v>2553</v>
      </c>
      <c r="J343" s="114"/>
      <c r="K343" s="114"/>
      <c r="L343" s="114">
        <v>102</v>
      </c>
      <c r="M343" s="125">
        <v>470</v>
      </c>
      <c r="N343" s="125">
        <v>2470</v>
      </c>
      <c r="O343" s="114">
        <v>151</v>
      </c>
      <c r="P343" s="286">
        <f>SUM(C343:O343)</f>
        <v>81221</v>
      </c>
      <c r="Q343" s="114">
        <v>1403</v>
      </c>
      <c r="R343" s="114">
        <v>2766</v>
      </c>
      <c r="S343" s="114">
        <v>2020</v>
      </c>
      <c r="T343" s="114">
        <v>3192</v>
      </c>
      <c r="U343" s="125">
        <v>1132</v>
      </c>
      <c r="V343" s="114">
        <v>859</v>
      </c>
      <c r="W343" s="114">
        <v>292</v>
      </c>
      <c r="X343" s="114">
        <v>990</v>
      </c>
      <c r="Y343" s="114">
        <v>216</v>
      </c>
      <c r="Z343" s="114">
        <v>164</v>
      </c>
      <c r="AA343" s="261"/>
      <c r="AB343" s="286">
        <f>SUM(Q343:AA343)</f>
        <v>13034</v>
      </c>
      <c r="AC343" s="287">
        <f>P343+AB343</f>
        <v>94255</v>
      </c>
      <c r="AD343" s="263"/>
      <c r="AE343" s="263"/>
      <c r="AF343" s="263"/>
      <c r="AG343" s="263"/>
      <c r="AH343" s="479"/>
      <c r="AI343" s="479"/>
      <c r="AJ343" s="479"/>
      <c r="AK343" s="479"/>
    </row>
    <row r="344" spans="1:37" ht="36" customHeight="1" x14ac:dyDescent="0.4">
      <c r="A344" s="477"/>
      <c r="B344" s="304" t="s">
        <v>285</v>
      </c>
      <c r="C344" s="469">
        <f>C341+D341+E341+F341+C342+D342+E342+F342</f>
        <v>67471.260500000004</v>
      </c>
      <c r="D344" s="470"/>
      <c r="E344" s="470"/>
      <c r="F344" s="471"/>
      <c r="G344" s="469">
        <f>G341+H341+I341+G342+H342+I342</f>
        <v>9132</v>
      </c>
      <c r="H344" s="470"/>
      <c r="I344" s="471"/>
      <c r="J344" s="273"/>
      <c r="K344" s="273"/>
      <c r="L344" s="469">
        <f>L341+M341+N341+L342+M342+N342</f>
        <v>2431.4670000000001</v>
      </c>
      <c r="M344" s="470"/>
      <c r="N344" s="471"/>
      <c r="O344" s="114"/>
      <c r="P344" s="286"/>
      <c r="Q344" s="469">
        <f>Q341+R341+S341+Q342+R342+S342</f>
        <v>5703.13</v>
      </c>
      <c r="R344" s="470"/>
      <c r="S344" s="471"/>
      <c r="T344" s="114"/>
      <c r="U344" s="114"/>
      <c r="V344" s="114"/>
      <c r="W344" s="114"/>
      <c r="X344" s="114"/>
      <c r="Y344" s="114"/>
      <c r="Z344" s="114"/>
      <c r="AA344" s="261"/>
      <c r="AB344" s="286"/>
      <c r="AC344" s="287"/>
      <c r="AD344" s="263"/>
      <c r="AE344" s="263"/>
      <c r="AF344" s="263"/>
      <c r="AG344" s="263"/>
      <c r="AH344" s="479"/>
      <c r="AI344" s="479"/>
      <c r="AJ344" s="479"/>
      <c r="AK344" s="479"/>
    </row>
    <row r="345" spans="1:37" ht="36" customHeight="1" x14ac:dyDescent="0.4">
      <c r="A345" s="477"/>
      <c r="B345" s="304" t="s">
        <v>247</v>
      </c>
      <c r="C345" s="469">
        <f>C343+D343+E343+F343</f>
        <v>73002</v>
      </c>
      <c r="D345" s="470"/>
      <c r="E345" s="470"/>
      <c r="F345" s="471"/>
      <c r="G345" s="469">
        <f>G343+H343+I343</f>
        <v>5026</v>
      </c>
      <c r="H345" s="470"/>
      <c r="I345" s="471"/>
      <c r="J345" s="273"/>
      <c r="K345" s="273"/>
      <c r="L345" s="469">
        <f>L343+M343+N343</f>
        <v>3042</v>
      </c>
      <c r="M345" s="470"/>
      <c r="N345" s="471"/>
      <c r="O345" s="114"/>
      <c r="P345" s="286"/>
      <c r="Q345" s="469">
        <f>Q343+R343+S343</f>
        <v>6189</v>
      </c>
      <c r="R345" s="470"/>
      <c r="S345" s="471"/>
      <c r="T345" s="114"/>
      <c r="U345" s="114"/>
      <c r="V345" s="114"/>
      <c r="W345" s="114"/>
      <c r="X345" s="114"/>
      <c r="Y345" s="114"/>
      <c r="Z345" s="114"/>
      <c r="AA345" s="261"/>
      <c r="AB345" s="286"/>
      <c r="AC345" s="287"/>
      <c r="AD345" s="263"/>
      <c r="AE345" s="263"/>
      <c r="AF345" s="263"/>
      <c r="AG345" s="263"/>
      <c r="AH345" s="479"/>
      <c r="AI345" s="479"/>
      <c r="AJ345" s="479"/>
      <c r="AK345" s="479"/>
    </row>
    <row r="346" spans="1:37" ht="36" customHeight="1" x14ac:dyDescent="0.4">
      <c r="A346" s="477"/>
      <c r="B346" s="297" t="s">
        <v>262</v>
      </c>
      <c r="C346" s="472">
        <f>C344/C345</f>
        <v>0.92423852086244218</v>
      </c>
      <c r="D346" s="473"/>
      <c r="E346" s="473"/>
      <c r="F346" s="474"/>
      <c r="G346" s="472">
        <f>G344/G345</f>
        <v>1.8169518503780342</v>
      </c>
      <c r="H346" s="473"/>
      <c r="I346" s="474"/>
      <c r="J346" s="276"/>
      <c r="K346" s="276"/>
      <c r="L346" s="472">
        <f>L344/L345</f>
        <v>0.79929881656804735</v>
      </c>
      <c r="M346" s="473"/>
      <c r="N346" s="474"/>
      <c r="O346" s="280">
        <f>(O341+O342)/O343</f>
        <v>1</v>
      </c>
      <c r="P346" s="290">
        <f>(P341+P342)/P343</f>
        <v>0.97494154836803282</v>
      </c>
      <c r="Q346" s="472">
        <f>Q344/Q345</f>
        <v>0.92149458717078692</v>
      </c>
      <c r="R346" s="473"/>
      <c r="S346" s="474"/>
      <c r="T346" s="280">
        <f t="shared" ref="T346:Z346" si="58">(T341+T342)/T343</f>
        <v>0.87963659147869677</v>
      </c>
      <c r="U346" s="280">
        <f t="shared" si="58"/>
        <v>2.4160777385159009</v>
      </c>
      <c r="V346" s="280">
        <f t="shared" si="58"/>
        <v>0.92083818393480787</v>
      </c>
      <c r="W346" s="280">
        <f t="shared" si="58"/>
        <v>0.91438356164383561</v>
      </c>
      <c r="X346" s="280">
        <f t="shared" si="58"/>
        <v>0.96606060606060606</v>
      </c>
      <c r="Y346" s="280">
        <f t="shared" si="58"/>
        <v>0.99537037037037035</v>
      </c>
      <c r="Z346" s="280">
        <f t="shared" si="58"/>
        <v>0.84756097560975607</v>
      </c>
      <c r="AA346" s="265"/>
      <c r="AB346" s="290">
        <f>(AB341+AB342)/AB343</f>
        <v>1.0445243210065982</v>
      </c>
      <c r="AC346" s="291">
        <f>(AC341+AC342)/AC343</f>
        <v>0.98456376319558636</v>
      </c>
      <c r="AD346" s="281">
        <f>AD341/$AG$173</f>
        <v>0.8571428571428571</v>
      </c>
      <c r="AE346" s="281">
        <f>AE341/$AG$173</f>
        <v>0.14285714285714285</v>
      </c>
      <c r="AF346" s="281">
        <f>AF341/$AG$173</f>
        <v>0</v>
      </c>
      <c r="AG346" s="305">
        <f>AG341/$AG$173</f>
        <v>1</v>
      </c>
      <c r="AH346" s="480"/>
      <c r="AI346" s="480"/>
      <c r="AJ346" s="480"/>
      <c r="AK346" s="480"/>
    </row>
    <row r="347" spans="1:37" ht="36" customHeight="1" x14ac:dyDescent="0.4">
      <c r="A347" s="477" t="s">
        <v>314</v>
      </c>
      <c r="B347" s="292" t="s">
        <v>269</v>
      </c>
      <c r="C347" s="258">
        <v>8327</v>
      </c>
      <c r="D347" s="258">
        <v>35167</v>
      </c>
      <c r="E347" s="258">
        <v>4051</v>
      </c>
      <c r="F347" s="258">
        <v>20131</v>
      </c>
      <c r="G347" s="258">
        <v>1648</v>
      </c>
      <c r="H347" s="258">
        <v>4968</v>
      </c>
      <c r="I347" s="258">
        <v>2470</v>
      </c>
      <c r="J347" s="258"/>
      <c r="K347" s="258"/>
      <c r="L347" s="258">
        <v>100</v>
      </c>
      <c r="M347" s="258">
        <v>429</v>
      </c>
      <c r="N347" s="258">
        <v>2035</v>
      </c>
      <c r="O347" s="258">
        <v>151</v>
      </c>
      <c r="P347" s="286">
        <f>SUM(C347:O347)</f>
        <v>79477</v>
      </c>
      <c r="Q347" s="258">
        <v>1204</v>
      </c>
      <c r="R347" s="258">
        <v>2539</v>
      </c>
      <c r="S347" s="258">
        <v>1974</v>
      </c>
      <c r="T347" s="258">
        <v>2820</v>
      </c>
      <c r="U347" s="258">
        <v>2709</v>
      </c>
      <c r="V347" s="258">
        <v>790</v>
      </c>
      <c r="W347" s="258">
        <v>271</v>
      </c>
      <c r="X347" s="258">
        <v>798</v>
      </c>
      <c r="Y347" s="67">
        <v>214</v>
      </c>
      <c r="Z347" s="67">
        <v>140</v>
      </c>
      <c r="AA347" s="261"/>
      <c r="AB347" s="286">
        <f>SUM(Q347:AA347)</f>
        <v>13459</v>
      </c>
      <c r="AC347" s="287">
        <f>P347+AB347</f>
        <v>92936</v>
      </c>
      <c r="AD347" s="278">
        <v>19</v>
      </c>
      <c r="AE347" s="278">
        <v>2</v>
      </c>
      <c r="AF347" s="278">
        <v>0</v>
      </c>
      <c r="AG347" s="279">
        <f>SUM(AD347:AF347)</f>
        <v>21</v>
      </c>
      <c r="AH347" s="478">
        <v>2008</v>
      </c>
      <c r="AI347" s="478">
        <v>1864</v>
      </c>
      <c r="AJ347" s="478">
        <v>491</v>
      </c>
      <c r="AK347" s="478">
        <f>SUM(AH347:AJ352)</f>
        <v>4363</v>
      </c>
    </row>
    <row r="348" spans="1:37" ht="36" customHeight="1" x14ac:dyDescent="0.4">
      <c r="A348" s="477"/>
      <c r="B348" s="292" t="s">
        <v>265</v>
      </c>
      <c r="C348" s="258">
        <v>37.471499999999999</v>
      </c>
      <c r="D348" s="258">
        <v>158.25149999999999</v>
      </c>
      <c r="E348" s="258">
        <v>18.229499999999998</v>
      </c>
      <c r="F348" s="258">
        <v>90.589499999999987</v>
      </c>
      <c r="G348" s="258">
        <v>0</v>
      </c>
      <c r="H348" s="258">
        <v>0</v>
      </c>
      <c r="I348" s="258">
        <v>0</v>
      </c>
      <c r="J348" s="258"/>
      <c r="K348" s="258"/>
      <c r="L348" s="258">
        <v>0</v>
      </c>
      <c r="M348" s="258">
        <v>1.9304999999999999</v>
      </c>
      <c r="N348" s="258">
        <v>9.1574999999999989</v>
      </c>
      <c r="O348" s="258">
        <v>0</v>
      </c>
      <c r="P348" s="286">
        <f>SUM(C348:O348)</f>
        <v>315.63</v>
      </c>
      <c r="Q348" s="258">
        <v>33.04</v>
      </c>
      <c r="R348" s="258">
        <v>0</v>
      </c>
      <c r="S348" s="258">
        <v>0</v>
      </c>
      <c r="T348" s="258">
        <v>28.2</v>
      </c>
      <c r="U348" s="258">
        <v>0</v>
      </c>
      <c r="V348" s="258">
        <v>0</v>
      </c>
      <c r="W348" s="258">
        <v>0</v>
      </c>
      <c r="X348" s="258">
        <v>159.60000000000002</v>
      </c>
      <c r="Y348" s="258">
        <v>0</v>
      </c>
      <c r="Z348" s="258">
        <v>0</v>
      </c>
      <c r="AA348" s="261"/>
      <c r="AB348" s="286">
        <f>SUM(Q348:AA348)</f>
        <v>220.84000000000003</v>
      </c>
      <c r="AC348" s="287">
        <f>P348+AB348</f>
        <v>536.47</v>
      </c>
      <c r="AD348" s="278"/>
      <c r="AE348" s="278"/>
      <c r="AF348" s="278"/>
      <c r="AG348" s="279"/>
      <c r="AH348" s="479"/>
      <c r="AI348" s="479"/>
      <c r="AJ348" s="479"/>
      <c r="AK348" s="479"/>
    </row>
    <row r="349" spans="1:37" ht="36" customHeight="1" x14ac:dyDescent="0.4">
      <c r="A349" s="477"/>
      <c r="B349" s="304" t="s">
        <v>284</v>
      </c>
      <c r="C349" s="114">
        <v>9252</v>
      </c>
      <c r="D349" s="114">
        <v>37456</v>
      </c>
      <c r="E349" s="114">
        <v>4675</v>
      </c>
      <c r="F349" s="114">
        <v>21619</v>
      </c>
      <c r="G349" s="114">
        <v>1710</v>
      </c>
      <c r="H349" s="114">
        <v>763</v>
      </c>
      <c r="I349" s="114">
        <v>2553</v>
      </c>
      <c r="J349" s="114"/>
      <c r="K349" s="114"/>
      <c r="L349" s="114">
        <v>102</v>
      </c>
      <c r="M349" s="125">
        <v>470</v>
      </c>
      <c r="N349" s="125">
        <v>2470</v>
      </c>
      <c r="O349" s="114">
        <v>151</v>
      </c>
      <c r="P349" s="286">
        <f>SUM(C349:O349)</f>
        <v>81221</v>
      </c>
      <c r="Q349" s="114">
        <v>1403</v>
      </c>
      <c r="R349" s="114">
        <v>2766</v>
      </c>
      <c r="S349" s="114">
        <v>2020</v>
      </c>
      <c r="T349" s="114">
        <v>3192</v>
      </c>
      <c r="U349" s="125">
        <v>1132</v>
      </c>
      <c r="V349" s="114">
        <v>859</v>
      </c>
      <c r="W349" s="114">
        <v>292</v>
      </c>
      <c r="X349" s="114">
        <v>990</v>
      </c>
      <c r="Y349" s="114">
        <v>216</v>
      </c>
      <c r="Z349" s="114">
        <v>164</v>
      </c>
      <c r="AA349" s="261"/>
      <c r="AB349" s="286">
        <f>SUM(Q349:AA349)</f>
        <v>13034</v>
      </c>
      <c r="AC349" s="287">
        <f>P349+AB349</f>
        <v>94255</v>
      </c>
      <c r="AD349" s="263"/>
      <c r="AE349" s="263"/>
      <c r="AF349" s="263"/>
      <c r="AG349" s="263"/>
      <c r="AH349" s="479"/>
      <c r="AI349" s="479"/>
      <c r="AJ349" s="479"/>
      <c r="AK349" s="479"/>
    </row>
    <row r="350" spans="1:37" ht="36" customHeight="1" x14ac:dyDescent="0.4">
      <c r="A350" s="477"/>
      <c r="B350" s="304" t="s">
        <v>285</v>
      </c>
      <c r="C350" s="469">
        <f>C347+D347+E347+F347+C348+D348+E348+F348</f>
        <v>67980.542000000001</v>
      </c>
      <c r="D350" s="470"/>
      <c r="E350" s="470"/>
      <c r="F350" s="471"/>
      <c r="G350" s="469">
        <f>G347+H347+I347+G348+H348+I348</f>
        <v>9086</v>
      </c>
      <c r="H350" s="470"/>
      <c r="I350" s="471"/>
      <c r="J350" s="273"/>
      <c r="K350" s="273"/>
      <c r="L350" s="469">
        <f>L347+M347+N347+L348+M348+N348</f>
        <v>2575.0879999999997</v>
      </c>
      <c r="M350" s="470"/>
      <c r="N350" s="471"/>
      <c r="O350" s="114"/>
      <c r="P350" s="286"/>
      <c r="Q350" s="469">
        <f>Q347+R347+S347+Q348+R348+S348</f>
        <v>5750.04</v>
      </c>
      <c r="R350" s="470"/>
      <c r="S350" s="471"/>
      <c r="T350" s="114"/>
      <c r="U350" s="114"/>
      <c r="V350" s="114"/>
      <c r="W350" s="114"/>
      <c r="X350" s="114"/>
      <c r="Y350" s="114"/>
      <c r="Z350" s="114"/>
      <c r="AA350" s="261"/>
      <c r="AB350" s="286"/>
      <c r="AC350" s="287"/>
      <c r="AD350" s="263"/>
      <c r="AE350" s="263"/>
      <c r="AF350" s="263"/>
      <c r="AG350" s="263"/>
      <c r="AH350" s="479"/>
      <c r="AI350" s="479"/>
      <c r="AJ350" s="479"/>
      <c r="AK350" s="479"/>
    </row>
    <row r="351" spans="1:37" ht="36" customHeight="1" x14ac:dyDescent="0.4">
      <c r="A351" s="477"/>
      <c r="B351" s="304" t="s">
        <v>247</v>
      </c>
      <c r="C351" s="469">
        <f>C349+D349+E349+F349</f>
        <v>73002</v>
      </c>
      <c r="D351" s="470"/>
      <c r="E351" s="470"/>
      <c r="F351" s="471"/>
      <c r="G351" s="469">
        <f>G349+H349+I349</f>
        <v>5026</v>
      </c>
      <c r="H351" s="470"/>
      <c r="I351" s="471"/>
      <c r="J351" s="273"/>
      <c r="K351" s="273"/>
      <c r="L351" s="469">
        <f>L349+M349+N349</f>
        <v>3042</v>
      </c>
      <c r="M351" s="470"/>
      <c r="N351" s="471"/>
      <c r="O351" s="114"/>
      <c r="P351" s="286"/>
      <c r="Q351" s="469">
        <f>Q349+R349+S349</f>
        <v>6189</v>
      </c>
      <c r="R351" s="470"/>
      <c r="S351" s="471"/>
      <c r="T351" s="114"/>
      <c r="U351" s="114"/>
      <c r="V351" s="114"/>
      <c r="W351" s="114"/>
      <c r="X351" s="114"/>
      <c r="Y351" s="114"/>
      <c r="Z351" s="114"/>
      <c r="AA351" s="261"/>
      <c r="AB351" s="286"/>
      <c r="AC351" s="287"/>
      <c r="AD351" s="263"/>
      <c r="AE351" s="263"/>
      <c r="AF351" s="263"/>
      <c r="AG351" s="263"/>
      <c r="AH351" s="479"/>
      <c r="AI351" s="479"/>
      <c r="AJ351" s="479"/>
      <c r="AK351" s="479"/>
    </row>
    <row r="352" spans="1:37" ht="36" customHeight="1" x14ac:dyDescent="0.4">
      <c r="A352" s="477"/>
      <c r="B352" s="297" t="s">
        <v>262</v>
      </c>
      <c r="C352" s="472">
        <f>C350/C351</f>
        <v>0.93121478863592777</v>
      </c>
      <c r="D352" s="473"/>
      <c r="E352" s="473"/>
      <c r="F352" s="474"/>
      <c r="G352" s="472">
        <f>G350/G351</f>
        <v>1.8077994428969359</v>
      </c>
      <c r="H352" s="473"/>
      <c r="I352" s="474"/>
      <c r="J352" s="276"/>
      <c r="K352" s="276"/>
      <c r="L352" s="472">
        <f>L350/L351</f>
        <v>0.84651150558842858</v>
      </c>
      <c r="M352" s="473"/>
      <c r="N352" s="474"/>
      <c r="O352" s="280">
        <f>(O347+O348)/O349</f>
        <v>1</v>
      </c>
      <c r="P352" s="290">
        <f>(P347+P348)/P349</f>
        <v>0.98241378461235396</v>
      </c>
      <c r="Q352" s="472">
        <f>Q350/Q351</f>
        <v>0.92907416383906927</v>
      </c>
      <c r="R352" s="473"/>
      <c r="S352" s="474"/>
      <c r="T352" s="280">
        <f t="shared" ref="T352:Z352" si="59">(T347+T348)/T349</f>
        <v>0.89229323308270669</v>
      </c>
      <c r="U352" s="280">
        <f t="shared" si="59"/>
        <v>2.3931095406360425</v>
      </c>
      <c r="V352" s="280">
        <f t="shared" si="59"/>
        <v>0.91967403958090799</v>
      </c>
      <c r="W352" s="280">
        <f t="shared" si="59"/>
        <v>0.92808219178082196</v>
      </c>
      <c r="X352" s="280">
        <f t="shared" si="59"/>
        <v>0.96727272727272728</v>
      </c>
      <c r="Y352" s="280">
        <f t="shared" si="59"/>
        <v>0.9907407407407407</v>
      </c>
      <c r="Z352" s="280">
        <f t="shared" si="59"/>
        <v>0.85365853658536583</v>
      </c>
      <c r="AA352" s="265"/>
      <c r="AB352" s="290">
        <f>(AB347+AB348)/AB349</f>
        <v>1.049550406628817</v>
      </c>
      <c r="AC352" s="291">
        <f>(AC347+AC348)/AC349</f>
        <v>0.99169773486817681</v>
      </c>
      <c r="AD352" s="281">
        <f>AD347/$AG$173</f>
        <v>0.90476190476190477</v>
      </c>
      <c r="AE352" s="281">
        <f>AE347/$AG$173</f>
        <v>9.5238095238095233E-2</v>
      </c>
      <c r="AF352" s="281">
        <f>AF347/$AG$173</f>
        <v>0</v>
      </c>
      <c r="AG352" s="305">
        <f>AG347/$AG$173</f>
        <v>1</v>
      </c>
      <c r="AH352" s="480"/>
      <c r="AI352" s="480"/>
      <c r="AJ352" s="480"/>
      <c r="AK352" s="480"/>
    </row>
    <row r="353" spans="1:37" ht="36" customHeight="1" x14ac:dyDescent="0.4">
      <c r="A353" s="477" t="s">
        <v>315</v>
      </c>
      <c r="B353" s="292" t="s">
        <v>269</v>
      </c>
      <c r="C353" s="258">
        <v>8362</v>
      </c>
      <c r="D353" s="258">
        <v>35327</v>
      </c>
      <c r="E353" s="258">
        <v>4044</v>
      </c>
      <c r="F353" s="258">
        <v>20148</v>
      </c>
      <c r="G353" s="258">
        <v>1648</v>
      </c>
      <c r="H353" s="258">
        <v>4903</v>
      </c>
      <c r="I353" s="258">
        <v>2474</v>
      </c>
      <c r="J353" s="258"/>
      <c r="K353" s="258"/>
      <c r="L353" s="258">
        <v>89</v>
      </c>
      <c r="M353" s="258">
        <v>433</v>
      </c>
      <c r="N353" s="258">
        <v>2152</v>
      </c>
      <c r="O353" s="258">
        <v>151</v>
      </c>
      <c r="P353" s="286">
        <f>SUM(C353:O353)</f>
        <v>79731</v>
      </c>
      <c r="Q353" s="258">
        <v>1237</v>
      </c>
      <c r="R353" s="258">
        <v>2547</v>
      </c>
      <c r="S353" s="258">
        <v>1984</v>
      </c>
      <c r="T353" s="258">
        <v>2808</v>
      </c>
      <c r="U353" s="258">
        <v>2688</v>
      </c>
      <c r="V353" s="258">
        <v>793</v>
      </c>
      <c r="W353" s="258">
        <v>275</v>
      </c>
      <c r="X353" s="258">
        <v>762</v>
      </c>
      <c r="Y353" s="67">
        <v>227</v>
      </c>
      <c r="Z353" s="67">
        <v>140</v>
      </c>
      <c r="AA353" s="261"/>
      <c r="AB353" s="286">
        <f>SUM(Q353:AA353)</f>
        <v>13461</v>
      </c>
      <c r="AC353" s="287">
        <f>P353+AB353</f>
        <v>93192</v>
      </c>
      <c r="AD353" s="278">
        <v>20</v>
      </c>
      <c r="AE353" s="278">
        <v>1</v>
      </c>
      <c r="AF353" s="278">
        <v>0</v>
      </c>
      <c r="AG353" s="279">
        <f>SUM(AD353:AF353)</f>
        <v>21</v>
      </c>
      <c r="AH353" s="478">
        <v>2271</v>
      </c>
      <c r="AI353" s="478">
        <v>2709</v>
      </c>
      <c r="AJ353" s="478">
        <v>581</v>
      </c>
      <c r="AK353" s="478">
        <f>SUM(AH353:AJ358)</f>
        <v>5561</v>
      </c>
    </row>
    <row r="354" spans="1:37" ht="36" customHeight="1" x14ac:dyDescent="0.4">
      <c r="A354" s="477"/>
      <c r="B354" s="292" t="s">
        <v>265</v>
      </c>
      <c r="C354" s="258">
        <v>37.628999999999998</v>
      </c>
      <c r="D354" s="258">
        <v>158.97149999999999</v>
      </c>
      <c r="E354" s="258">
        <v>18.198</v>
      </c>
      <c r="F354" s="258">
        <v>90.665999999999997</v>
      </c>
      <c r="G354" s="258">
        <v>0</v>
      </c>
      <c r="H354" s="258">
        <v>0</v>
      </c>
      <c r="I354" s="258">
        <v>0</v>
      </c>
      <c r="J354" s="258"/>
      <c r="K354" s="258"/>
      <c r="L354" s="258">
        <v>0</v>
      </c>
      <c r="M354" s="258">
        <v>1.9484999999999999</v>
      </c>
      <c r="N354" s="258">
        <v>9.6839999999999993</v>
      </c>
      <c r="O354" s="258">
        <v>0</v>
      </c>
      <c r="P354" s="286">
        <f>SUM(C354:O354)</f>
        <v>317.09700000000004</v>
      </c>
      <c r="Q354" s="258">
        <v>33.370000000000005</v>
      </c>
      <c r="R354" s="258">
        <v>0</v>
      </c>
      <c r="S354" s="258">
        <v>0</v>
      </c>
      <c r="T354" s="258">
        <v>28.080000000000002</v>
      </c>
      <c r="U354" s="258">
        <v>0</v>
      </c>
      <c r="V354" s="258">
        <v>0</v>
      </c>
      <c r="W354" s="258">
        <v>0</v>
      </c>
      <c r="X354" s="258">
        <v>152.4</v>
      </c>
      <c r="Y354" s="258">
        <v>0</v>
      </c>
      <c r="Z354" s="258">
        <v>0</v>
      </c>
      <c r="AA354" s="261"/>
      <c r="AB354" s="286">
        <f>SUM(Q354:AA354)</f>
        <v>213.85000000000002</v>
      </c>
      <c r="AC354" s="287">
        <f>P354+AB354</f>
        <v>530.94700000000012</v>
      </c>
      <c r="AD354" s="278"/>
      <c r="AE354" s="278"/>
      <c r="AF354" s="278"/>
      <c r="AG354" s="279"/>
      <c r="AH354" s="479"/>
      <c r="AI354" s="479"/>
      <c r="AJ354" s="479"/>
      <c r="AK354" s="479"/>
    </row>
    <row r="355" spans="1:37" ht="36" customHeight="1" x14ac:dyDescent="0.4">
      <c r="A355" s="477"/>
      <c r="B355" s="304" t="s">
        <v>284</v>
      </c>
      <c r="C355" s="114">
        <v>9252</v>
      </c>
      <c r="D355" s="114">
        <v>37456</v>
      </c>
      <c r="E355" s="114">
        <v>4675</v>
      </c>
      <c r="F355" s="114">
        <v>21619</v>
      </c>
      <c r="G355" s="114">
        <v>1710</v>
      </c>
      <c r="H355" s="114">
        <v>763</v>
      </c>
      <c r="I355" s="114">
        <v>2553</v>
      </c>
      <c r="J355" s="114"/>
      <c r="K355" s="114"/>
      <c r="L355" s="114">
        <v>102</v>
      </c>
      <c r="M355" s="125">
        <v>470</v>
      </c>
      <c r="N355" s="125">
        <v>2470</v>
      </c>
      <c r="O355" s="114">
        <v>151</v>
      </c>
      <c r="P355" s="286">
        <f>SUM(C355:O355)</f>
        <v>81221</v>
      </c>
      <c r="Q355" s="114">
        <v>1403</v>
      </c>
      <c r="R355" s="114">
        <v>2766</v>
      </c>
      <c r="S355" s="114">
        <v>2020</v>
      </c>
      <c r="T355" s="114">
        <v>3192</v>
      </c>
      <c r="U355" s="125">
        <v>1132</v>
      </c>
      <c r="V355" s="114">
        <v>859</v>
      </c>
      <c r="W355" s="114">
        <v>292</v>
      </c>
      <c r="X355" s="114">
        <v>990</v>
      </c>
      <c r="Y355" s="125">
        <v>234</v>
      </c>
      <c r="Z355" s="114">
        <v>164</v>
      </c>
      <c r="AA355" s="261"/>
      <c r="AB355" s="286">
        <f>SUM(Q355:AA355)</f>
        <v>13052</v>
      </c>
      <c r="AC355" s="287">
        <f>P355+AB355</f>
        <v>94273</v>
      </c>
      <c r="AD355" s="263"/>
      <c r="AE355" s="263"/>
      <c r="AF355" s="263"/>
      <c r="AG355" s="263"/>
      <c r="AH355" s="479"/>
      <c r="AI355" s="479"/>
      <c r="AJ355" s="479"/>
      <c r="AK355" s="479"/>
    </row>
    <row r="356" spans="1:37" ht="36" customHeight="1" x14ac:dyDescent="0.4">
      <c r="A356" s="477"/>
      <c r="B356" s="304" t="s">
        <v>285</v>
      </c>
      <c r="C356" s="469">
        <f>C353+D353+E353+F353+C354+D354+E354+F354</f>
        <v>68186.464500000002</v>
      </c>
      <c r="D356" s="470"/>
      <c r="E356" s="470"/>
      <c r="F356" s="471"/>
      <c r="G356" s="469">
        <f>G353+H353+I353+G354+H354+I354</f>
        <v>9025</v>
      </c>
      <c r="H356" s="470"/>
      <c r="I356" s="471"/>
      <c r="J356" s="273"/>
      <c r="K356" s="273"/>
      <c r="L356" s="469">
        <f>L353+M353+N353+L354+M354+N354</f>
        <v>2685.6325000000002</v>
      </c>
      <c r="M356" s="470"/>
      <c r="N356" s="471"/>
      <c r="O356" s="114"/>
      <c r="P356" s="286"/>
      <c r="Q356" s="469">
        <f>Q353+R353+S353+Q354+R354+S354</f>
        <v>5801.37</v>
      </c>
      <c r="R356" s="470"/>
      <c r="S356" s="471"/>
      <c r="T356" s="114"/>
      <c r="U356" s="114"/>
      <c r="V356" s="114"/>
      <c r="W356" s="114"/>
      <c r="X356" s="114"/>
      <c r="Y356" s="114"/>
      <c r="Z356" s="114"/>
      <c r="AA356" s="261"/>
      <c r="AB356" s="286"/>
      <c r="AC356" s="287"/>
      <c r="AD356" s="263"/>
      <c r="AE356" s="263"/>
      <c r="AF356" s="263"/>
      <c r="AG356" s="263"/>
      <c r="AH356" s="479"/>
      <c r="AI356" s="479"/>
      <c r="AJ356" s="479"/>
      <c r="AK356" s="479"/>
    </row>
    <row r="357" spans="1:37" ht="36" customHeight="1" x14ac:dyDescent="0.4">
      <c r="A357" s="477"/>
      <c r="B357" s="304" t="s">
        <v>247</v>
      </c>
      <c r="C357" s="469">
        <f>C355+D355+E355+F355</f>
        <v>73002</v>
      </c>
      <c r="D357" s="470"/>
      <c r="E357" s="470"/>
      <c r="F357" s="471"/>
      <c r="G357" s="469">
        <f>G355+H355+I355</f>
        <v>5026</v>
      </c>
      <c r="H357" s="470"/>
      <c r="I357" s="471"/>
      <c r="J357" s="273"/>
      <c r="K357" s="273"/>
      <c r="L357" s="469">
        <f>L355+M355+N355</f>
        <v>3042</v>
      </c>
      <c r="M357" s="470"/>
      <c r="N357" s="471"/>
      <c r="O357" s="114"/>
      <c r="P357" s="286"/>
      <c r="Q357" s="469">
        <f>Q355+R355+S355</f>
        <v>6189</v>
      </c>
      <c r="R357" s="470"/>
      <c r="S357" s="471"/>
      <c r="T357" s="114"/>
      <c r="U357" s="114"/>
      <c r="V357" s="114"/>
      <c r="W357" s="114"/>
      <c r="X357" s="114"/>
      <c r="Y357" s="114"/>
      <c r="Z357" s="114"/>
      <c r="AA357" s="261"/>
      <c r="AB357" s="286"/>
      <c r="AC357" s="287"/>
      <c r="AD357" s="263"/>
      <c r="AE357" s="263"/>
      <c r="AF357" s="263"/>
      <c r="AG357" s="263"/>
      <c r="AH357" s="479"/>
      <c r="AI357" s="479"/>
      <c r="AJ357" s="479"/>
      <c r="AK357" s="479"/>
    </row>
    <row r="358" spans="1:37" ht="36" customHeight="1" x14ac:dyDescent="0.4">
      <c r="A358" s="477"/>
      <c r="B358" s="297" t="s">
        <v>262</v>
      </c>
      <c r="C358" s="472">
        <f>C356/C357</f>
        <v>0.9340355675186981</v>
      </c>
      <c r="D358" s="473"/>
      <c r="E358" s="473"/>
      <c r="F358" s="474"/>
      <c r="G358" s="472">
        <f>G356/G357</f>
        <v>1.7956625547154794</v>
      </c>
      <c r="H358" s="473"/>
      <c r="I358" s="474"/>
      <c r="J358" s="276"/>
      <c r="K358" s="276"/>
      <c r="L358" s="472">
        <f>L356/L357</f>
        <v>0.88285092044707436</v>
      </c>
      <c r="M358" s="473"/>
      <c r="N358" s="474"/>
      <c r="O358" s="280">
        <f>(O353+O354)/O355</f>
        <v>1</v>
      </c>
      <c r="P358" s="290">
        <f>(P353+P354)/P355</f>
        <v>0.98555911648465289</v>
      </c>
      <c r="Q358" s="472">
        <f>Q356/Q357</f>
        <v>0.93736791080950066</v>
      </c>
      <c r="R358" s="473"/>
      <c r="S358" s="474"/>
      <c r="T358" s="280">
        <f t="shared" ref="T358:Z358" si="60">(T353+T354)/T355</f>
        <v>0.88849624060150378</v>
      </c>
      <c r="U358" s="280">
        <f t="shared" si="60"/>
        <v>2.3745583038869258</v>
      </c>
      <c r="V358" s="280">
        <f t="shared" si="60"/>
        <v>0.92316647264260765</v>
      </c>
      <c r="W358" s="280">
        <f t="shared" si="60"/>
        <v>0.94178082191780821</v>
      </c>
      <c r="X358" s="280">
        <f t="shared" si="60"/>
        <v>0.92363636363636359</v>
      </c>
      <c r="Y358" s="280">
        <f t="shared" si="60"/>
        <v>0.97008547008547008</v>
      </c>
      <c r="Z358" s="280">
        <f t="shared" si="60"/>
        <v>0.85365853658536583</v>
      </c>
      <c r="AA358" s="265"/>
      <c r="AB358" s="290">
        <f>(AB353+AB354)/AB355</f>
        <v>1.0477206558381857</v>
      </c>
      <c r="AC358" s="291">
        <f>(AC353+AC354)/AC355</f>
        <v>0.99416531774739325</v>
      </c>
      <c r="AD358" s="281">
        <f>AD353/$AG$173</f>
        <v>0.95238095238095233</v>
      </c>
      <c r="AE358" s="281">
        <f>AE353/$AG$173</f>
        <v>4.7619047619047616E-2</v>
      </c>
      <c r="AF358" s="281">
        <f>AF353/$AG$173</f>
        <v>0</v>
      </c>
      <c r="AG358" s="305">
        <f>AG353/$AG$173</f>
        <v>1</v>
      </c>
      <c r="AH358" s="480"/>
      <c r="AI358" s="480"/>
      <c r="AJ358" s="480"/>
      <c r="AK358" s="480"/>
    </row>
    <row r="359" spans="1:37" ht="36" customHeight="1" x14ac:dyDescent="0.4">
      <c r="A359" s="477" t="s">
        <v>316</v>
      </c>
      <c r="B359" s="292" t="s">
        <v>269</v>
      </c>
      <c r="C359" s="258">
        <v>8385</v>
      </c>
      <c r="D359" s="258">
        <v>35557</v>
      </c>
      <c r="E359" s="258">
        <v>4012</v>
      </c>
      <c r="F359" s="258">
        <v>20111</v>
      </c>
      <c r="G359" s="258">
        <v>1650</v>
      </c>
      <c r="H359" s="258">
        <v>4865</v>
      </c>
      <c r="I359" s="258">
        <v>2469</v>
      </c>
      <c r="J359" s="258"/>
      <c r="K359" s="258"/>
      <c r="L359" s="258">
        <v>69</v>
      </c>
      <c r="M359" s="258">
        <v>434</v>
      </c>
      <c r="N359" s="258">
        <v>2174</v>
      </c>
      <c r="O359" s="258">
        <v>151</v>
      </c>
      <c r="P359" s="286">
        <f>SUM(C359:O359)</f>
        <v>79877</v>
      </c>
      <c r="Q359" s="258">
        <v>1230</v>
      </c>
      <c r="R359" s="258">
        <v>2537</v>
      </c>
      <c r="S359" s="258">
        <v>1991</v>
      </c>
      <c r="T359" s="258">
        <v>2803</v>
      </c>
      <c r="U359" s="258">
        <v>2667</v>
      </c>
      <c r="V359" s="258">
        <v>802</v>
      </c>
      <c r="W359" s="258">
        <v>276</v>
      </c>
      <c r="X359" s="258">
        <v>764</v>
      </c>
      <c r="Y359" s="67">
        <v>228</v>
      </c>
      <c r="Z359" s="67">
        <v>140</v>
      </c>
      <c r="AA359" s="261"/>
      <c r="AB359" s="286">
        <f>SUM(Q359:AA359)</f>
        <v>13438</v>
      </c>
      <c r="AC359" s="287">
        <f>P359+AB359</f>
        <v>93315</v>
      </c>
      <c r="AD359" s="278">
        <v>19</v>
      </c>
      <c r="AE359" s="278">
        <v>1</v>
      </c>
      <c r="AF359" s="278">
        <v>1</v>
      </c>
      <c r="AG359" s="279">
        <f>SUM(AD359:AF359)</f>
        <v>21</v>
      </c>
      <c r="AH359" s="478">
        <v>1493</v>
      </c>
      <c r="AI359" s="478">
        <v>1833</v>
      </c>
      <c r="AJ359" s="478">
        <v>521</v>
      </c>
      <c r="AK359" s="478">
        <f>SUM(AH359:AJ364)</f>
        <v>3847</v>
      </c>
    </row>
    <row r="360" spans="1:37" ht="36" customHeight="1" x14ac:dyDescent="0.4">
      <c r="A360" s="477"/>
      <c r="B360" s="292" t="s">
        <v>265</v>
      </c>
      <c r="C360" s="258">
        <v>37.732499999999995</v>
      </c>
      <c r="D360" s="258">
        <v>160.00649999999999</v>
      </c>
      <c r="E360" s="258">
        <v>18.053999999999998</v>
      </c>
      <c r="F360" s="258">
        <v>90.499499999999998</v>
      </c>
      <c r="G360" s="258">
        <v>0</v>
      </c>
      <c r="H360" s="258">
        <v>0</v>
      </c>
      <c r="I360" s="258">
        <v>0</v>
      </c>
      <c r="J360" s="258"/>
      <c r="K360" s="258"/>
      <c r="L360" s="258">
        <v>0</v>
      </c>
      <c r="M360" s="258">
        <v>1.9529999999999998</v>
      </c>
      <c r="N360" s="258">
        <v>9.7829999999999995</v>
      </c>
      <c r="O360" s="258">
        <v>0</v>
      </c>
      <c r="P360" s="286">
        <f>SUM(C360:O360)</f>
        <v>318.02849999999995</v>
      </c>
      <c r="Q360" s="258">
        <v>33.299999999999997</v>
      </c>
      <c r="R360" s="258">
        <v>0</v>
      </c>
      <c r="S360" s="258">
        <v>0</v>
      </c>
      <c r="T360" s="258">
        <v>28.03</v>
      </c>
      <c r="U360" s="258">
        <v>0</v>
      </c>
      <c r="V360" s="258">
        <v>0</v>
      </c>
      <c r="W360" s="258">
        <v>0</v>
      </c>
      <c r="X360" s="258">
        <v>152.80000000000001</v>
      </c>
      <c r="Y360" s="258">
        <v>0</v>
      </c>
      <c r="Z360" s="258">
        <v>0</v>
      </c>
      <c r="AA360" s="261"/>
      <c r="AB360" s="286">
        <f>SUM(Q360:AA360)</f>
        <v>214.13</v>
      </c>
      <c r="AC360" s="287">
        <f>P360+AB360</f>
        <v>532.1585</v>
      </c>
      <c r="AD360" s="278"/>
      <c r="AE360" s="278"/>
      <c r="AF360" s="278"/>
      <c r="AG360" s="279"/>
      <c r="AH360" s="479"/>
      <c r="AI360" s="479"/>
      <c r="AJ360" s="479"/>
      <c r="AK360" s="479"/>
    </row>
    <row r="361" spans="1:37" ht="36" customHeight="1" x14ac:dyDescent="0.4">
      <c r="A361" s="477"/>
      <c r="B361" s="304" t="s">
        <v>284</v>
      </c>
      <c r="C361" s="114">
        <v>9252</v>
      </c>
      <c r="D361" s="114">
        <v>37456</v>
      </c>
      <c r="E361" s="114">
        <v>4675</v>
      </c>
      <c r="F361" s="114">
        <v>21619</v>
      </c>
      <c r="G361" s="114">
        <v>1710</v>
      </c>
      <c r="H361" s="114">
        <v>763</v>
      </c>
      <c r="I361" s="114">
        <v>2553</v>
      </c>
      <c r="J361" s="114"/>
      <c r="K361" s="114"/>
      <c r="L361" s="114">
        <v>102</v>
      </c>
      <c r="M361" s="114">
        <v>470</v>
      </c>
      <c r="N361" s="114">
        <v>2470</v>
      </c>
      <c r="O361" s="114">
        <v>151</v>
      </c>
      <c r="P361" s="286">
        <f>SUM(C361:O361)</f>
        <v>81221</v>
      </c>
      <c r="Q361" s="114">
        <v>1403</v>
      </c>
      <c r="R361" s="114">
        <v>2766</v>
      </c>
      <c r="S361" s="114">
        <v>2020</v>
      </c>
      <c r="T361" s="114">
        <v>3192</v>
      </c>
      <c r="U361" s="114">
        <v>1132</v>
      </c>
      <c r="V361" s="114">
        <v>859</v>
      </c>
      <c r="W361" s="114">
        <v>292</v>
      </c>
      <c r="X361" s="114">
        <v>990</v>
      </c>
      <c r="Y361" s="114">
        <v>234</v>
      </c>
      <c r="Z361" s="114">
        <v>164</v>
      </c>
      <c r="AA361" s="261"/>
      <c r="AB361" s="286">
        <f>SUM(Q361:AA361)</f>
        <v>13052</v>
      </c>
      <c r="AC361" s="287">
        <f>P361+AB361</f>
        <v>94273</v>
      </c>
      <c r="AD361" s="263"/>
      <c r="AE361" s="263"/>
      <c r="AF361" s="263"/>
      <c r="AG361" s="263"/>
      <c r="AH361" s="479"/>
      <c r="AI361" s="479"/>
      <c r="AJ361" s="479"/>
      <c r="AK361" s="479"/>
    </row>
    <row r="362" spans="1:37" ht="36" customHeight="1" x14ac:dyDescent="0.4">
      <c r="A362" s="477"/>
      <c r="B362" s="304" t="s">
        <v>285</v>
      </c>
      <c r="C362" s="469">
        <f>C359+D359+E359+F359+C360+D360+E360+F360</f>
        <v>68371.29250000001</v>
      </c>
      <c r="D362" s="470"/>
      <c r="E362" s="470"/>
      <c r="F362" s="471"/>
      <c r="G362" s="469">
        <f>G359+H359+I359+G360+H360+I360</f>
        <v>8984</v>
      </c>
      <c r="H362" s="470"/>
      <c r="I362" s="471"/>
      <c r="J362" s="273"/>
      <c r="K362" s="273"/>
      <c r="L362" s="469">
        <f>L359+M359+N359+L360+M360+N360</f>
        <v>2688.7359999999999</v>
      </c>
      <c r="M362" s="470"/>
      <c r="N362" s="471"/>
      <c r="O362" s="114"/>
      <c r="P362" s="286"/>
      <c r="Q362" s="469">
        <f>Q359+R359+S359+Q360+R360+S360</f>
        <v>5791.3</v>
      </c>
      <c r="R362" s="470"/>
      <c r="S362" s="471"/>
      <c r="T362" s="114"/>
      <c r="U362" s="114"/>
      <c r="V362" s="114"/>
      <c r="W362" s="114"/>
      <c r="X362" s="114"/>
      <c r="Y362" s="114"/>
      <c r="Z362" s="114"/>
      <c r="AA362" s="261"/>
      <c r="AB362" s="286"/>
      <c r="AC362" s="287"/>
      <c r="AD362" s="263"/>
      <c r="AE362" s="263"/>
      <c r="AF362" s="263"/>
      <c r="AG362" s="263"/>
      <c r="AH362" s="479"/>
      <c r="AI362" s="479"/>
      <c r="AJ362" s="479"/>
      <c r="AK362" s="479"/>
    </row>
    <row r="363" spans="1:37" ht="36" customHeight="1" x14ac:dyDescent="0.4">
      <c r="A363" s="477"/>
      <c r="B363" s="304" t="s">
        <v>247</v>
      </c>
      <c r="C363" s="469">
        <f>C361+D361+E361+F361</f>
        <v>73002</v>
      </c>
      <c r="D363" s="470"/>
      <c r="E363" s="470"/>
      <c r="F363" s="471"/>
      <c r="G363" s="469">
        <f>G361+H361+I361</f>
        <v>5026</v>
      </c>
      <c r="H363" s="470"/>
      <c r="I363" s="471"/>
      <c r="J363" s="273"/>
      <c r="K363" s="273"/>
      <c r="L363" s="469">
        <f>L361+M361+N361</f>
        <v>3042</v>
      </c>
      <c r="M363" s="470"/>
      <c r="N363" s="471"/>
      <c r="O363" s="114"/>
      <c r="P363" s="286"/>
      <c r="Q363" s="469">
        <f>Q361+R361+S361</f>
        <v>6189</v>
      </c>
      <c r="R363" s="470"/>
      <c r="S363" s="471"/>
      <c r="T363" s="114"/>
      <c r="U363" s="114"/>
      <c r="V363" s="114"/>
      <c r="W363" s="114"/>
      <c r="X363" s="114"/>
      <c r="Y363" s="114"/>
      <c r="Z363" s="114"/>
      <c r="AA363" s="261"/>
      <c r="AB363" s="286"/>
      <c r="AC363" s="287"/>
      <c r="AD363" s="263"/>
      <c r="AE363" s="263"/>
      <c r="AF363" s="263"/>
      <c r="AG363" s="263"/>
      <c r="AH363" s="479"/>
      <c r="AI363" s="479"/>
      <c r="AJ363" s="479"/>
      <c r="AK363" s="479"/>
    </row>
    <row r="364" spans="1:37" ht="36" customHeight="1" x14ac:dyDescent="0.4">
      <c r="A364" s="477"/>
      <c r="B364" s="297" t="s">
        <v>262</v>
      </c>
      <c r="C364" s="472">
        <f>C362/C363</f>
        <v>0.93656738856469701</v>
      </c>
      <c r="D364" s="473"/>
      <c r="E364" s="473"/>
      <c r="F364" s="474"/>
      <c r="G364" s="472">
        <f>G362/G363</f>
        <v>1.7875049741345006</v>
      </c>
      <c r="H364" s="473"/>
      <c r="I364" s="474"/>
      <c r="J364" s="276"/>
      <c r="K364" s="276"/>
      <c r="L364" s="472">
        <f>L362/L363</f>
        <v>0.88387113740959888</v>
      </c>
      <c r="M364" s="473"/>
      <c r="N364" s="474"/>
      <c r="O364" s="280">
        <f>(O359+O360)/O361</f>
        <v>1</v>
      </c>
      <c r="P364" s="290">
        <f>(P359+P360)/P361</f>
        <v>0.98736814986272026</v>
      </c>
      <c r="Q364" s="472">
        <f>Q362/Q363</f>
        <v>0.93574083050573598</v>
      </c>
      <c r="R364" s="473"/>
      <c r="S364" s="474"/>
      <c r="T364" s="280">
        <f t="shared" ref="T364:Z364" si="61">(T359+T360)/T361</f>
        <v>0.88691416040100257</v>
      </c>
      <c r="U364" s="280">
        <f t="shared" si="61"/>
        <v>2.3560070671378091</v>
      </c>
      <c r="V364" s="280">
        <f t="shared" si="61"/>
        <v>0.93364377182770664</v>
      </c>
      <c r="W364" s="280">
        <f t="shared" si="61"/>
        <v>0.9452054794520548</v>
      </c>
      <c r="X364" s="280">
        <f t="shared" si="61"/>
        <v>0.92606060606060603</v>
      </c>
      <c r="Y364" s="280">
        <f t="shared" si="61"/>
        <v>0.97435897435897434</v>
      </c>
      <c r="Z364" s="280">
        <f t="shared" si="61"/>
        <v>0.85365853658536583</v>
      </c>
      <c r="AA364" s="265"/>
      <c r="AB364" s="290">
        <f>(AB359+AB360)/AB361</f>
        <v>1.0459799264480538</v>
      </c>
      <c r="AC364" s="291">
        <f>(AC359+AC360)/AC361</f>
        <v>0.99548289011700064</v>
      </c>
      <c r="AD364" s="281">
        <f>AD359/$AG$173</f>
        <v>0.90476190476190477</v>
      </c>
      <c r="AE364" s="281">
        <f>AE359/$AG$173</f>
        <v>4.7619047619047616E-2</v>
      </c>
      <c r="AF364" s="281">
        <f>AF359/$AG$173</f>
        <v>4.7619047619047616E-2</v>
      </c>
      <c r="AG364" s="305">
        <f>AG359/$AG$173</f>
        <v>1</v>
      </c>
      <c r="AH364" s="480"/>
      <c r="AI364" s="480"/>
      <c r="AJ364" s="480"/>
      <c r="AK364" s="480"/>
    </row>
    <row r="365" spans="1:37" ht="36" customHeight="1" x14ac:dyDescent="0.4">
      <c r="A365" s="477" t="s">
        <v>317</v>
      </c>
      <c r="B365" s="292" t="s">
        <v>269</v>
      </c>
      <c r="C365" s="258">
        <v>8420</v>
      </c>
      <c r="D365" s="258">
        <v>35718</v>
      </c>
      <c r="E365" s="258">
        <v>4013</v>
      </c>
      <c r="F365" s="258">
        <v>20187</v>
      </c>
      <c r="G365" s="258">
        <v>1646</v>
      </c>
      <c r="H365" s="258">
        <v>4828</v>
      </c>
      <c r="I365" s="258">
        <v>2472</v>
      </c>
      <c r="J365" s="258"/>
      <c r="K365" s="258"/>
      <c r="L365" s="258">
        <v>56</v>
      </c>
      <c r="M365" s="258">
        <v>434</v>
      </c>
      <c r="N365" s="258">
        <v>2035</v>
      </c>
      <c r="O365" s="258">
        <v>151</v>
      </c>
      <c r="P365" s="286">
        <f>SUM(C365:O365)</f>
        <v>79960</v>
      </c>
      <c r="Q365" s="258">
        <v>1232</v>
      </c>
      <c r="R365" s="258">
        <v>2509</v>
      </c>
      <c r="S365" s="258">
        <v>2000</v>
      </c>
      <c r="T365" s="258">
        <v>2841</v>
      </c>
      <c r="U365" s="258">
        <v>2671</v>
      </c>
      <c r="V365" s="258">
        <v>804</v>
      </c>
      <c r="W365" s="258">
        <v>275</v>
      </c>
      <c r="X365" s="258">
        <v>766</v>
      </c>
      <c r="Y365" s="67">
        <v>233</v>
      </c>
      <c r="Z365" s="67">
        <v>142</v>
      </c>
      <c r="AA365" s="261"/>
      <c r="AB365" s="286">
        <f>SUM(Q365:AA365)</f>
        <v>13473</v>
      </c>
      <c r="AC365" s="287">
        <f>P365+AB365</f>
        <v>93433</v>
      </c>
      <c r="AD365" s="278">
        <v>19</v>
      </c>
      <c r="AE365" s="278">
        <v>1</v>
      </c>
      <c r="AF365" s="278">
        <v>1</v>
      </c>
      <c r="AG365" s="279">
        <f>SUM(AD365:AF365)</f>
        <v>21</v>
      </c>
      <c r="AH365" s="478">
        <v>1949</v>
      </c>
      <c r="AI365" s="478">
        <v>2554</v>
      </c>
      <c r="AJ365" s="478">
        <v>878</v>
      </c>
      <c r="AK365" s="478">
        <f>SUM(AH365:AJ370)</f>
        <v>5381</v>
      </c>
    </row>
    <row r="366" spans="1:37" ht="36" customHeight="1" x14ac:dyDescent="0.4">
      <c r="A366" s="477"/>
      <c r="B366" s="292" t="s">
        <v>265</v>
      </c>
      <c r="C366" s="258">
        <v>37.89</v>
      </c>
      <c r="D366" s="258">
        <v>160.73099999999999</v>
      </c>
      <c r="E366" s="258">
        <v>18.058499999999999</v>
      </c>
      <c r="F366" s="258">
        <v>90.841499999999996</v>
      </c>
      <c r="G366" s="258">
        <v>0</v>
      </c>
      <c r="H366" s="258">
        <v>0</v>
      </c>
      <c r="I366" s="258">
        <v>0</v>
      </c>
      <c r="J366" s="258"/>
      <c r="K366" s="258"/>
      <c r="L366" s="258">
        <v>0</v>
      </c>
      <c r="M366" s="258">
        <v>1.9529999999999998</v>
      </c>
      <c r="N366" s="258">
        <v>9.1574999999999989</v>
      </c>
      <c r="O366" s="258">
        <v>0</v>
      </c>
      <c r="P366" s="286">
        <f>SUM(C366:O366)</f>
        <v>318.63149999999996</v>
      </c>
      <c r="Q366" s="258">
        <v>33.32</v>
      </c>
      <c r="R366" s="258">
        <v>0</v>
      </c>
      <c r="S366" s="258">
        <v>0</v>
      </c>
      <c r="T366" s="258">
        <v>28.41</v>
      </c>
      <c r="U366" s="258">
        <v>0</v>
      </c>
      <c r="V366" s="258">
        <v>0</v>
      </c>
      <c r="W366" s="258">
        <v>0</v>
      </c>
      <c r="X366" s="258">
        <v>153.20000000000002</v>
      </c>
      <c r="Y366" s="258">
        <v>0</v>
      </c>
      <c r="Z366" s="258">
        <v>0</v>
      </c>
      <c r="AA366" s="261"/>
      <c r="AB366" s="286">
        <f>SUM(Q366:AA366)</f>
        <v>214.93</v>
      </c>
      <c r="AC366" s="287">
        <f>P366+AB366</f>
        <v>533.56150000000002</v>
      </c>
      <c r="AD366" s="278"/>
      <c r="AE366" s="278"/>
      <c r="AF366" s="278"/>
      <c r="AG366" s="279"/>
      <c r="AH366" s="479"/>
      <c r="AI366" s="479"/>
      <c r="AJ366" s="479"/>
      <c r="AK366" s="479"/>
    </row>
    <row r="367" spans="1:37" ht="36" customHeight="1" x14ac:dyDescent="0.4">
      <c r="A367" s="477"/>
      <c r="B367" s="304" t="s">
        <v>284</v>
      </c>
      <c r="C367" s="114">
        <v>9252</v>
      </c>
      <c r="D367" s="114">
        <v>37456</v>
      </c>
      <c r="E367" s="114">
        <v>4675</v>
      </c>
      <c r="F367" s="114">
        <v>21619</v>
      </c>
      <c r="G367" s="114">
        <v>1710</v>
      </c>
      <c r="H367" s="114">
        <v>763</v>
      </c>
      <c r="I367" s="114">
        <v>2553</v>
      </c>
      <c r="J367" s="114"/>
      <c r="K367" s="114"/>
      <c r="L367" s="114">
        <v>102</v>
      </c>
      <c r="M367" s="114">
        <v>470</v>
      </c>
      <c r="N367" s="114">
        <v>2470</v>
      </c>
      <c r="O367" s="114">
        <v>151</v>
      </c>
      <c r="P367" s="286">
        <f>SUM(C367:O367)</f>
        <v>81221</v>
      </c>
      <c r="Q367" s="114">
        <v>1403</v>
      </c>
      <c r="R367" s="114">
        <v>2766</v>
      </c>
      <c r="S367" s="114">
        <v>2020</v>
      </c>
      <c r="T367" s="114">
        <v>3192</v>
      </c>
      <c r="U367" s="114">
        <v>1132</v>
      </c>
      <c r="V367" s="114">
        <v>859</v>
      </c>
      <c r="W367" s="114">
        <v>292</v>
      </c>
      <c r="X367" s="114">
        <v>990</v>
      </c>
      <c r="Y367" s="114">
        <v>234</v>
      </c>
      <c r="Z367" s="114">
        <v>164</v>
      </c>
      <c r="AA367" s="261"/>
      <c r="AB367" s="286">
        <f>SUM(Q367:AA367)</f>
        <v>13052</v>
      </c>
      <c r="AC367" s="287">
        <f>P367+AB367</f>
        <v>94273</v>
      </c>
      <c r="AD367" s="263"/>
      <c r="AE367" s="263"/>
      <c r="AF367" s="263"/>
      <c r="AG367" s="263"/>
      <c r="AH367" s="479"/>
      <c r="AI367" s="479"/>
      <c r="AJ367" s="479"/>
      <c r="AK367" s="479"/>
    </row>
    <row r="368" spans="1:37" ht="36" customHeight="1" x14ac:dyDescent="0.4">
      <c r="A368" s="477"/>
      <c r="B368" s="304" t="s">
        <v>285</v>
      </c>
      <c r="C368" s="469">
        <f>C365+D365+E365+F365+C366+D366+E366+F366</f>
        <v>68645.520999999993</v>
      </c>
      <c r="D368" s="470"/>
      <c r="E368" s="470"/>
      <c r="F368" s="471"/>
      <c r="G368" s="469">
        <f>G365+H365+I365+G366+H366+I366</f>
        <v>8946</v>
      </c>
      <c r="H368" s="470"/>
      <c r="I368" s="471"/>
      <c r="J368" s="273"/>
      <c r="K368" s="273"/>
      <c r="L368" s="469">
        <f>L365+M365+N365+L366+M366+N366</f>
        <v>2536.1104999999998</v>
      </c>
      <c r="M368" s="470"/>
      <c r="N368" s="471"/>
      <c r="O368" s="114"/>
      <c r="P368" s="286"/>
      <c r="Q368" s="469">
        <f>Q365+R365+S365+Q366+R366+S366</f>
        <v>5774.32</v>
      </c>
      <c r="R368" s="470"/>
      <c r="S368" s="471"/>
      <c r="T368" s="114"/>
      <c r="U368" s="114"/>
      <c r="V368" s="114"/>
      <c r="W368" s="114"/>
      <c r="X368" s="114"/>
      <c r="Y368" s="114"/>
      <c r="Z368" s="114"/>
      <c r="AA368" s="261"/>
      <c r="AB368" s="286"/>
      <c r="AC368" s="287"/>
      <c r="AD368" s="263"/>
      <c r="AE368" s="263"/>
      <c r="AF368" s="263"/>
      <c r="AG368" s="263"/>
      <c r="AH368" s="479"/>
      <c r="AI368" s="479"/>
      <c r="AJ368" s="479"/>
      <c r="AK368" s="479"/>
    </row>
    <row r="369" spans="1:37" ht="36" customHeight="1" x14ac:dyDescent="0.4">
      <c r="A369" s="477"/>
      <c r="B369" s="304" t="s">
        <v>247</v>
      </c>
      <c r="C369" s="469">
        <f>C367+D367+E367+F367</f>
        <v>73002</v>
      </c>
      <c r="D369" s="470"/>
      <c r="E369" s="470"/>
      <c r="F369" s="471"/>
      <c r="G369" s="469">
        <f>G367+H367+I367</f>
        <v>5026</v>
      </c>
      <c r="H369" s="470"/>
      <c r="I369" s="471"/>
      <c r="J369" s="273"/>
      <c r="K369" s="273"/>
      <c r="L369" s="469">
        <f>L367+M367+N367</f>
        <v>3042</v>
      </c>
      <c r="M369" s="470"/>
      <c r="N369" s="471"/>
      <c r="O369" s="114"/>
      <c r="P369" s="286"/>
      <c r="Q369" s="469">
        <f>Q367+R367+S367</f>
        <v>6189</v>
      </c>
      <c r="R369" s="470"/>
      <c r="S369" s="471"/>
      <c r="T369" s="114"/>
      <c r="U369" s="114"/>
      <c r="V369" s="114"/>
      <c r="W369" s="114"/>
      <c r="X369" s="114"/>
      <c r="Y369" s="114"/>
      <c r="Z369" s="114"/>
      <c r="AA369" s="261"/>
      <c r="AB369" s="286"/>
      <c r="AC369" s="287"/>
      <c r="AD369" s="263"/>
      <c r="AE369" s="263"/>
      <c r="AF369" s="263"/>
      <c r="AG369" s="263"/>
      <c r="AH369" s="479"/>
      <c r="AI369" s="479"/>
      <c r="AJ369" s="479"/>
      <c r="AK369" s="479"/>
    </row>
    <row r="370" spans="1:37" ht="36" customHeight="1" x14ac:dyDescent="0.4">
      <c r="A370" s="477"/>
      <c r="B370" s="297" t="s">
        <v>262</v>
      </c>
      <c r="C370" s="472">
        <f>C368/C369</f>
        <v>0.94032384044272754</v>
      </c>
      <c r="D370" s="473"/>
      <c r="E370" s="473"/>
      <c r="F370" s="474"/>
      <c r="G370" s="472">
        <f>G368/G369</f>
        <v>1.7799442896935933</v>
      </c>
      <c r="H370" s="473"/>
      <c r="I370" s="474"/>
      <c r="J370" s="276"/>
      <c r="K370" s="276"/>
      <c r="L370" s="472">
        <f>L368/L369</f>
        <v>0.83369838921761996</v>
      </c>
      <c r="M370" s="473"/>
      <c r="N370" s="474"/>
      <c r="O370" s="280">
        <f>(O365+O366)/O367</f>
        <v>1</v>
      </c>
      <c r="P370" s="290">
        <f>(P365+P366)/P367</f>
        <v>0.98839747725341975</v>
      </c>
      <c r="Q370" s="472">
        <f>Q368/Q369</f>
        <v>0.93299725319114557</v>
      </c>
      <c r="R370" s="473"/>
      <c r="S370" s="474"/>
      <c r="T370" s="280">
        <f t="shared" ref="T370:Z370" si="62">(T365+T366)/T367</f>
        <v>0.89893796992481201</v>
      </c>
      <c r="U370" s="280">
        <f t="shared" si="62"/>
        <v>2.3595406360424027</v>
      </c>
      <c r="V370" s="280">
        <f t="shared" si="62"/>
        <v>0.93597206053550641</v>
      </c>
      <c r="W370" s="280">
        <f t="shared" si="62"/>
        <v>0.94178082191780821</v>
      </c>
      <c r="X370" s="280">
        <f t="shared" si="62"/>
        <v>0.92848484848484858</v>
      </c>
      <c r="Y370" s="280">
        <f t="shared" si="62"/>
        <v>0.99572649572649574</v>
      </c>
      <c r="Z370" s="280">
        <f t="shared" si="62"/>
        <v>0.86585365853658536</v>
      </c>
      <c r="AA370" s="265"/>
      <c r="AB370" s="290">
        <f>(AB365+AB366)/AB367</f>
        <v>1.0487228011032792</v>
      </c>
      <c r="AC370" s="291">
        <f>(AC365+AC366)/AC367</f>
        <v>0.9967494563660857</v>
      </c>
      <c r="AD370" s="281">
        <f>AD365/$AG$173</f>
        <v>0.90476190476190477</v>
      </c>
      <c r="AE370" s="281">
        <f>AE365/$AG$173</f>
        <v>4.7619047619047616E-2</v>
      </c>
      <c r="AF370" s="281">
        <f>AF365/$AG$173</f>
        <v>4.7619047619047616E-2</v>
      </c>
      <c r="AG370" s="305">
        <f>AG365/$AG$173</f>
        <v>1</v>
      </c>
      <c r="AH370" s="480"/>
      <c r="AI370" s="480"/>
      <c r="AJ370" s="480"/>
      <c r="AK370" s="480"/>
    </row>
    <row r="371" spans="1:37" ht="36" customHeight="1" x14ac:dyDescent="0.4">
      <c r="A371" s="477" t="s">
        <v>318</v>
      </c>
      <c r="B371" s="292" t="s">
        <v>269</v>
      </c>
      <c r="C371" s="258">
        <v>8443</v>
      </c>
      <c r="D371" s="258">
        <v>35955</v>
      </c>
      <c r="E371" s="258">
        <v>3991</v>
      </c>
      <c r="F371" s="258">
        <v>20168</v>
      </c>
      <c r="G371" s="258">
        <v>1650</v>
      </c>
      <c r="H371" s="258">
        <v>4788</v>
      </c>
      <c r="I371" s="258">
        <v>2438</v>
      </c>
      <c r="J371" s="258"/>
      <c r="K371" s="258"/>
      <c r="L371" s="258">
        <v>52</v>
      </c>
      <c r="M371" s="258">
        <v>434</v>
      </c>
      <c r="N371" s="258">
        <v>2080</v>
      </c>
      <c r="O371" s="258">
        <v>151</v>
      </c>
      <c r="P371" s="286">
        <f>SUM(C371:O371)</f>
        <v>80150</v>
      </c>
      <c r="Q371" s="258">
        <v>1255</v>
      </c>
      <c r="R371" s="258">
        <v>2508</v>
      </c>
      <c r="S371" s="258">
        <v>2000</v>
      </c>
      <c r="T371" s="258">
        <v>2859</v>
      </c>
      <c r="U371" s="258">
        <v>2660</v>
      </c>
      <c r="V371" s="258">
        <v>808</v>
      </c>
      <c r="W371" s="258">
        <v>278</v>
      </c>
      <c r="X371" s="258">
        <v>769</v>
      </c>
      <c r="Y371" s="67">
        <v>241</v>
      </c>
      <c r="Z371" s="67">
        <v>143</v>
      </c>
      <c r="AA371" s="261"/>
      <c r="AB371" s="286">
        <f>SUM(Q371:AA371)</f>
        <v>13521</v>
      </c>
      <c r="AC371" s="287">
        <f>P371+AB371</f>
        <v>93671</v>
      </c>
      <c r="AD371" s="278">
        <v>19</v>
      </c>
      <c r="AE371" s="278">
        <v>1</v>
      </c>
      <c r="AF371" s="278">
        <v>1</v>
      </c>
      <c r="AG371" s="279">
        <f>SUM(AD371:AF371)</f>
        <v>21</v>
      </c>
      <c r="AH371" s="478">
        <v>1802</v>
      </c>
      <c r="AI371" s="478">
        <v>2082</v>
      </c>
      <c r="AJ371" s="478">
        <v>485</v>
      </c>
      <c r="AK371" s="478">
        <f>SUM(AH371:AJ376)</f>
        <v>4369</v>
      </c>
    </row>
    <row r="372" spans="1:37" ht="36" customHeight="1" x14ac:dyDescent="0.4">
      <c r="A372" s="477"/>
      <c r="B372" s="304" t="s">
        <v>265</v>
      </c>
      <c r="C372" s="258">
        <v>37.993499999999997</v>
      </c>
      <c r="D372" s="258">
        <v>161.79749999999999</v>
      </c>
      <c r="E372" s="258">
        <v>17.959499999999998</v>
      </c>
      <c r="F372" s="258">
        <v>90.756</v>
      </c>
      <c r="G372" s="258">
        <v>0</v>
      </c>
      <c r="H372" s="258">
        <v>0</v>
      </c>
      <c r="I372" s="258">
        <v>0</v>
      </c>
      <c r="J372" s="258"/>
      <c r="K372" s="258"/>
      <c r="L372" s="258">
        <v>0</v>
      </c>
      <c r="M372" s="258">
        <v>1.9529999999999998</v>
      </c>
      <c r="N372" s="258">
        <v>9.36</v>
      </c>
      <c r="O372" s="258">
        <v>0</v>
      </c>
      <c r="P372" s="286">
        <f>SUM(C372:O372)</f>
        <v>319.81949999999995</v>
      </c>
      <c r="Q372" s="258">
        <v>33.549999999999997</v>
      </c>
      <c r="R372" s="258">
        <v>0</v>
      </c>
      <c r="S372" s="258">
        <v>0</v>
      </c>
      <c r="T372" s="258">
        <v>28.59</v>
      </c>
      <c r="U372" s="258">
        <v>0</v>
      </c>
      <c r="V372" s="258">
        <v>0</v>
      </c>
      <c r="W372" s="258">
        <v>0</v>
      </c>
      <c r="X372" s="258">
        <v>153.80000000000001</v>
      </c>
      <c r="Y372" s="258">
        <v>0</v>
      </c>
      <c r="Z372" s="258">
        <v>0</v>
      </c>
      <c r="AA372" s="261"/>
      <c r="AB372" s="286">
        <f>SUM(Q372:AA372)</f>
        <v>215.94</v>
      </c>
      <c r="AC372" s="287">
        <f>P372+AB372</f>
        <v>535.75949999999989</v>
      </c>
      <c r="AD372" s="278"/>
      <c r="AE372" s="278"/>
      <c r="AF372" s="278"/>
      <c r="AG372" s="279"/>
      <c r="AH372" s="479"/>
      <c r="AI372" s="479"/>
      <c r="AJ372" s="479"/>
      <c r="AK372" s="479"/>
    </row>
    <row r="373" spans="1:37" ht="36" customHeight="1" x14ac:dyDescent="0.4">
      <c r="A373" s="477"/>
      <c r="B373" s="304" t="s">
        <v>284</v>
      </c>
      <c r="C373" s="114">
        <v>9252</v>
      </c>
      <c r="D373" s="114">
        <v>37456</v>
      </c>
      <c r="E373" s="114">
        <v>4675</v>
      </c>
      <c r="F373" s="114">
        <v>21619</v>
      </c>
      <c r="G373" s="114">
        <v>1710</v>
      </c>
      <c r="H373" s="114">
        <v>763</v>
      </c>
      <c r="I373" s="114">
        <v>2553</v>
      </c>
      <c r="J373" s="114"/>
      <c r="K373" s="114"/>
      <c r="L373" s="114">
        <v>102</v>
      </c>
      <c r="M373" s="114">
        <v>470</v>
      </c>
      <c r="N373" s="114">
        <v>2470</v>
      </c>
      <c r="O373" s="114">
        <v>151</v>
      </c>
      <c r="P373" s="286">
        <f>SUM(C373:O373)</f>
        <v>81221</v>
      </c>
      <c r="Q373" s="114">
        <v>1403</v>
      </c>
      <c r="R373" s="114">
        <v>2766</v>
      </c>
      <c r="S373" s="114">
        <v>2020</v>
      </c>
      <c r="T373" s="114">
        <v>3192</v>
      </c>
      <c r="U373" s="114">
        <v>1132</v>
      </c>
      <c r="V373" s="114">
        <v>859</v>
      </c>
      <c r="W373" s="114">
        <v>292</v>
      </c>
      <c r="X373" s="114">
        <v>990</v>
      </c>
      <c r="Y373" s="114">
        <v>252</v>
      </c>
      <c r="Z373" s="114">
        <v>164</v>
      </c>
      <c r="AA373" s="261"/>
      <c r="AB373" s="286">
        <f>SUM(Q373:AA373)</f>
        <v>13070</v>
      </c>
      <c r="AC373" s="287">
        <f>P373+AB373</f>
        <v>94291</v>
      </c>
      <c r="AD373" s="263"/>
      <c r="AE373" s="263"/>
      <c r="AF373" s="263"/>
      <c r="AG373" s="263"/>
      <c r="AH373" s="479"/>
      <c r="AI373" s="479"/>
      <c r="AJ373" s="479"/>
      <c r="AK373" s="479"/>
    </row>
    <row r="374" spans="1:37" ht="36" customHeight="1" x14ac:dyDescent="0.4">
      <c r="A374" s="477"/>
      <c r="B374" s="304" t="s">
        <v>285</v>
      </c>
      <c r="C374" s="469">
        <f>C371+D371+E371+F371+C372+D372+E372+F372</f>
        <v>68865.506499999989</v>
      </c>
      <c r="D374" s="470"/>
      <c r="E374" s="470"/>
      <c r="F374" s="471"/>
      <c r="G374" s="469">
        <f>G371+H371+I371+G372+H372+I372</f>
        <v>8876</v>
      </c>
      <c r="H374" s="470"/>
      <c r="I374" s="471"/>
      <c r="J374" s="273"/>
      <c r="K374" s="273"/>
      <c r="L374" s="469">
        <f>L371+M371+N371+L372+M372+N372</f>
        <v>2577.3130000000001</v>
      </c>
      <c r="M374" s="470"/>
      <c r="N374" s="471"/>
      <c r="O374" s="114"/>
      <c r="P374" s="286"/>
      <c r="Q374" s="469">
        <f>Q371+R371+S371+Q372+R372+S372</f>
        <v>5796.55</v>
      </c>
      <c r="R374" s="470"/>
      <c r="S374" s="471"/>
      <c r="T374" s="114"/>
      <c r="U374" s="114"/>
      <c r="V374" s="114"/>
      <c r="W374" s="114"/>
      <c r="X374" s="114"/>
      <c r="Y374" s="114"/>
      <c r="Z374" s="114"/>
      <c r="AA374" s="261"/>
      <c r="AB374" s="286"/>
      <c r="AC374" s="287"/>
      <c r="AD374" s="263"/>
      <c r="AE374" s="263"/>
      <c r="AF374" s="263"/>
      <c r="AG374" s="263"/>
      <c r="AH374" s="479"/>
      <c r="AI374" s="479"/>
      <c r="AJ374" s="479"/>
      <c r="AK374" s="479"/>
    </row>
    <row r="375" spans="1:37" ht="36" customHeight="1" x14ac:dyDescent="0.4">
      <c r="A375" s="477"/>
      <c r="B375" s="304" t="s">
        <v>247</v>
      </c>
      <c r="C375" s="469">
        <f>C373+D373+E373+F373</f>
        <v>73002</v>
      </c>
      <c r="D375" s="470"/>
      <c r="E375" s="470"/>
      <c r="F375" s="471"/>
      <c r="G375" s="469">
        <f>G373+H373+I373</f>
        <v>5026</v>
      </c>
      <c r="H375" s="470"/>
      <c r="I375" s="471"/>
      <c r="J375" s="273"/>
      <c r="K375" s="273"/>
      <c r="L375" s="469">
        <f>L373+M373+N373</f>
        <v>3042</v>
      </c>
      <c r="M375" s="470"/>
      <c r="N375" s="471"/>
      <c r="O375" s="114"/>
      <c r="P375" s="286"/>
      <c r="Q375" s="469">
        <f>Q373+R373+S373</f>
        <v>6189</v>
      </c>
      <c r="R375" s="470"/>
      <c r="S375" s="471"/>
      <c r="T375" s="114"/>
      <c r="U375" s="114"/>
      <c r="V375" s="114"/>
      <c r="W375" s="114"/>
      <c r="X375" s="114"/>
      <c r="Y375" s="114"/>
      <c r="Z375" s="114"/>
      <c r="AA375" s="261"/>
      <c r="AB375" s="286"/>
      <c r="AC375" s="287"/>
      <c r="AD375" s="263"/>
      <c r="AE375" s="263"/>
      <c r="AF375" s="263"/>
      <c r="AG375" s="263"/>
      <c r="AH375" s="479"/>
      <c r="AI375" s="479"/>
      <c r="AJ375" s="479"/>
      <c r="AK375" s="479"/>
    </row>
    <row r="376" spans="1:37" ht="36" customHeight="1" x14ac:dyDescent="0.4">
      <c r="A376" s="477"/>
      <c r="B376" s="297" t="s">
        <v>262</v>
      </c>
      <c r="C376" s="472">
        <f>C374/C375</f>
        <v>0.94333725788334555</v>
      </c>
      <c r="D376" s="473"/>
      <c r="E376" s="473"/>
      <c r="F376" s="474"/>
      <c r="G376" s="472">
        <f>G374/G375</f>
        <v>1.766016713091922</v>
      </c>
      <c r="H376" s="473"/>
      <c r="I376" s="474"/>
      <c r="J376" s="276"/>
      <c r="K376" s="276"/>
      <c r="L376" s="472">
        <f>L374/L375</f>
        <v>0.8472429322813938</v>
      </c>
      <c r="M376" s="473"/>
      <c r="N376" s="474"/>
      <c r="O376" s="280">
        <f>(O371+O372)/O373</f>
        <v>1</v>
      </c>
      <c r="P376" s="290">
        <f>(P371+P372)/P373</f>
        <v>0.99075140049987065</v>
      </c>
      <c r="Q376" s="472">
        <f>Q374/Q375</f>
        <v>0.93658910971077725</v>
      </c>
      <c r="R376" s="473"/>
      <c r="S376" s="474"/>
      <c r="T376" s="280">
        <f t="shared" ref="T376:Z376" si="63">(T371+T372)/T373</f>
        <v>0.9046334586466166</v>
      </c>
      <c r="U376" s="280">
        <f t="shared" si="63"/>
        <v>2.3498233215547701</v>
      </c>
      <c r="V376" s="280">
        <f t="shared" si="63"/>
        <v>0.94062863795110596</v>
      </c>
      <c r="W376" s="280">
        <f t="shared" si="63"/>
        <v>0.95205479452054798</v>
      </c>
      <c r="X376" s="280">
        <f t="shared" si="63"/>
        <v>0.93212121212121213</v>
      </c>
      <c r="Y376" s="280">
        <f t="shared" si="63"/>
        <v>0.95634920634920639</v>
      </c>
      <c r="Z376" s="280">
        <f t="shared" si="63"/>
        <v>0.87195121951219512</v>
      </c>
      <c r="AA376" s="265"/>
      <c r="AB376" s="290">
        <f>(AB371+AB372)/AB373</f>
        <v>1.0510283091048203</v>
      </c>
      <c r="AC376" s="291">
        <f>(AC371+AC372)/AC373</f>
        <v>0.99910659023660797</v>
      </c>
      <c r="AD376" s="281">
        <f>AD371/$AG$173</f>
        <v>0.90476190476190477</v>
      </c>
      <c r="AE376" s="281">
        <f>AE371/$AG$173</f>
        <v>4.7619047619047616E-2</v>
      </c>
      <c r="AF376" s="281">
        <f>AF371/$AG$173</f>
        <v>4.7619047619047616E-2</v>
      </c>
      <c r="AG376" s="305">
        <f>AG371/$AG$173</f>
        <v>1</v>
      </c>
      <c r="AH376" s="480"/>
      <c r="AI376" s="480"/>
      <c r="AJ376" s="480"/>
      <c r="AK376" s="480"/>
    </row>
    <row r="377" spans="1:37" ht="36" customHeight="1" x14ac:dyDescent="0.4">
      <c r="A377" s="477" t="s">
        <v>319</v>
      </c>
      <c r="B377" s="292" t="s">
        <v>269</v>
      </c>
      <c r="C377" s="258">
        <v>8545</v>
      </c>
      <c r="D377" s="258">
        <v>36155</v>
      </c>
      <c r="E377" s="258">
        <v>4000</v>
      </c>
      <c r="F377" s="258">
        <v>20237</v>
      </c>
      <c r="G377" s="258">
        <v>1654</v>
      </c>
      <c r="H377" s="258">
        <v>4778</v>
      </c>
      <c r="I377" s="258">
        <v>2461</v>
      </c>
      <c r="J377" s="258"/>
      <c r="K377" s="258"/>
      <c r="L377" s="258">
        <v>47</v>
      </c>
      <c r="M377" s="258">
        <v>441</v>
      </c>
      <c r="N377" s="258">
        <v>2136</v>
      </c>
      <c r="O377" s="258">
        <v>151</v>
      </c>
      <c r="P377" s="286">
        <f>SUM(C377:O377)</f>
        <v>80605</v>
      </c>
      <c r="Q377" s="258">
        <v>1255</v>
      </c>
      <c r="R377" s="258">
        <v>2526</v>
      </c>
      <c r="S377" s="258">
        <v>2004</v>
      </c>
      <c r="T377" s="258">
        <v>2891</v>
      </c>
      <c r="U377" s="258">
        <v>2666</v>
      </c>
      <c r="V377" s="258">
        <v>810</v>
      </c>
      <c r="W377" s="258">
        <v>283</v>
      </c>
      <c r="X377" s="258">
        <v>775</v>
      </c>
      <c r="Y377" s="67">
        <v>248</v>
      </c>
      <c r="Z377" s="67">
        <v>143</v>
      </c>
      <c r="AA377" s="261"/>
      <c r="AB377" s="286">
        <f>SUM(Q377:AA377)</f>
        <v>13601</v>
      </c>
      <c r="AC377" s="287">
        <f>P377+AB377</f>
        <v>94206</v>
      </c>
      <c r="AD377" s="278">
        <v>19</v>
      </c>
      <c r="AE377" s="278">
        <v>2</v>
      </c>
      <c r="AF377" s="278">
        <v>0</v>
      </c>
      <c r="AG377" s="279">
        <f>SUM(AD377:AF377)</f>
        <v>21</v>
      </c>
      <c r="AH377" s="478">
        <v>1904</v>
      </c>
      <c r="AI377" s="478">
        <v>2225</v>
      </c>
      <c r="AJ377" s="478">
        <v>819</v>
      </c>
      <c r="AK377" s="478">
        <f>SUM(AH377:AJ382)</f>
        <v>4948</v>
      </c>
    </row>
    <row r="378" spans="1:37" ht="36" customHeight="1" x14ac:dyDescent="0.4">
      <c r="A378" s="477"/>
      <c r="B378" s="304" t="s">
        <v>265</v>
      </c>
      <c r="C378" s="258">
        <v>38.452500000000001</v>
      </c>
      <c r="D378" s="258">
        <v>162.69749999999999</v>
      </c>
      <c r="E378" s="258">
        <v>18</v>
      </c>
      <c r="F378" s="258">
        <v>91.066499999999991</v>
      </c>
      <c r="G378" s="258">
        <v>0</v>
      </c>
      <c r="H378" s="258">
        <v>0</v>
      </c>
      <c r="I378" s="258">
        <v>0</v>
      </c>
      <c r="J378" s="258"/>
      <c r="K378" s="258"/>
      <c r="L378" s="258">
        <v>33</v>
      </c>
      <c r="M378" s="258">
        <v>1.9844999999999999</v>
      </c>
      <c r="N378" s="258">
        <v>9.6120000000000001</v>
      </c>
      <c r="O378" s="258">
        <v>0</v>
      </c>
      <c r="P378" s="286">
        <f>SUM(C378:O378)</f>
        <v>354.81300000000005</v>
      </c>
      <c r="Q378" s="258">
        <v>33.549999999999997</v>
      </c>
      <c r="R378" s="258">
        <v>0</v>
      </c>
      <c r="S378" s="258">
        <v>0</v>
      </c>
      <c r="T378" s="258">
        <v>28.91</v>
      </c>
      <c r="U378" s="258">
        <v>0</v>
      </c>
      <c r="V378" s="258">
        <v>0</v>
      </c>
      <c r="W378" s="258">
        <v>0</v>
      </c>
      <c r="X378" s="258">
        <v>155</v>
      </c>
      <c r="Y378" s="258">
        <v>0</v>
      </c>
      <c r="Z378" s="258">
        <v>0</v>
      </c>
      <c r="AA378" s="261"/>
      <c r="AB378" s="286">
        <f>SUM(Q378:AA378)</f>
        <v>217.45999999999998</v>
      </c>
      <c r="AC378" s="287">
        <f>P378+AB378</f>
        <v>572.27300000000002</v>
      </c>
      <c r="AD378" s="278"/>
      <c r="AE378" s="278"/>
      <c r="AF378" s="278"/>
      <c r="AG378" s="279"/>
      <c r="AH378" s="479"/>
      <c r="AI378" s="479"/>
      <c r="AJ378" s="479"/>
      <c r="AK378" s="479"/>
    </row>
    <row r="379" spans="1:37" ht="36" customHeight="1" x14ac:dyDescent="0.4">
      <c r="A379" s="477"/>
      <c r="B379" s="304" t="s">
        <v>284</v>
      </c>
      <c r="C379" s="114">
        <v>9252</v>
      </c>
      <c r="D379" s="114">
        <v>37456</v>
      </c>
      <c r="E379" s="114">
        <v>4675</v>
      </c>
      <c r="F379" s="114">
        <v>21619</v>
      </c>
      <c r="G379" s="114">
        <v>1710</v>
      </c>
      <c r="H379" s="114">
        <v>763</v>
      </c>
      <c r="I379" s="114">
        <v>2553</v>
      </c>
      <c r="J379" s="114"/>
      <c r="K379" s="114"/>
      <c r="L379" s="114">
        <v>102</v>
      </c>
      <c r="M379" s="114">
        <v>470</v>
      </c>
      <c r="N379" s="114">
        <v>2470</v>
      </c>
      <c r="O379" s="114">
        <v>151</v>
      </c>
      <c r="P379" s="286">
        <f>SUM(C379:O379)</f>
        <v>81221</v>
      </c>
      <c r="Q379" s="114">
        <v>1403</v>
      </c>
      <c r="R379" s="114">
        <v>2766</v>
      </c>
      <c r="S379" s="114">
        <v>2020</v>
      </c>
      <c r="T379" s="114">
        <v>3192</v>
      </c>
      <c r="U379" s="114">
        <v>1132</v>
      </c>
      <c r="V379" s="114">
        <v>859</v>
      </c>
      <c r="W379" s="114">
        <v>292</v>
      </c>
      <c r="X379" s="114">
        <v>990</v>
      </c>
      <c r="Y379" s="114">
        <v>252</v>
      </c>
      <c r="Z379" s="114">
        <v>164</v>
      </c>
      <c r="AA379" s="261"/>
      <c r="AB379" s="286">
        <f>SUM(Q379:AA379)</f>
        <v>13070</v>
      </c>
      <c r="AC379" s="287">
        <f>P379+AB379</f>
        <v>94291</v>
      </c>
      <c r="AD379" s="263"/>
      <c r="AE379" s="263"/>
      <c r="AF379" s="263"/>
      <c r="AG379" s="263"/>
      <c r="AH379" s="479"/>
      <c r="AI379" s="479"/>
      <c r="AJ379" s="479"/>
      <c r="AK379" s="479"/>
    </row>
    <row r="380" spans="1:37" ht="36" customHeight="1" x14ac:dyDescent="0.4">
      <c r="A380" s="477"/>
      <c r="B380" s="304" t="s">
        <v>285</v>
      </c>
      <c r="C380" s="469">
        <f>C377+D377+E377+F377+C378+D378+E378+F378</f>
        <v>69247.216499999995</v>
      </c>
      <c r="D380" s="470"/>
      <c r="E380" s="470"/>
      <c r="F380" s="471"/>
      <c r="G380" s="469">
        <f>G377+H377+I377+G378+H378+I378</f>
        <v>8893</v>
      </c>
      <c r="H380" s="470"/>
      <c r="I380" s="471"/>
      <c r="J380" s="273"/>
      <c r="K380" s="273"/>
      <c r="L380" s="469">
        <f>L377+M377+N377+L378+M378+N378</f>
        <v>2668.5965000000001</v>
      </c>
      <c r="M380" s="470"/>
      <c r="N380" s="471"/>
      <c r="O380" s="114"/>
      <c r="P380" s="286"/>
      <c r="Q380" s="469">
        <f>Q377+R377+S377+Q378+R378+S378</f>
        <v>5818.55</v>
      </c>
      <c r="R380" s="470"/>
      <c r="S380" s="471"/>
      <c r="T380" s="114"/>
      <c r="U380" s="114"/>
      <c r="V380" s="114"/>
      <c r="W380" s="114"/>
      <c r="X380" s="114"/>
      <c r="Y380" s="114"/>
      <c r="Z380" s="114"/>
      <c r="AA380" s="261"/>
      <c r="AB380" s="286"/>
      <c r="AC380" s="287"/>
      <c r="AD380" s="263"/>
      <c r="AE380" s="263"/>
      <c r="AF380" s="263"/>
      <c r="AG380" s="263"/>
      <c r="AH380" s="479"/>
      <c r="AI380" s="479"/>
      <c r="AJ380" s="479"/>
      <c r="AK380" s="479"/>
    </row>
    <row r="381" spans="1:37" ht="36" customHeight="1" x14ac:dyDescent="0.4">
      <c r="A381" s="477"/>
      <c r="B381" s="304" t="s">
        <v>247</v>
      </c>
      <c r="C381" s="469">
        <f>C379+D379+E379+F379</f>
        <v>73002</v>
      </c>
      <c r="D381" s="470"/>
      <c r="E381" s="470"/>
      <c r="F381" s="471"/>
      <c r="G381" s="469">
        <f>G379+H379+I379</f>
        <v>5026</v>
      </c>
      <c r="H381" s="470"/>
      <c r="I381" s="471"/>
      <c r="J381" s="273"/>
      <c r="K381" s="273"/>
      <c r="L381" s="469">
        <f>L379+M379+N379</f>
        <v>3042</v>
      </c>
      <c r="M381" s="470"/>
      <c r="N381" s="471"/>
      <c r="O381" s="114"/>
      <c r="P381" s="286"/>
      <c r="Q381" s="469">
        <f>Q379+R379+S379</f>
        <v>6189</v>
      </c>
      <c r="R381" s="470"/>
      <c r="S381" s="471"/>
      <c r="T381" s="114"/>
      <c r="U381" s="114"/>
      <c r="V381" s="114"/>
      <c r="W381" s="114"/>
      <c r="X381" s="114"/>
      <c r="Y381" s="114"/>
      <c r="Z381" s="114"/>
      <c r="AA381" s="261"/>
      <c r="AB381" s="286"/>
      <c r="AC381" s="287"/>
      <c r="AD381" s="263"/>
      <c r="AE381" s="263"/>
      <c r="AF381" s="263"/>
      <c r="AG381" s="263"/>
      <c r="AH381" s="479"/>
      <c r="AI381" s="479"/>
      <c r="AJ381" s="479"/>
      <c r="AK381" s="479"/>
    </row>
    <row r="382" spans="1:37" ht="36" customHeight="1" x14ac:dyDescent="0.4">
      <c r="A382" s="477"/>
      <c r="B382" s="297" t="s">
        <v>262</v>
      </c>
      <c r="C382" s="472">
        <f>C380/C381</f>
        <v>0.94856601873921254</v>
      </c>
      <c r="D382" s="473"/>
      <c r="E382" s="473"/>
      <c r="F382" s="474"/>
      <c r="G382" s="472">
        <f>G380/G381</f>
        <v>1.769399124552328</v>
      </c>
      <c r="H382" s="473"/>
      <c r="I382" s="474"/>
      <c r="J382" s="276"/>
      <c r="K382" s="276"/>
      <c r="L382" s="472">
        <f>L380/L381</f>
        <v>0.87725065746219599</v>
      </c>
      <c r="M382" s="473"/>
      <c r="N382" s="474"/>
      <c r="O382" s="280">
        <f>(O377+O378)/O379</f>
        <v>1</v>
      </c>
      <c r="P382" s="290">
        <f>(P377+P378)/P379</f>
        <v>0.99678424299134449</v>
      </c>
      <c r="Q382" s="472">
        <f>Q380/Q381</f>
        <v>0.94014380352237847</v>
      </c>
      <c r="R382" s="473"/>
      <c r="S382" s="474"/>
      <c r="T382" s="280">
        <f t="shared" ref="T382:Z382" si="64">(T377+T378)/T379</f>
        <v>0.91475877192982447</v>
      </c>
      <c r="U382" s="280">
        <f t="shared" si="64"/>
        <v>2.3551236749116606</v>
      </c>
      <c r="V382" s="280">
        <f t="shared" si="64"/>
        <v>0.94295692665890574</v>
      </c>
      <c r="W382" s="280">
        <f t="shared" si="64"/>
        <v>0.96917808219178081</v>
      </c>
      <c r="X382" s="280">
        <f t="shared" si="64"/>
        <v>0.93939393939393945</v>
      </c>
      <c r="Y382" s="280">
        <f t="shared" si="64"/>
        <v>0.98412698412698407</v>
      </c>
      <c r="Z382" s="280">
        <f t="shared" si="64"/>
        <v>0.87195121951219512</v>
      </c>
      <c r="AA382" s="265"/>
      <c r="AB382" s="290">
        <f>(AB377+AB378)/AB379</f>
        <v>1.0572654934965569</v>
      </c>
      <c r="AC382" s="291">
        <f>(AC377+AC378)/AC379</f>
        <v>1.005167757262093</v>
      </c>
      <c r="AD382" s="281">
        <f>AD377/$AG$173</f>
        <v>0.90476190476190477</v>
      </c>
      <c r="AE382" s="281">
        <f>AE377/$AG$173</f>
        <v>9.5238095238095233E-2</v>
      </c>
      <c r="AF382" s="281">
        <f>AF377/$AG$173</f>
        <v>0</v>
      </c>
      <c r="AG382" s="305">
        <f>AG377/$AG$173</f>
        <v>1</v>
      </c>
      <c r="AH382" s="480"/>
      <c r="AI382" s="480"/>
      <c r="AJ382" s="480"/>
      <c r="AK382" s="480"/>
    </row>
    <row r="383" spans="1:37" ht="36" customHeight="1" x14ac:dyDescent="0.4">
      <c r="A383" s="477" t="s">
        <v>320</v>
      </c>
      <c r="B383" s="292" t="s">
        <v>269</v>
      </c>
      <c r="C383" s="258">
        <v>8546</v>
      </c>
      <c r="D383" s="258">
        <v>36097</v>
      </c>
      <c r="E383" s="258">
        <v>3994</v>
      </c>
      <c r="F383" s="258">
        <v>19700</v>
      </c>
      <c r="G383" s="258">
        <v>1650</v>
      </c>
      <c r="H383" s="258">
        <v>4258</v>
      </c>
      <c r="I383" s="258">
        <v>2453</v>
      </c>
      <c r="J383" s="258"/>
      <c r="K383" s="258"/>
      <c r="L383" s="258">
        <v>30</v>
      </c>
      <c r="M383" s="258">
        <v>440</v>
      </c>
      <c r="N383" s="258">
        <v>2123</v>
      </c>
      <c r="O383" s="258">
        <v>151</v>
      </c>
      <c r="P383" s="286">
        <f>SUM(C383:O383)</f>
        <v>79442</v>
      </c>
      <c r="Q383" s="258">
        <v>1268</v>
      </c>
      <c r="R383" s="258">
        <v>2532</v>
      </c>
      <c r="S383" s="258">
        <v>2008</v>
      </c>
      <c r="T383" s="258">
        <v>2890</v>
      </c>
      <c r="U383" s="258">
        <v>2485</v>
      </c>
      <c r="V383" s="258">
        <v>799</v>
      </c>
      <c r="W383" s="258">
        <v>283</v>
      </c>
      <c r="X383" s="258">
        <v>775</v>
      </c>
      <c r="Y383" s="67">
        <v>251</v>
      </c>
      <c r="Z383" s="67">
        <v>144</v>
      </c>
      <c r="AA383" s="261"/>
      <c r="AB383" s="286">
        <f>SUM(Q383:AA383)</f>
        <v>13435</v>
      </c>
      <c r="AC383" s="287">
        <f>P383+AB383</f>
        <v>92877</v>
      </c>
      <c r="AD383" s="278">
        <v>19</v>
      </c>
      <c r="AE383" s="278">
        <v>1</v>
      </c>
      <c r="AF383" s="278">
        <v>1</v>
      </c>
      <c r="AG383" s="279">
        <f>SUM(AD383:AF383)</f>
        <v>21</v>
      </c>
      <c r="AH383" s="478">
        <v>1611</v>
      </c>
      <c r="AI383" s="478">
        <v>3352</v>
      </c>
      <c r="AJ383" s="478">
        <v>575</v>
      </c>
      <c r="AK383" s="478">
        <f>SUM(AH383:AJ388)</f>
        <v>5538</v>
      </c>
    </row>
    <row r="384" spans="1:37" ht="36" customHeight="1" x14ac:dyDescent="0.4">
      <c r="A384" s="477"/>
      <c r="B384" s="304" t="s">
        <v>265</v>
      </c>
      <c r="C384" s="258">
        <v>38.456999999999994</v>
      </c>
      <c r="D384" s="258">
        <v>162.4365</v>
      </c>
      <c r="E384" s="258">
        <v>17.972999999999999</v>
      </c>
      <c r="F384" s="258">
        <v>88.649999999999991</v>
      </c>
      <c r="G384" s="258">
        <v>0</v>
      </c>
      <c r="H384" s="258">
        <v>0</v>
      </c>
      <c r="I384" s="258">
        <v>0</v>
      </c>
      <c r="J384" s="258"/>
      <c r="K384" s="258"/>
      <c r="L384" s="258">
        <v>34</v>
      </c>
      <c r="M384" s="258">
        <v>1.9799999999999998</v>
      </c>
      <c r="N384" s="258">
        <v>9.5534999999999997</v>
      </c>
      <c r="O384" s="258">
        <v>0</v>
      </c>
      <c r="P384" s="286">
        <f>SUM(C384:O384)</f>
        <v>353.04999999999995</v>
      </c>
      <c r="Q384" s="258">
        <v>33.68</v>
      </c>
      <c r="R384" s="258">
        <v>0</v>
      </c>
      <c r="S384" s="258">
        <v>0</v>
      </c>
      <c r="T384" s="258">
        <v>28.900000000000002</v>
      </c>
      <c r="U384" s="258">
        <v>0</v>
      </c>
      <c r="V384" s="258">
        <v>0</v>
      </c>
      <c r="W384" s="258">
        <v>0</v>
      </c>
      <c r="X384" s="258">
        <v>155</v>
      </c>
      <c r="Y384" s="258">
        <v>0</v>
      </c>
      <c r="Z384" s="258">
        <v>0</v>
      </c>
      <c r="AA384" s="261"/>
      <c r="AB384" s="286">
        <f>SUM(Q384:AA384)</f>
        <v>217.57999999999998</v>
      </c>
      <c r="AC384" s="287">
        <f>P384+AB384</f>
        <v>570.62999999999988</v>
      </c>
      <c r="AD384" s="278"/>
      <c r="AE384" s="278"/>
      <c r="AF384" s="278"/>
      <c r="AG384" s="279"/>
      <c r="AH384" s="479"/>
      <c r="AI384" s="479"/>
      <c r="AJ384" s="479"/>
      <c r="AK384" s="479"/>
    </row>
    <row r="385" spans="1:37" ht="36" customHeight="1" x14ac:dyDescent="0.4">
      <c r="A385" s="477"/>
      <c r="B385" s="304" t="s">
        <v>284</v>
      </c>
      <c r="C385" s="114">
        <v>9252</v>
      </c>
      <c r="D385" s="114">
        <v>37456</v>
      </c>
      <c r="E385" s="114">
        <v>4675</v>
      </c>
      <c r="F385" s="114">
        <v>21619</v>
      </c>
      <c r="G385" s="114">
        <v>1710</v>
      </c>
      <c r="H385" s="114">
        <v>763</v>
      </c>
      <c r="I385" s="114">
        <v>2553</v>
      </c>
      <c r="J385" s="114"/>
      <c r="K385" s="114"/>
      <c r="L385" s="114">
        <v>102</v>
      </c>
      <c r="M385" s="114">
        <v>470</v>
      </c>
      <c r="N385" s="114">
        <v>2470</v>
      </c>
      <c r="O385" s="114">
        <v>151</v>
      </c>
      <c r="P385" s="286">
        <f>SUM(C385:O385)</f>
        <v>81221</v>
      </c>
      <c r="Q385" s="114">
        <v>1403</v>
      </c>
      <c r="R385" s="114">
        <v>2766</v>
      </c>
      <c r="S385" s="114">
        <v>2020</v>
      </c>
      <c r="T385" s="114">
        <v>3192</v>
      </c>
      <c r="U385" s="114">
        <v>1132</v>
      </c>
      <c r="V385" s="114">
        <v>859</v>
      </c>
      <c r="W385" s="114">
        <v>292</v>
      </c>
      <c r="X385" s="114">
        <v>990</v>
      </c>
      <c r="Y385" s="114">
        <v>252</v>
      </c>
      <c r="Z385" s="114">
        <v>164</v>
      </c>
      <c r="AA385" s="261"/>
      <c r="AB385" s="286">
        <f>SUM(Q385:AA385)</f>
        <v>13070</v>
      </c>
      <c r="AC385" s="287">
        <f>P385+AB385</f>
        <v>94291</v>
      </c>
      <c r="AD385" s="263"/>
      <c r="AE385" s="263"/>
      <c r="AF385" s="263"/>
      <c r="AG385" s="263"/>
      <c r="AH385" s="479"/>
      <c r="AI385" s="479"/>
      <c r="AJ385" s="479"/>
      <c r="AK385" s="479"/>
    </row>
    <row r="386" spans="1:37" ht="36" customHeight="1" x14ac:dyDescent="0.4">
      <c r="A386" s="477"/>
      <c r="B386" s="304" t="s">
        <v>285</v>
      </c>
      <c r="C386" s="469">
        <f>C383+D383+E383+F383+C384+D384+E384+F384</f>
        <v>68644.516499999983</v>
      </c>
      <c r="D386" s="470"/>
      <c r="E386" s="470"/>
      <c r="F386" s="471"/>
      <c r="G386" s="469">
        <f>G383+H383+I383+G384+H384+I384</f>
        <v>8361</v>
      </c>
      <c r="H386" s="470"/>
      <c r="I386" s="471"/>
      <c r="J386" s="273"/>
      <c r="K386" s="273"/>
      <c r="L386" s="469">
        <f>L383+M383+N383+L384+M384+N384</f>
        <v>2638.5335</v>
      </c>
      <c r="M386" s="470"/>
      <c r="N386" s="471"/>
      <c r="O386" s="114"/>
      <c r="P386" s="286"/>
      <c r="Q386" s="469">
        <f>Q383+R383+S383+Q384+R384+S384</f>
        <v>5841.68</v>
      </c>
      <c r="R386" s="470"/>
      <c r="S386" s="471"/>
      <c r="T386" s="114"/>
      <c r="U386" s="114"/>
      <c r="V386" s="114"/>
      <c r="W386" s="114"/>
      <c r="X386" s="114"/>
      <c r="Y386" s="114"/>
      <c r="Z386" s="114"/>
      <c r="AA386" s="261"/>
      <c r="AB386" s="286"/>
      <c r="AC386" s="287"/>
      <c r="AD386" s="263"/>
      <c r="AE386" s="263"/>
      <c r="AF386" s="263"/>
      <c r="AG386" s="263"/>
      <c r="AH386" s="479"/>
      <c r="AI386" s="479"/>
      <c r="AJ386" s="479"/>
      <c r="AK386" s="479"/>
    </row>
    <row r="387" spans="1:37" ht="36" customHeight="1" x14ac:dyDescent="0.4">
      <c r="A387" s="477"/>
      <c r="B387" s="304" t="s">
        <v>247</v>
      </c>
      <c r="C387" s="469">
        <f>C385+D385+E385+F385</f>
        <v>73002</v>
      </c>
      <c r="D387" s="470"/>
      <c r="E387" s="470"/>
      <c r="F387" s="471"/>
      <c r="G387" s="469">
        <f>G385+H385+I385</f>
        <v>5026</v>
      </c>
      <c r="H387" s="470"/>
      <c r="I387" s="471"/>
      <c r="J387" s="273"/>
      <c r="K387" s="273"/>
      <c r="L387" s="469">
        <f>L385+M385+N385</f>
        <v>3042</v>
      </c>
      <c r="M387" s="470"/>
      <c r="N387" s="471"/>
      <c r="O387" s="114"/>
      <c r="P387" s="286"/>
      <c r="Q387" s="469">
        <f>Q385+R385+S385</f>
        <v>6189</v>
      </c>
      <c r="R387" s="470"/>
      <c r="S387" s="471"/>
      <c r="T387" s="114"/>
      <c r="U387" s="114"/>
      <c r="V387" s="114"/>
      <c r="W387" s="114"/>
      <c r="X387" s="114"/>
      <c r="Y387" s="114"/>
      <c r="Z387" s="114"/>
      <c r="AA387" s="261"/>
      <c r="AB387" s="286"/>
      <c r="AC387" s="287"/>
      <c r="AD387" s="263"/>
      <c r="AE387" s="263"/>
      <c r="AF387" s="263"/>
      <c r="AG387" s="263"/>
      <c r="AH387" s="479"/>
      <c r="AI387" s="479"/>
      <c r="AJ387" s="479"/>
      <c r="AK387" s="479"/>
    </row>
    <row r="388" spans="1:37" ht="36" customHeight="1" x14ac:dyDescent="0.4">
      <c r="A388" s="477"/>
      <c r="B388" s="297" t="s">
        <v>262</v>
      </c>
      <c r="C388" s="472">
        <f>C386/C387</f>
        <v>0.94031008054573828</v>
      </c>
      <c r="D388" s="473"/>
      <c r="E388" s="473"/>
      <c r="F388" s="474"/>
      <c r="G388" s="472">
        <f>G386/G387</f>
        <v>1.663549542379626</v>
      </c>
      <c r="H388" s="473"/>
      <c r="I388" s="474"/>
      <c r="J388" s="276"/>
      <c r="K388" s="276"/>
      <c r="L388" s="472">
        <f>L386/L387</f>
        <v>0.86736801446416834</v>
      </c>
      <c r="M388" s="473"/>
      <c r="N388" s="474"/>
      <c r="O388" s="280">
        <f>(O383+O384)/O385</f>
        <v>1</v>
      </c>
      <c r="P388" s="290">
        <f>(P383+P384)/P385</f>
        <v>0.98244357986235087</v>
      </c>
      <c r="Q388" s="472">
        <f>Q386/Q387</f>
        <v>0.94388107933430287</v>
      </c>
      <c r="R388" s="473"/>
      <c r="S388" s="474"/>
      <c r="T388" s="280">
        <f t="shared" ref="T388:Z388" si="65">(T383+T384)/T385</f>
        <v>0.91444235588972433</v>
      </c>
      <c r="U388" s="280">
        <f t="shared" si="65"/>
        <v>2.1952296819787986</v>
      </c>
      <c r="V388" s="280">
        <f t="shared" si="65"/>
        <v>0.93015133876600697</v>
      </c>
      <c r="W388" s="280">
        <f t="shared" si="65"/>
        <v>0.96917808219178081</v>
      </c>
      <c r="X388" s="280">
        <f t="shared" si="65"/>
        <v>0.93939393939393945</v>
      </c>
      <c r="Y388" s="280">
        <f t="shared" si="65"/>
        <v>0.99603174603174605</v>
      </c>
      <c r="Z388" s="280">
        <f t="shared" si="65"/>
        <v>0.87804878048780488</v>
      </c>
      <c r="AA388" s="265"/>
      <c r="AB388" s="290">
        <f>(AB383+AB384)/AB385</f>
        <v>1.0445738332058148</v>
      </c>
      <c r="AC388" s="291">
        <f>(AC383+AC384)/AC385</f>
        <v>0.99105566809133427</v>
      </c>
      <c r="AD388" s="281">
        <f>AD383/$AG$173</f>
        <v>0.90476190476190477</v>
      </c>
      <c r="AE388" s="281">
        <f>AE383/$AG$173</f>
        <v>4.7619047619047616E-2</v>
      </c>
      <c r="AF388" s="281">
        <f>AF383/$AG$173</f>
        <v>4.7619047619047616E-2</v>
      </c>
      <c r="AG388" s="305">
        <f>AG383/$AG$173</f>
        <v>1</v>
      </c>
      <c r="AH388" s="480"/>
      <c r="AI388" s="480"/>
      <c r="AJ388" s="480"/>
      <c r="AK388" s="480"/>
    </row>
    <row r="389" spans="1:37" ht="36" customHeight="1" x14ac:dyDescent="0.4">
      <c r="A389" s="477" t="s">
        <v>321</v>
      </c>
      <c r="B389" s="292" t="s">
        <v>269</v>
      </c>
      <c r="C389" s="258">
        <v>8560</v>
      </c>
      <c r="D389" s="258">
        <v>36118</v>
      </c>
      <c r="E389" s="258">
        <v>4054</v>
      </c>
      <c r="F389" s="258">
        <v>19849</v>
      </c>
      <c r="G389" s="258">
        <v>1650</v>
      </c>
      <c r="H389" s="258">
        <v>4259</v>
      </c>
      <c r="I389" s="258">
        <v>2452</v>
      </c>
      <c r="J389" s="258"/>
      <c r="K389" s="258"/>
      <c r="L389" s="258">
        <v>30</v>
      </c>
      <c r="M389" s="258">
        <v>441</v>
      </c>
      <c r="N389" s="258">
        <v>2200</v>
      </c>
      <c r="O389" s="258">
        <v>151</v>
      </c>
      <c r="P389" s="286">
        <f>SUM(C389:O389)</f>
        <v>79764</v>
      </c>
      <c r="Q389" s="258">
        <v>1264</v>
      </c>
      <c r="R389" s="258">
        <v>2494</v>
      </c>
      <c r="S389" s="258">
        <v>2003</v>
      </c>
      <c r="T389" s="258">
        <v>2861</v>
      </c>
      <c r="U389" s="258">
        <v>2525</v>
      </c>
      <c r="V389" s="258">
        <v>798</v>
      </c>
      <c r="W389" s="258">
        <v>289</v>
      </c>
      <c r="X389" s="258">
        <v>776</v>
      </c>
      <c r="Y389" s="67">
        <v>250</v>
      </c>
      <c r="Z389" s="67">
        <v>146</v>
      </c>
      <c r="AA389" s="261"/>
      <c r="AB389" s="286">
        <f>SUM(Q389:AA389)</f>
        <v>13406</v>
      </c>
      <c r="AC389" s="287">
        <f>P389+AB389</f>
        <v>93170</v>
      </c>
      <c r="AD389" s="278">
        <v>20</v>
      </c>
      <c r="AE389" s="278">
        <v>0</v>
      </c>
      <c r="AF389" s="278">
        <v>1</v>
      </c>
      <c r="AG389" s="279">
        <f>SUM(AD389:AF389)</f>
        <v>21</v>
      </c>
      <c r="AH389" s="478">
        <v>1920</v>
      </c>
      <c r="AI389" s="478">
        <v>2485</v>
      </c>
      <c r="AJ389" s="478">
        <v>814</v>
      </c>
      <c r="AK389" s="478">
        <f>SUM(AH389:AJ394)</f>
        <v>5219</v>
      </c>
    </row>
    <row r="390" spans="1:37" ht="36" customHeight="1" x14ac:dyDescent="0.4">
      <c r="A390" s="477"/>
      <c r="B390" s="304" t="s">
        <v>265</v>
      </c>
      <c r="C390" s="258">
        <v>38.519999999999996</v>
      </c>
      <c r="D390" s="258">
        <v>162.53099999999998</v>
      </c>
      <c r="E390" s="258">
        <v>18.242999999999999</v>
      </c>
      <c r="F390" s="258">
        <v>89.320499999999996</v>
      </c>
      <c r="G390" s="258">
        <v>0</v>
      </c>
      <c r="H390" s="258">
        <v>0</v>
      </c>
      <c r="I390" s="258">
        <v>0</v>
      </c>
      <c r="J390" s="258"/>
      <c r="K390" s="258"/>
      <c r="L390" s="258">
        <v>34</v>
      </c>
      <c r="M390" s="258">
        <v>1.9844999999999999</v>
      </c>
      <c r="N390" s="258">
        <v>9.8999999999999986</v>
      </c>
      <c r="O390" s="258">
        <v>0</v>
      </c>
      <c r="P390" s="286">
        <f>SUM(C390:O390)</f>
        <v>354.49899999999997</v>
      </c>
      <c r="Q390" s="258">
        <v>33.64</v>
      </c>
      <c r="R390" s="258">
        <v>0</v>
      </c>
      <c r="S390" s="258">
        <v>0</v>
      </c>
      <c r="T390" s="258">
        <v>28.61</v>
      </c>
      <c r="U390" s="258">
        <v>0</v>
      </c>
      <c r="V390" s="258">
        <v>0</v>
      </c>
      <c r="W390" s="258">
        <v>0</v>
      </c>
      <c r="X390" s="258">
        <v>155.20000000000002</v>
      </c>
      <c r="Y390" s="258">
        <v>0</v>
      </c>
      <c r="Z390" s="258">
        <v>0</v>
      </c>
      <c r="AA390" s="261"/>
      <c r="AB390" s="286">
        <f>SUM(Q390:AA390)</f>
        <v>217.45000000000002</v>
      </c>
      <c r="AC390" s="287">
        <f>P390+AB390</f>
        <v>571.94899999999996</v>
      </c>
      <c r="AD390" s="278"/>
      <c r="AE390" s="278"/>
      <c r="AF390" s="278"/>
      <c r="AG390" s="279"/>
      <c r="AH390" s="479"/>
      <c r="AI390" s="479"/>
      <c r="AJ390" s="479"/>
      <c r="AK390" s="479"/>
    </row>
    <row r="391" spans="1:37" ht="36" customHeight="1" x14ac:dyDescent="0.4">
      <c r="A391" s="477"/>
      <c r="B391" s="304" t="s">
        <v>284</v>
      </c>
      <c r="C391" s="114">
        <v>9252</v>
      </c>
      <c r="D391" s="114">
        <v>37456</v>
      </c>
      <c r="E391" s="114">
        <v>4675</v>
      </c>
      <c r="F391" s="114">
        <v>21619</v>
      </c>
      <c r="G391" s="114">
        <v>1710</v>
      </c>
      <c r="H391" s="114">
        <v>763</v>
      </c>
      <c r="I391" s="114">
        <v>2553</v>
      </c>
      <c r="J391" s="114"/>
      <c r="K391" s="114"/>
      <c r="L391" s="114">
        <v>102</v>
      </c>
      <c r="M391" s="114">
        <v>470</v>
      </c>
      <c r="N391" s="114">
        <v>2470</v>
      </c>
      <c r="O391" s="114">
        <v>151</v>
      </c>
      <c r="P391" s="286">
        <f>SUM(C391:O391)</f>
        <v>81221</v>
      </c>
      <c r="Q391" s="114">
        <v>1403</v>
      </c>
      <c r="R391" s="114">
        <v>2766</v>
      </c>
      <c r="S391" s="114">
        <v>2020</v>
      </c>
      <c r="T391" s="114">
        <v>3192</v>
      </c>
      <c r="U391" s="114">
        <v>1132</v>
      </c>
      <c r="V391" s="114">
        <v>859</v>
      </c>
      <c r="W391" s="114">
        <v>292</v>
      </c>
      <c r="X391" s="114">
        <v>990</v>
      </c>
      <c r="Y391" s="114">
        <v>252</v>
      </c>
      <c r="Z391" s="114">
        <v>164</v>
      </c>
      <c r="AA391" s="261"/>
      <c r="AB391" s="286">
        <f>SUM(Q391:AA391)</f>
        <v>13070</v>
      </c>
      <c r="AC391" s="287">
        <f>P391+AB391</f>
        <v>94291</v>
      </c>
      <c r="AD391" s="263"/>
      <c r="AE391" s="263"/>
      <c r="AF391" s="263"/>
      <c r="AG391" s="263"/>
      <c r="AH391" s="479"/>
      <c r="AI391" s="479"/>
      <c r="AJ391" s="479"/>
      <c r="AK391" s="479"/>
    </row>
    <row r="392" spans="1:37" ht="36" customHeight="1" x14ac:dyDescent="0.4">
      <c r="A392" s="477"/>
      <c r="B392" s="304" t="s">
        <v>285</v>
      </c>
      <c r="C392" s="469">
        <f>C389+D389+E389+F389+C390+D390+E390+F390</f>
        <v>68889.614500000011</v>
      </c>
      <c r="D392" s="470"/>
      <c r="E392" s="470"/>
      <c r="F392" s="471"/>
      <c r="G392" s="469">
        <f>G389+H389+I389+G390+H390+I390</f>
        <v>8361</v>
      </c>
      <c r="H392" s="470"/>
      <c r="I392" s="471"/>
      <c r="J392" s="273"/>
      <c r="K392" s="273"/>
      <c r="L392" s="469">
        <f>L389+M389+N389+L390+M390+N390</f>
        <v>2716.8845000000001</v>
      </c>
      <c r="M392" s="470"/>
      <c r="N392" s="471"/>
      <c r="O392" s="114"/>
      <c r="P392" s="286"/>
      <c r="Q392" s="469">
        <f>Q389+R389+S389+Q390+R390+S390</f>
        <v>5794.64</v>
      </c>
      <c r="R392" s="470"/>
      <c r="S392" s="471"/>
      <c r="T392" s="114"/>
      <c r="U392" s="114"/>
      <c r="V392" s="114"/>
      <c r="W392" s="114"/>
      <c r="X392" s="114"/>
      <c r="Y392" s="114"/>
      <c r="Z392" s="114"/>
      <c r="AA392" s="261"/>
      <c r="AB392" s="286"/>
      <c r="AC392" s="287"/>
      <c r="AD392" s="263"/>
      <c r="AE392" s="263"/>
      <c r="AF392" s="263"/>
      <c r="AG392" s="263"/>
      <c r="AH392" s="479"/>
      <c r="AI392" s="479"/>
      <c r="AJ392" s="479"/>
      <c r="AK392" s="479"/>
    </row>
    <row r="393" spans="1:37" ht="36" customHeight="1" x14ac:dyDescent="0.4">
      <c r="A393" s="477"/>
      <c r="B393" s="304" t="s">
        <v>247</v>
      </c>
      <c r="C393" s="469">
        <f>C391+D391+E391+F391</f>
        <v>73002</v>
      </c>
      <c r="D393" s="470"/>
      <c r="E393" s="470"/>
      <c r="F393" s="471"/>
      <c r="G393" s="469">
        <f>G391+H391+I391</f>
        <v>5026</v>
      </c>
      <c r="H393" s="470"/>
      <c r="I393" s="471"/>
      <c r="J393" s="273"/>
      <c r="K393" s="273"/>
      <c r="L393" s="469">
        <f>L391+M391+N391</f>
        <v>3042</v>
      </c>
      <c r="M393" s="470"/>
      <c r="N393" s="471"/>
      <c r="O393" s="114"/>
      <c r="P393" s="286"/>
      <c r="Q393" s="469">
        <f>Q391+R391+S391</f>
        <v>6189</v>
      </c>
      <c r="R393" s="470"/>
      <c r="S393" s="471"/>
      <c r="T393" s="114"/>
      <c r="U393" s="114"/>
      <c r="V393" s="114"/>
      <c r="W393" s="114"/>
      <c r="X393" s="114"/>
      <c r="Y393" s="114"/>
      <c r="Z393" s="114"/>
      <c r="AA393" s="261"/>
      <c r="AB393" s="286"/>
      <c r="AC393" s="287"/>
      <c r="AD393" s="263"/>
      <c r="AE393" s="263"/>
      <c r="AF393" s="263"/>
      <c r="AG393" s="263"/>
      <c r="AH393" s="479"/>
      <c r="AI393" s="479"/>
      <c r="AJ393" s="479"/>
      <c r="AK393" s="479"/>
    </row>
    <row r="394" spans="1:37" ht="36" customHeight="1" x14ac:dyDescent="0.4">
      <c r="A394" s="477"/>
      <c r="B394" s="297" t="s">
        <v>262</v>
      </c>
      <c r="C394" s="472">
        <f>C392/C393</f>
        <v>0.94366749541108474</v>
      </c>
      <c r="D394" s="473"/>
      <c r="E394" s="473"/>
      <c r="F394" s="474"/>
      <c r="G394" s="472">
        <f>G392/G393</f>
        <v>1.663549542379626</v>
      </c>
      <c r="H394" s="473"/>
      <c r="I394" s="474"/>
      <c r="J394" s="276"/>
      <c r="K394" s="276"/>
      <c r="L394" s="472">
        <f>L392/L393</f>
        <v>0.89312442472057862</v>
      </c>
      <c r="M394" s="473"/>
      <c r="N394" s="474"/>
      <c r="O394" s="280">
        <f>(O389+O390)/O391</f>
        <v>1</v>
      </c>
      <c r="P394" s="290">
        <f>(P389+P390)/P391</f>
        <v>0.98642591201782781</v>
      </c>
      <c r="Q394" s="472">
        <f>Q392/Q393</f>
        <v>0.93628049765713373</v>
      </c>
      <c r="R394" s="473"/>
      <c r="S394" s="474"/>
      <c r="T394" s="280">
        <f t="shared" ref="T394:Z394" si="66">(T389+T390)/T391</f>
        <v>0.90526629072681708</v>
      </c>
      <c r="U394" s="280">
        <f t="shared" si="66"/>
        <v>2.2305653710247348</v>
      </c>
      <c r="V394" s="280">
        <f t="shared" si="66"/>
        <v>0.92898719441210709</v>
      </c>
      <c r="W394" s="280">
        <f t="shared" si="66"/>
        <v>0.98972602739726023</v>
      </c>
      <c r="X394" s="280">
        <f t="shared" si="66"/>
        <v>0.94060606060606067</v>
      </c>
      <c r="Y394" s="280">
        <f t="shared" si="66"/>
        <v>0.99206349206349209</v>
      </c>
      <c r="Z394" s="280">
        <f t="shared" si="66"/>
        <v>0.8902439024390244</v>
      </c>
      <c r="AA394" s="265"/>
      <c r="AB394" s="290">
        <f>(AB389+AB390)/AB391</f>
        <v>1.0423450650344301</v>
      </c>
      <c r="AC394" s="291">
        <f>(AC389+AC390)/AC391</f>
        <v>0.99417705825582503</v>
      </c>
      <c r="AD394" s="281">
        <f>AD389/$AG$173</f>
        <v>0.95238095238095233</v>
      </c>
      <c r="AE394" s="281">
        <f>AE389/$AG$173</f>
        <v>0</v>
      </c>
      <c r="AF394" s="281">
        <f>AF389/$AG$173</f>
        <v>4.7619047619047616E-2</v>
      </c>
      <c r="AG394" s="305">
        <f>AG389/$AG$173</f>
        <v>1</v>
      </c>
      <c r="AH394" s="480"/>
      <c r="AI394" s="480"/>
      <c r="AJ394" s="480"/>
      <c r="AK394" s="480"/>
    </row>
    <row r="395" spans="1:37" ht="36" customHeight="1" x14ac:dyDescent="0.4">
      <c r="A395" s="477" t="s">
        <v>322</v>
      </c>
      <c r="B395" s="292" t="s">
        <v>269</v>
      </c>
      <c r="C395" s="258">
        <v>8550</v>
      </c>
      <c r="D395" s="258">
        <v>36164</v>
      </c>
      <c r="E395" s="258">
        <v>3926</v>
      </c>
      <c r="F395" s="258">
        <v>19880</v>
      </c>
      <c r="G395" s="258">
        <v>1649</v>
      </c>
      <c r="H395" s="258">
        <v>4458</v>
      </c>
      <c r="I395" s="258">
        <v>2462</v>
      </c>
      <c r="J395" s="258"/>
      <c r="K395" s="258"/>
      <c r="L395" s="258">
        <v>33</v>
      </c>
      <c r="M395" s="258">
        <v>437</v>
      </c>
      <c r="N395" s="258">
        <v>2194</v>
      </c>
      <c r="O395" s="258">
        <v>151</v>
      </c>
      <c r="P395" s="286">
        <f>SUM(C395:O395)</f>
        <v>79904</v>
      </c>
      <c r="Q395" s="258">
        <v>1264</v>
      </c>
      <c r="R395" s="258">
        <v>2466</v>
      </c>
      <c r="S395" s="258">
        <v>2000</v>
      </c>
      <c r="T395" s="258">
        <v>2899</v>
      </c>
      <c r="U395" s="258">
        <v>2544</v>
      </c>
      <c r="V395" s="258">
        <v>793</v>
      </c>
      <c r="W395" s="258">
        <v>290</v>
      </c>
      <c r="X395" s="258">
        <v>740</v>
      </c>
      <c r="Y395" s="67">
        <v>209</v>
      </c>
      <c r="Z395" s="67">
        <v>146</v>
      </c>
      <c r="AA395" s="261"/>
      <c r="AB395" s="286">
        <f>SUM(Q395:AA395)</f>
        <v>13351</v>
      </c>
      <c r="AC395" s="287">
        <f>P395+AB395</f>
        <v>93255</v>
      </c>
      <c r="AD395" s="278">
        <v>18</v>
      </c>
      <c r="AE395" s="278">
        <v>2</v>
      </c>
      <c r="AF395" s="278">
        <v>1</v>
      </c>
      <c r="AG395" s="279">
        <f>SUM(AD395:AF395)</f>
        <v>21</v>
      </c>
      <c r="AH395" s="478">
        <v>2536</v>
      </c>
      <c r="AI395" s="478">
        <v>2849</v>
      </c>
      <c r="AJ395" s="478">
        <v>595</v>
      </c>
      <c r="AK395" s="478">
        <f>SUM(AH395:AJ400)</f>
        <v>5980</v>
      </c>
    </row>
    <row r="396" spans="1:37" ht="36" customHeight="1" x14ac:dyDescent="0.4">
      <c r="A396" s="477"/>
      <c r="B396" s="304" t="s">
        <v>265</v>
      </c>
      <c r="C396" s="258">
        <v>38.474999999999994</v>
      </c>
      <c r="D396" s="258">
        <v>162.738</v>
      </c>
      <c r="E396" s="258">
        <v>17.666999999999998</v>
      </c>
      <c r="F396" s="258">
        <v>89.46</v>
      </c>
      <c r="G396" s="258">
        <v>0</v>
      </c>
      <c r="H396" s="258">
        <v>0</v>
      </c>
      <c r="I396" s="258">
        <v>0</v>
      </c>
      <c r="J396" s="258"/>
      <c r="K396" s="258"/>
      <c r="L396" s="258">
        <v>37</v>
      </c>
      <c r="M396" s="258">
        <v>1.9664999999999999</v>
      </c>
      <c r="N396" s="258">
        <v>9.8729999999999993</v>
      </c>
      <c r="O396" s="258">
        <v>0</v>
      </c>
      <c r="P396" s="286">
        <f>SUM(C396:O396)</f>
        <v>357.17949999999996</v>
      </c>
      <c r="Q396" s="258">
        <v>33.64</v>
      </c>
      <c r="R396" s="258">
        <v>0</v>
      </c>
      <c r="S396" s="258">
        <v>0</v>
      </c>
      <c r="T396" s="258">
        <v>28.990000000000002</v>
      </c>
      <c r="U396" s="258">
        <v>0</v>
      </c>
      <c r="V396" s="258">
        <v>0</v>
      </c>
      <c r="W396" s="258">
        <v>0</v>
      </c>
      <c r="X396" s="258">
        <v>148</v>
      </c>
      <c r="Y396" s="258">
        <v>0</v>
      </c>
      <c r="Z396" s="258">
        <v>0</v>
      </c>
      <c r="AA396" s="261"/>
      <c r="AB396" s="286">
        <f>SUM(Q396:AA396)</f>
        <v>210.63</v>
      </c>
      <c r="AC396" s="287">
        <f>P396+AB396</f>
        <v>567.80949999999996</v>
      </c>
      <c r="AD396" s="278"/>
      <c r="AE396" s="278"/>
      <c r="AF396" s="278"/>
      <c r="AG396" s="279"/>
      <c r="AH396" s="479"/>
      <c r="AI396" s="479"/>
      <c r="AJ396" s="479"/>
      <c r="AK396" s="479"/>
    </row>
    <row r="397" spans="1:37" ht="36" customHeight="1" x14ac:dyDescent="0.4">
      <c r="A397" s="477"/>
      <c r="B397" s="304" t="s">
        <v>284</v>
      </c>
      <c r="C397" s="114">
        <v>9252</v>
      </c>
      <c r="D397" s="114">
        <v>37456</v>
      </c>
      <c r="E397" s="114">
        <v>4675</v>
      </c>
      <c r="F397" s="114">
        <v>21619</v>
      </c>
      <c r="G397" s="114">
        <v>1710</v>
      </c>
      <c r="H397" s="114">
        <v>763</v>
      </c>
      <c r="I397" s="114">
        <v>2553</v>
      </c>
      <c r="J397" s="114"/>
      <c r="K397" s="114"/>
      <c r="L397" s="114">
        <v>102</v>
      </c>
      <c r="M397" s="114">
        <v>470</v>
      </c>
      <c r="N397" s="114">
        <v>2470</v>
      </c>
      <c r="O397" s="114">
        <v>151</v>
      </c>
      <c r="P397" s="286">
        <f>SUM(C397:O397)</f>
        <v>81221</v>
      </c>
      <c r="Q397" s="114">
        <v>1403</v>
      </c>
      <c r="R397" s="114">
        <v>2766</v>
      </c>
      <c r="S397" s="114">
        <v>2020</v>
      </c>
      <c r="T397" s="114">
        <v>3192</v>
      </c>
      <c r="U397" s="114">
        <v>1132</v>
      </c>
      <c r="V397" s="114">
        <v>859</v>
      </c>
      <c r="W397" s="114">
        <v>292</v>
      </c>
      <c r="X397" s="114">
        <v>990</v>
      </c>
      <c r="Y397" s="114">
        <v>252</v>
      </c>
      <c r="Z397" s="114">
        <v>164</v>
      </c>
      <c r="AA397" s="261"/>
      <c r="AB397" s="286">
        <f>SUM(Q397:AA397)</f>
        <v>13070</v>
      </c>
      <c r="AC397" s="287">
        <f>P397+AB397</f>
        <v>94291</v>
      </c>
      <c r="AD397" s="263"/>
      <c r="AE397" s="263"/>
      <c r="AF397" s="263"/>
      <c r="AG397" s="263"/>
      <c r="AH397" s="479"/>
      <c r="AI397" s="479"/>
      <c r="AJ397" s="479"/>
      <c r="AK397" s="479"/>
    </row>
    <row r="398" spans="1:37" ht="36" customHeight="1" x14ac:dyDescent="0.4">
      <c r="A398" s="477"/>
      <c r="B398" s="304" t="s">
        <v>285</v>
      </c>
      <c r="C398" s="469">
        <f>C395+D395+E395+F395+C396+D396+E396+F396</f>
        <v>68828.340000000011</v>
      </c>
      <c r="D398" s="470"/>
      <c r="E398" s="470"/>
      <c r="F398" s="471"/>
      <c r="G398" s="469">
        <f>G395+H395+I395+G396+H396+I396</f>
        <v>8569</v>
      </c>
      <c r="H398" s="470"/>
      <c r="I398" s="471"/>
      <c r="J398" s="273"/>
      <c r="K398" s="273"/>
      <c r="L398" s="469">
        <f>L395+M395+N395+L396+M396+N396</f>
        <v>2712.8395</v>
      </c>
      <c r="M398" s="470"/>
      <c r="N398" s="471"/>
      <c r="O398" s="114"/>
      <c r="P398" s="286"/>
      <c r="Q398" s="469">
        <f>Q395+R395+S395+Q396+R396+S396</f>
        <v>5763.64</v>
      </c>
      <c r="R398" s="470"/>
      <c r="S398" s="471"/>
      <c r="T398" s="114"/>
      <c r="U398" s="114"/>
      <c r="V398" s="114"/>
      <c r="W398" s="114"/>
      <c r="X398" s="114"/>
      <c r="Y398" s="114"/>
      <c r="Z398" s="114"/>
      <c r="AA398" s="261"/>
      <c r="AB398" s="286"/>
      <c r="AC398" s="287"/>
      <c r="AD398" s="263"/>
      <c r="AE398" s="263"/>
      <c r="AF398" s="263"/>
      <c r="AG398" s="263"/>
      <c r="AH398" s="479"/>
      <c r="AI398" s="479"/>
      <c r="AJ398" s="479"/>
      <c r="AK398" s="479"/>
    </row>
    <row r="399" spans="1:37" ht="36" customHeight="1" x14ac:dyDescent="0.4">
      <c r="A399" s="477"/>
      <c r="B399" s="304" t="s">
        <v>247</v>
      </c>
      <c r="C399" s="469">
        <f>C397+D397+E397+F397</f>
        <v>73002</v>
      </c>
      <c r="D399" s="470"/>
      <c r="E399" s="470"/>
      <c r="F399" s="471"/>
      <c r="G399" s="469">
        <f>G397+H397+I397</f>
        <v>5026</v>
      </c>
      <c r="H399" s="470"/>
      <c r="I399" s="471"/>
      <c r="J399" s="273"/>
      <c r="K399" s="273"/>
      <c r="L399" s="469">
        <f>L397+M397+N397</f>
        <v>3042</v>
      </c>
      <c r="M399" s="470"/>
      <c r="N399" s="471"/>
      <c r="O399" s="114"/>
      <c r="P399" s="286"/>
      <c r="Q399" s="469">
        <f>Q397+R397+S397</f>
        <v>6189</v>
      </c>
      <c r="R399" s="470"/>
      <c r="S399" s="471"/>
      <c r="T399" s="114"/>
      <c r="U399" s="114"/>
      <c r="V399" s="114"/>
      <c r="W399" s="114"/>
      <c r="X399" s="114"/>
      <c r="Y399" s="114"/>
      <c r="Z399" s="114"/>
      <c r="AA399" s="261"/>
      <c r="AB399" s="286"/>
      <c r="AC399" s="287"/>
      <c r="AD399" s="263"/>
      <c r="AE399" s="263"/>
      <c r="AF399" s="263"/>
      <c r="AG399" s="263"/>
      <c r="AH399" s="479"/>
      <c r="AI399" s="479"/>
      <c r="AJ399" s="479"/>
      <c r="AK399" s="479"/>
    </row>
    <row r="400" spans="1:37" ht="36" customHeight="1" x14ac:dyDescent="0.4">
      <c r="A400" s="477"/>
      <c r="B400" s="297" t="s">
        <v>262</v>
      </c>
      <c r="C400" s="472">
        <f>C398/C399</f>
        <v>0.94282814169474827</v>
      </c>
      <c r="D400" s="473"/>
      <c r="E400" s="473"/>
      <c r="F400" s="474"/>
      <c r="G400" s="472">
        <f>G398/G399</f>
        <v>1.7049343414245921</v>
      </c>
      <c r="H400" s="473"/>
      <c r="I400" s="474"/>
      <c r="J400" s="276"/>
      <c r="K400" s="276"/>
      <c r="L400" s="472">
        <f>L398/L399</f>
        <v>0.89179470742932287</v>
      </c>
      <c r="M400" s="473"/>
      <c r="N400" s="474"/>
      <c r="O400" s="280">
        <f>(O395+O396)/O397</f>
        <v>1</v>
      </c>
      <c r="P400" s="290">
        <f>(P395+P396)/P397</f>
        <v>0.98818260671501212</v>
      </c>
      <c r="Q400" s="472">
        <f>Q398/Q399</f>
        <v>0.93127161092260469</v>
      </c>
      <c r="R400" s="473"/>
      <c r="S400" s="474"/>
      <c r="T400" s="280">
        <f t="shared" ref="T400:Z400" si="67">(T395+T396)/T397</f>
        <v>0.91729010025062652</v>
      </c>
      <c r="U400" s="280">
        <f t="shared" si="67"/>
        <v>2.2473498233215548</v>
      </c>
      <c r="V400" s="280">
        <f t="shared" si="67"/>
        <v>0.92316647264260765</v>
      </c>
      <c r="W400" s="280">
        <f t="shared" si="67"/>
        <v>0.99315068493150682</v>
      </c>
      <c r="X400" s="280">
        <f t="shared" si="67"/>
        <v>0.89696969696969697</v>
      </c>
      <c r="Y400" s="280">
        <f t="shared" si="67"/>
        <v>0.82936507936507942</v>
      </c>
      <c r="Z400" s="280">
        <f t="shared" si="67"/>
        <v>0.8902439024390244</v>
      </c>
      <c r="AA400" s="265"/>
      <c r="AB400" s="290">
        <f>(AB395+AB396)/AB397</f>
        <v>1.0376151491966334</v>
      </c>
      <c r="AC400" s="291">
        <f>(AC395+AC396)/AC397</f>
        <v>0.99503462154394373</v>
      </c>
      <c r="AD400" s="281">
        <f>AD395/$AG$173</f>
        <v>0.8571428571428571</v>
      </c>
      <c r="AE400" s="281">
        <f>AE395/$AG$173</f>
        <v>9.5238095238095233E-2</v>
      </c>
      <c r="AF400" s="281">
        <f>AF395/$AG$173</f>
        <v>4.7619047619047616E-2</v>
      </c>
      <c r="AG400" s="305">
        <f>AG395/$AG$173</f>
        <v>1</v>
      </c>
      <c r="AH400" s="480"/>
      <c r="AI400" s="480"/>
      <c r="AJ400" s="480"/>
      <c r="AK400" s="480"/>
    </row>
    <row r="401" spans="1:37" ht="36" customHeight="1" x14ac:dyDescent="0.4">
      <c r="A401" s="477" t="s">
        <v>323</v>
      </c>
      <c r="B401" s="292" t="s">
        <v>269</v>
      </c>
      <c r="C401" s="258">
        <v>8558</v>
      </c>
      <c r="D401" s="258">
        <v>36344</v>
      </c>
      <c r="E401" s="258">
        <v>3941</v>
      </c>
      <c r="F401" s="258">
        <v>19710</v>
      </c>
      <c r="G401" s="258">
        <v>1649</v>
      </c>
      <c r="H401" s="258">
        <v>4786</v>
      </c>
      <c r="I401" s="258">
        <v>2453</v>
      </c>
      <c r="J401" s="258"/>
      <c r="K401" s="258"/>
      <c r="L401" s="258">
        <v>36</v>
      </c>
      <c r="M401" s="258">
        <v>432</v>
      </c>
      <c r="N401" s="258">
        <v>2216</v>
      </c>
      <c r="O401" s="258">
        <v>151</v>
      </c>
      <c r="P401" s="286">
        <f>SUM(C401:O401)</f>
        <v>80276</v>
      </c>
      <c r="Q401" s="258">
        <v>1237</v>
      </c>
      <c r="R401" s="258">
        <v>2480</v>
      </c>
      <c r="S401" s="258">
        <v>2005</v>
      </c>
      <c r="T401" s="258">
        <v>2956</v>
      </c>
      <c r="U401" s="258">
        <v>2573</v>
      </c>
      <c r="V401" s="258">
        <v>800</v>
      </c>
      <c r="W401" s="258">
        <v>289</v>
      </c>
      <c r="X401" s="258">
        <v>743</v>
      </c>
      <c r="Y401" s="67">
        <v>215</v>
      </c>
      <c r="Z401" s="67">
        <v>148</v>
      </c>
      <c r="AA401" s="261"/>
      <c r="AB401" s="286">
        <f>SUM(Q401:AA401)</f>
        <v>13446</v>
      </c>
      <c r="AC401" s="287">
        <f>P401+AB401</f>
        <v>93722</v>
      </c>
      <c r="AD401" s="278">
        <v>18</v>
      </c>
      <c r="AE401" s="278">
        <v>2</v>
      </c>
      <c r="AF401" s="278">
        <v>1</v>
      </c>
      <c r="AG401" s="279">
        <f>SUM(AD401:AF401)</f>
        <v>21</v>
      </c>
      <c r="AH401" s="478">
        <v>1845</v>
      </c>
      <c r="AI401" s="478">
        <v>2355</v>
      </c>
      <c r="AJ401" s="478">
        <v>745</v>
      </c>
      <c r="AK401" s="478">
        <f>SUM(AH401:AJ406)</f>
        <v>4945</v>
      </c>
    </row>
    <row r="402" spans="1:37" ht="36" customHeight="1" x14ac:dyDescent="0.4">
      <c r="A402" s="477"/>
      <c r="B402" s="304" t="s">
        <v>265</v>
      </c>
      <c r="C402" s="258">
        <v>38.510999999999996</v>
      </c>
      <c r="D402" s="258">
        <v>163.548</v>
      </c>
      <c r="E402" s="258">
        <v>17.734499999999997</v>
      </c>
      <c r="F402" s="258">
        <v>88.694999999999993</v>
      </c>
      <c r="G402" s="258">
        <v>0</v>
      </c>
      <c r="H402" s="258">
        <v>0</v>
      </c>
      <c r="I402" s="258">
        <v>0</v>
      </c>
      <c r="J402" s="258"/>
      <c r="K402" s="258"/>
      <c r="L402" s="258">
        <v>32</v>
      </c>
      <c r="M402" s="258">
        <v>1.944</v>
      </c>
      <c r="N402" s="258">
        <v>9.9719999999999995</v>
      </c>
      <c r="O402" s="258">
        <v>0</v>
      </c>
      <c r="P402" s="286">
        <f>SUM(C402:O402)</f>
        <v>352.40449999999998</v>
      </c>
      <c r="Q402" s="258">
        <v>33.370000000000005</v>
      </c>
      <c r="R402" s="258">
        <v>0</v>
      </c>
      <c r="S402" s="258">
        <v>0</v>
      </c>
      <c r="T402" s="258">
        <v>29.560000000000002</v>
      </c>
      <c r="U402" s="258">
        <v>0</v>
      </c>
      <c r="V402" s="258">
        <v>0</v>
      </c>
      <c r="W402" s="258">
        <v>0</v>
      </c>
      <c r="X402" s="258">
        <v>148.6</v>
      </c>
      <c r="Y402" s="258">
        <v>0</v>
      </c>
      <c r="Z402" s="258">
        <v>0</v>
      </c>
      <c r="AA402" s="261"/>
      <c r="AB402" s="286">
        <f>SUM(Q402:AA402)</f>
        <v>211.53</v>
      </c>
      <c r="AC402" s="287">
        <f>P402+AB402</f>
        <v>563.93449999999996</v>
      </c>
      <c r="AD402" s="278"/>
      <c r="AE402" s="278"/>
      <c r="AF402" s="278"/>
      <c r="AG402" s="279"/>
      <c r="AH402" s="479"/>
      <c r="AI402" s="479"/>
      <c r="AJ402" s="479"/>
      <c r="AK402" s="479"/>
    </row>
    <row r="403" spans="1:37" ht="36" customHeight="1" x14ac:dyDescent="0.4">
      <c r="A403" s="477"/>
      <c r="B403" s="304" t="s">
        <v>284</v>
      </c>
      <c r="C403" s="114">
        <v>9252</v>
      </c>
      <c r="D403" s="114">
        <v>37456</v>
      </c>
      <c r="E403" s="114">
        <v>4675</v>
      </c>
      <c r="F403" s="114">
        <v>21619</v>
      </c>
      <c r="G403" s="114">
        <v>1710</v>
      </c>
      <c r="H403" s="114">
        <v>763</v>
      </c>
      <c r="I403" s="114">
        <v>2553</v>
      </c>
      <c r="J403" s="114"/>
      <c r="K403" s="114"/>
      <c r="L403" s="114">
        <v>102</v>
      </c>
      <c r="M403" s="114">
        <v>470</v>
      </c>
      <c r="N403" s="114">
        <v>2470</v>
      </c>
      <c r="O403" s="114">
        <v>151</v>
      </c>
      <c r="P403" s="286">
        <f>SUM(C403:O403)</f>
        <v>81221</v>
      </c>
      <c r="Q403" s="114">
        <v>1403</v>
      </c>
      <c r="R403" s="114">
        <v>2766</v>
      </c>
      <c r="S403" s="114">
        <v>2020</v>
      </c>
      <c r="T403" s="114">
        <v>3192</v>
      </c>
      <c r="U403" s="114">
        <v>1132</v>
      </c>
      <c r="V403" s="114">
        <v>859</v>
      </c>
      <c r="W403" s="114">
        <v>292</v>
      </c>
      <c r="X403" s="114">
        <v>990</v>
      </c>
      <c r="Y403" s="114">
        <v>252</v>
      </c>
      <c r="Z403" s="114">
        <v>164</v>
      </c>
      <c r="AA403" s="261"/>
      <c r="AB403" s="286">
        <f>SUM(Q403:AA403)</f>
        <v>13070</v>
      </c>
      <c r="AC403" s="287">
        <f>P403+AB403</f>
        <v>94291</v>
      </c>
      <c r="AD403" s="263"/>
      <c r="AE403" s="263"/>
      <c r="AF403" s="263"/>
      <c r="AG403" s="263"/>
      <c r="AH403" s="479"/>
      <c r="AI403" s="479"/>
      <c r="AJ403" s="479"/>
      <c r="AK403" s="479"/>
    </row>
    <row r="404" spans="1:37" ht="36" customHeight="1" x14ac:dyDescent="0.4">
      <c r="A404" s="477"/>
      <c r="B404" s="304" t="s">
        <v>285</v>
      </c>
      <c r="C404" s="469">
        <f>C401+D401+E401+F401+C402+D402+E402+F402</f>
        <v>68861.488500000007</v>
      </c>
      <c r="D404" s="470"/>
      <c r="E404" s="470"/>
      <c r="F404" s="471"/>
      <c r="G404" s="469">
        <f>G401+H401+I401+G402+H402+I402</f>
        <v>8888</v>
      </c>
      <c r="H404" s="470"/>
      <c r="I404" s="471"/>
      <c r="J404" s="273"/>
      <c r="K404" s="273"/>
      <c r="L404" s="469">
        <f>L401+M401+N401+L402+M402+N402</f>
        <v>2727.9160000000002</v>
      </c>
      <c r="M404" s="470"/>
      <c r="N404" s="471"/>
      <c r="O404" s="114"/>
      <c r="P404" s="286"/>
      <c r="Q404" s="469">
        <f>Q401+R401+S401+Q402+R402+S402</f>
        <v>5755.37</v>
      </c>
      <c r="R404" s="470"/>
      <c r="S404" s="471"/>
      <c r="T404" s="114"/>
      <c r="U404" s="114"/>
      <c r="V404" s="114"/>
      <c r="W404" s="114"/>
      <c r="X404" s="114"/>
      <c r="Y404" s="114"/>
      <c r="Z404" s="114"/>
      <c r="AA404" s="261"/>
      <c r="AB404" s="286"/>
      <c r="AC404" s="287"/>
      <c r="AD404" s="263"/>
      <c r="AE404" s="263"/>
      <c r="AF404" s="263"/>
      <c r="AG404" s="263"/>
      <c r="AH404" s="479"/>
      <c r="AI404" s="479"/>
      <c r="AJ404" s="479"/>
      <c r="AK404" s="479"/>
    </row>
    <row r="405" spans="1:37" ht="36" customHeight="1" x14ac:dyDescent="0.4">
      <c r="A405" s="477"/>
      <c r="B405" s="304" t="s">
        <v>247</v>
      </c>
      <c r="C405" s="469">
        <f>C403+D403+E403+F403</f>
        <v>73002</v>
      </c>
      <c r="D405" s="470"/>
      <c r="E405" s="470"/>
      <c r="F405" s="471"/>
      <c r="G405" s="469">
        <f>G403+H403+I403</f>
        <v>5026</v>
      </c>
      <c r="H405" s="470"/>
      <c r="I405" s="471"/>
      <c r="J405" s="273"/>
      <c r="K405" s="273"/>
      <c r="L405" s="469">
        <f>L403+M403+N403</f>
        <v>3042</v>
      </c>
      <c r="M405" s="470"/>
      <c r="N405" s="471"/>
      <c r="O405" s="114"/>
      <c r="P405" s="286"/>
      <c r="Q405" s="469">
        <f>Q403+R403+S403</f>
        <v>6189</v>
      </c>
      <c r="R405" s="470"/>
      <c r="S405" s="471"/>
      <c r="T405" s="114"/>
      <c r="U405" s="114"/>
      <c r="V405" s="114"/>
      <c r="W405" s="114"/>
      <c r="X405" s="114"/>
      <c r="Y405" s="114"/>
      <c r="Z405" s="114"/>
      <c r="AA405" s="261"/>
      <c r="AB405" s="286"/>
      <c r="AC405" s="287"/>
      <c r="AD405" s="263"/>
      <c r="AE405" s="263"/>
      <c r="AF405" s="263"/>
      <c r="AG405" s="263"/>
      <c r="AH405" s="479"/>
      <c r="AI405" s="479"/>
      <c r="AJ405" s="479"/>
      <c r="AK405" s="479"/>
    </row>
    <row r="406" spans="1:37" ht="36" customHeight="1" x14ac:dyDescent="0.4">
      <c r="A406" s="477"/>
      <c r="B406" s="297" t="s">
        <v>262</v>
      </c>
      <c r="C406" s="472">
        <f>C404/C405</f>
        <v>0.94328221829538927</v>
      </c>
      <c r="D406" s="473"/>
      <c r="E406" s="473"/>
      <c r="F406" s="474"/>
      <c r="G406" s="472">
        <f>G404/G405</f>
        <v>1.7684042976522085</v>
      </c>
      <c r="H406" s="473"/>
      <c r="I406" s="474"/>
      <c r="J406" s="276"/>
      <c r="K406" s="276"/>
      <c r="L406" s="472">
        <f>L404/L405</f>
        <v>0.89675082182774501</v>
      </c>
      <c r="M406" s="473"/>
      <c r="N406" s="474"/>
      <c r="O406" s="280">
        <f>(O401+O402)/O403</f>
        <v>1</v>
      </c>
      <c r="P406" s="290">
        <f>(P401+P402)/P403</f>
        <v>0.99270391278117731</v>
      </c>
      <c r="Q406" s="472">
        <f>Q404/Q405</f>
        <v>0.92993536920342545</v>
      </c>
      <c r="R406" s="473"/>
      <c r="S406" s="474"/>
      <c r="T406" s="280">
        <f t="shared" ref="T406:Z406" si="68">(T401+T402)/T403</f>
        <v>0.93532581453634078</v>
      </c>
      <c r="U406" s="280">
        <f t="shared" si="68"/>
        <v>2.2729681978798588</v>
      </c>
      <c r="V406" s="280">
        <f t="shared" si="68"/>
        <v>0.93131548311990686</v>
      </c>
      <c r="W406" s="280">
        <f t="shared" si="68"/>
        <v>0.98972602739726023</v>
      </c>
      <c r="X406" s="280">
        <f t="shared" si="68"/>
        <v>0.90060606060606063</v>
      </c>
      <c r="Y406" s="280">
        <f t="shared" si="68"/>
        <v>0.85317460317460314</v>
      </c>
      <c r="Z406" s="280">
        <f t="shared" si="68"/>
        <v>0.90243902439024393</v>
      </c>
      <c r="AA406" s="265"/>
      <c r="AB406" s="290">
        <f>(AB401+AB402)/AB403</f>
        <v>1.0449525631216527</v>
      </c>
      <c r="AC406" s="291">
        <f>(AC401+AC402)/AC403</f>
        <v>0.99994627801168723</v>
      </c>
      <c r="AD406" s="281">
        <f>AD401/$AG$173</f>
        <v>0.8571428571428571</v>
      </c>
      <c r="AE406" s="281">
        <f>AE401/$AG$173</f>
        <v>9.5238095238095233E-2</v>
      </c>
      <c r="AF406" s="281">
        <f>AF401/$AG$173</f>
        <v>4.7619047619047616E-2</v>
      </c>
      <c r="AG406" s="305">
        <f>AG401/$AG$173</f>
        <v>1</v>
      </c>
      <c r="AH406" s="480"/>
      <c r="AI406" s="480"/>
      <c r="AJ406" s="480"/>
      <c r="AK406" s="480"/>
    </row>
    <row r="407" spans="1:37" ht="36" customHeight="1" x14ac:dyDescent="0.4">
      <c r="A407" s="477" t="s">
        <v>324</v>
      </c>
      <c r="B407" s="292" t="s">
        <v>269</v>
      </c>
      <c r="C407" s="258">
        <v>8554</v>
      </c>
      <c r="D407" s="258">
        <v>36289</v>
      </c>
      <c r="E407" s="258">
        <v>3946</v>
      </c>
      <c r="F407" s="258">
        <v>19908</v>
      </c>
      <c r="G407" s="258">
        <v>1644</v>
      </c>
      <c r="H407" s="258">
        <v>4821</v>
      </c>
      <c r="I407" s="258">
        <v>2451</v>
      </c>
      <c r="J407" s="258"/>
      <c r="K407" s="258"/>
      <c r="L407" s="258">
        <v>55</v>
      </c>
      <c r="M407" s="258">
        <v>430</v>
      </c>
      <c r="N407" s="258">
        <v>2218</v>
      </c>
      <c r="O407" s="258">
        <v>151</v>
      </c>
      <c r="P407" s="286">
        <f>SUM(C407:O407)</f>
        <v>80467</v>
      </c>
      <c r="Q407" s="258">
        <v>1243</v>
      </c>
      <c r="R407" s="258">
        <v>2512</v>
      </c>
      <c r="S407" s="258">
        <v>2004</v>
      </c>
      <c r="T407" s="258">
        <v>2969</v>
      </c>
      <c r="U407" s="258">
        <v>2560</v>
      </c>
      <c r="V407" s="258">
        <v>797</v>
      </c>
      <c r="W407" s="258">
        <v>285</v>
      </c>
      <c r="X407" s="258">
        <v>745</v>
      </c>
      <c r="Y407" s="67">
        <v>217</v>
      </c>
      <c r="Z407" s="67">
        <v>148</v>
      </c>
      <c r="AA407" s="261"/>
      <c r="AB407" s="286">
        <f>SUM(Q407:AA407)</f>
        <v>13480</v>
      </c>
      <c r="AC407" s="287">
        <f>P407+AB407</f>
        <v>93947</v>
      </c>
      <c r="AD407" s="278">
        <v>19</v>
      </c>
      <c r="AE407" s="278">
        <v>1</v>
      </c>
      <c r="AF407" s="278">
        <v>1</v>
      </c>
      <c r="AG407" s="279">
        <f>SUM(AD407:AF407)</f>
        <v>21</v>
      </c>
      <c r="AH407" s="478">
        <v>2378</v>
      </c>
      <c r="AI407" s="478">
        <v>2499</v>
      </c>
      <c r="AJ407" s="478">
        <v>416</v>
      </c>
      <c r="AK407" s="478">
        <f>SUM(AH407:AJ412)</f>
        <v>5293</v>
      </c>
    </row>
    <row r="408" spans="1:37" ht="36" customHeight="1" x14ac:dyDescent="0.4">
      <c r="A408" s="477"/>
      <c r="B408" s="304" t="s">
        <v>265</v>
      </c>
      <c r="C408" s="258">
        <v>38.492999999999995</v>
      </c>
      <c r="D408" s="258">
        <v>163.3005</v>
      </c>
      <c r="E408" s="258">
        <v>17.756999999999998</v>
      </c>
      <c r="F408" s="258">
        <v>89.585999999999999</v>
      </c>
      <c r="G408" s="258">
        <v>0</v>
      </c>
      <c r="H408" s="258">
        <v>0</v>
      </c>
      <c r="I408" s="258">
        <v>0</v>
      </c>
      <c r="J408" s="258"/>
      <c r="K408" s="258"/>
      <c r="L408" s="258"/>
      <c r="M408" s="258">
        <v>1.9349999999999998</v>
      </c>
      <c r="N408" s="258">
        <v>9.9809999999999999</v>
      </c>
      <c r="O408" s="258">
        <v>0</v>
      </c>
      <c r="P408" s="286">
        <f>SUM(C408:O408)</f>
        <v>321.05250000000001</v>
      </c>
      <c r="Q408" s="258">
        <v>33.43</v>
      </c>
      <c r="R408" s="258">
        <v>0</v>
      </c>
      <c r="S408" s="258">
        <v>0</v>
      </c>
      <c r="T408" s="258">
        <v>29.69</v>
      </c>
      <c r="U408" s="258">
        <v>0</v>
      </c>
      <c r="V408" s="258">
        <v>0</v>
      </c>
      <c r="W408" s="258">
        <v>0</v>
      </c>
      <c r="X408" s="258">
        <v>149</v>
      </c>
      <c r="Y408" s="258">
        <v>0</v>
      </c>
      <c r="Z408" s="258">
        <v>0</v>
      </c>
      <c r="AA408" s="261"/>
      <c r="AB408" s="286">
        <f>SUM(Q408:AA408)</f>
        <v>212.12</v>
      </c>
      <c r="AC408" s="287">
        <f>P408+AB408</f>
        <v>533.17250000000001</v>
      </c>
      <c r="AD408" s="278"/>
      <c r="AE408" s="278"/>
      <c r="AF408" s="278"/>
      <c r="AG408" s="279"/>
      <c r="AH408" s="479"/>
      <c r="AI408" s="479"/>
      <c r="AJ408" s="479"/>
      <c r="AK408" s="479"/>
    </row>
    <row r="409" spans="1:37" ht="36" customHeight="1" x14ac:dyDescent="0.4">
      <c r="A409" s="477"/>
      <c r="B409" s="304" t="s">
        <v>284</v>
      </c>
      <c r="C409" s="114">
        <v>9252</v>
      </c>
      <c r="D409" s="114">
        <v>37456</v>
      </c>
      <c r="E409" s="114">
        <v>4675</v>
      </c>
      <c r="F409" s="114">
        <v>21619</v>
      </c>
      <c r="G409" s="114">
        <v>1710</v>
      </c>
      <c r="H409" s="114">
        <v>763</v>
      </c>
      <c r="I409" s="114">
        <v>2553</v>
      </c>
      <c r="J409" s="114"/>
      <c r="K409" s="114"/>
      <c r="L409" s="114">
        <v>102</v>
      </c>
      <c r="M409" s="114">
        <v>470</v>
      </c>
      <c r="N409" s="114">
        <v>2470</v>
      </c>
      <c r="O409" s="114">
        <v>151</v>
      </c>
      <c r="P409" s="286">
        <f>SUM(C409:O409)</f>
        <v>81221</v>
      </c>
      <c r="Q409" s="114">
        <v>1403</v>
      </c>
      <c r="R409" s="114">
        <v>2766</v>
      </c>
      <c r="S409" s="114">
        <v>2020</v>
      </c>
      <c r="T409" s="114">
        <v>3192</v>
      </c>
      <c r="U409" s="114">
        <v>1132</v>
      </c>
      <c r="V409" s="114">
        <v>859</v>
      </c>
      <c r="W409" s="114">
        <v>292</v>
      </c>
      <c r="X409" s="114">
        <v>990</v>
      </c>
      <c r="Y409" s="114">
        <v>252</v>
      </c>
      <c r="Z409" s="114">
        <v>164</v>
      </c>
      <c r="AA409" s="261"/>
      <c r="AB409" s="286">
        <f>SUM(Q409:AA409)</f>
        <v>13070</v>
      </c>
      <c r="AC409" s="287">
        <f>P409+AB409</f>
        <v>94291</v>
      </c>
      <c r="AD409" s="263"/>
      <c r="AE409" s="263"/>
      <c r="AF409" s="263"/>
      <c r="AG409" s="263"/>
      <c r="AH409" s="479"/>
      <c r="AI409" s="479"/>
      <c r="AJ409" s="479"/>
      <c r="AK409" s="479"/>
    </row>
    <row r="410" spans="1:37" ht="36" customHeight="1" x14ac:dyDescent="0.4">
      <c r="A410" s="477"/>
      <c r="B410" s="304" t="s">
        <v>285</v>
      </c>
      <c r="C410" s="469">
        <f>C407+D407+E407+F407+C408+D408+E408+F408</f>
        <v>69006.136499999993</v>
      </c>
      <c r="D410" s="470"/>
      <c r="E410" s="470"/>
      <c r="F410" s="471"/>
      <c r="G410" s="469">
        <f>G407+H407+I407+G408+H408+I408</f>
        <v>8916</v>
      </c>
      <c r="H410" s="470"/>
      <c r="I410" s="471"/>
      <c r="J410" s="273"/>
      <c r="K410" s="273"/>
      <c r="L410" s="469">
        <f>L407+M407+N407+L408+M408+N408</f>
        <v>2714.9160000000002</v>
      </c>
      <c r="M410" s="470"/>
      <c r="N410" s="471"/>
      <c r="O410" s="114"/>
      <c r="P410" s="286"/>
      <c r="Q410" s="469">
        <f>Q407+R407+S407+Q408+R408+S408</f>
        <v>5792.43</v>
      </c>
      <c r="R410" s="470"/>
      <c r="S410" s="471"/>
      <c r="T410" s="114"/>
      <c r="U410" s="114"/>
      <c r="V410" s="114"/>
      <c r="W410" s="114"/>
      <c r="X410" s="114"/>
      <c r="Y410" s="114"/>
      <c r="Z410" s="114"/>
      <c r="AA410" s="261"/>
      <c r="AB410" s="286"/>
      <c r="AC410" s="287"/>
      <c r="AD410" s="263"/>
      <c r="AE410" s="263"/>
      <c r="AF410" s="263"/>
      <c r="AG410" s="263"/>
      <c r="AH410" s="479"/>
      <c r="AI410" s="479"/>
      <c r="AJ410" s="479"/>
      <c r="AK410" s="479"/>
    </row>
    <row r="411" spans="1:37" ht="36" customHeight="1" x14ac:dyDescent="0.4">
      <c r="A411" s="477"/>
      <c r="B411" s="304" t="s">
        <v>247</v>
      </c>
      <c r="C411" s="469">
        <f>C409+D409+E409+F409</f>
        <v>73002</v>
      </c>
      <c r="D411" s="470"/>
      <c r="E411" s="470"/>
      <c r="F411" s="471"/>
      <c r="G411" s="469">
        <f>G409+H409+I409</f>
        <v>5026</v>
      </c>
      <c r="H411" s="470"/>
      <c r="I411" s="471"/>
      <c r="J411" s="273"/>
      <c r="K411" s="273"/>
      <c r="L411" s="469">
        <f>L409+M409+N409</f>
        <v>3042</v>
      </c>
      <c r="M411" s="470"/>
      <c r="N411" s="471"/>
      <c r="O411" s="114"/>
      <c r="P411" s="286"/>
      <c r="Q411" s="469">
        <f>Q409+R409+S409</f>
        <v>6189</v>
      </c>
      <c r="R411" s="470"/>
      <c r="S411" s="471"/>
      <c r="T411" s="114"/>
      <c r="U411" s="114"/>
      <c r="V411" s="114"/>
      <c r="W411" s="114"/>
      <c r="X411" s="114"/>
      <c r="Y411" s="114"/>
      <c r="Z411" s="114"/>
      <c r="AA411" s="261"/>
      <c r="AB411" s="286"/>
      <c r="AC411" s="287"/>
      <c r="AD411" s="263"/>
      <c r="AE411" s="263"/>
      <c r="AF411" s="263"/>
      <c r="AG411" s="263"/>
      <c r="AH411" s="479"/>
      <c r="AI411" s="479"/>
      <c r="AJ411" s="479"/>
      <c r="AK411" s="479"/>
    </row>
    <row r="412" spans="1:37" ht="36" customHeight="1" x14ac:dyDescent="0.4">
      <c r="A412" s="477"/>
      <c r="B412" s="297" t="s">
        <v>262</v>
      </c>
      <c r="C412" s="472">
        <f>C410/C411</f>
        <v>0.9452636434618229</v>
      </c>
      <c r="D412" s="473"/>
      <c r="E412" s="473"/>
      <c r="F412" s="474"/>
      <c r="G412" s="472">
        <f>G410/G411</f>
        <v>1.773975328292877</v>
      </c>
      <c r="H412" s="473"/>
      <c r="I412" s="474"/>
      <c r="J412" s="276"/>
      <c r="K412" s="276"/>
      <c r="L412" s="472">
        <f>L410/L411</f>
        <v>0.89247731755424065</v>
      </c>
      <c r="M412" s="473"/>
      <c r="N412" s="474"/>
      <c r="O412" s="280">
        <f>(O407+O408)/O409</f>
        <v>1</v>
      </c>
      <c r="P412" s="290">
        <f>(P407+P408)/P409</f>
        <v>0.99466951281072635</v>
      </c>
      <c r="Q412" s="472">
        <f>Q410/Q411</f>
        <v>0.93592341250605915</v>
      </c>
      <c r="R412" s="473"/>
      <c r="S412" s="474"/>
      <c r="T412" s="280">
        <f t="shared" ref="T412:Z412" si="69">(T407+T408)/T409</f>
        <v>0.93943922305764416</v>
      </c>
      <c r="U412" s="280">
        <f t="shared" si="69"/>
        <v>2.2614840989399294</v>
      </c>
      <c r="V412" s="280">
        <f t="shared" si="69"/>
        <v>0.9278230500582072</v>
      </c>
      <c r="W412" s="280">
        <f t="shared" si="69"/>
        <v>0.97602739726027399</v>
      </c>
      <c r="X412" s="280">
        <f t="shared" si="69"/>
        <v>0.90303030303030307</v>
      </c>
      <c r="Y412" s="280">
        <f t="shared" si="69"/>
        <v>0.86111111111111116</v>
      </c>
      <c r="Z412" s="280">
        <f t="shared" si="69"/>
        <v>0.90243902439024393</v>
      </c>
      <c r="AA412" s="265"/>
      <c r="AB412" s="290">
        <f>(AB407+AB408)/AB409</f>
        <v>1.0475990818668708</v>
      </c>
      <c r="AC412" s="291">
        <f>(AC407+AC408)/AC409</f>
        <v>1.0020062625277069</v>
      </c>
      <c r="AD412" s="281">
        <f>AD407/$AG$173</f>
        <v>0.90476190476190477</v>
      </c>
      <c r="AE412" s="281">
        <f>AE407/$AG$173</f>
        <v>4.7619047619047616E-2</v>
      </c>
      <c r="AF412" s="281">
        <f>AF407/$AG$173</f>
        <v>4.7619047619047616E-2</v>
      </c>
      <c r="AG412" s="305">
        <f>AG407/$AG$173</f>
        <v>1</v>
      </c>
      <c r="AH412" s="480"/>
      <c r="AI412" s="480"/>
      <c r="AJ412" s="480"/>
      <c r="AK412" s="480"/>
    </row>
    <row r="413" spans="1:37" ht="36" customHeight="1" x14ac:dyDescent="0.4">
      <c r="A413" s="477" t="s">
        <v>325</v>
      </c>
      <c r="B413" s="292" t="s">
        <v>269</v>
      </c>
      <c r="C413" s="258">
        <v>8575</v>
      </c>
      <c r="D413" s="258">
        <v>36267</v>
      </c>
      <c r="E413" s="258">
        <v>3863</v>
      </c>
      <c r="F413" s="258">
        <v>19630</v>
      </c>
      <c r="G413" s="258">
        <v>1650</v>
      </c>
      <c r="H413" s="258">
        <v>4963</v>
      </c>
      <c r="I413" s="258">
        <v>2468</v>
      </c>
      <c r="J413" s="258"/>
      <c r="K413" s="258"/>
      <c r="L413" s="258">
        <v>39</v>
      </c>
      <c r="M413" s="258">
        <v>437</v>
      </c>
      <c r="N413" s="258">
        <v>2196</v>
      </c>
      <c r="O413" s="258">
        <v>151</v>
      </c>
      <c r="P413" s="286">
        <f>SUM(C413:O413)</f>
        <v>80239</v>
      </c>
      <c r="Q413" s="258">
        <v>1252</v>
      </c>
      <c r="R413" s="258">
        <v>2484</v>
      </c>
      <c r="S413" s="258">
        <v>2006</v>
      </c>
      <c r="T413" s="258">
        <v>3001</v>
      </c>
      <c r="U413" s="258">
        <v>2577</v>
      </c>
      <c r="V413" s="258">
        <v>793</v>
      </c>
      <c r="W413" s="258">
        <v>290</v>
      </c>
      <c r="X413" s="258">
        <v>750</v>
      </c>
      <c r="Y413" s="67">
        <v>221</v>
      </c>
      <c r="Z413" s="67">
        <v>148</v>
      </c>
      <c r="AA413" s="261"/>
      <c r="AB413" s="286">
        <f>SUM(Q413:AA413)</f>
        <v>13522</v>
      </c>
      <c r="AC413" s="287">
        <f>P413+AB413</f>
        <v>93761</v>
      </c>
      <c r="AD413" s="278">
        <v>20</v>
      </c>
      <c r="AE413" s="278">
        <v>1</v>
      </c>
      <c r="AF413" s="278">
        <v>0</v>
      </c>
      <c r="AG413" s="279">
        <f>SUM(AD413:AF413)</f>
        <v>21</v>
      </c>
      <c r="AH413" s="478">
        <v>2025</v>
      </c>
      <c r="AI413" s="478">
        <v>2704</v>
      </c>
      <c r="AJ413" s="478">
        <v>550</v>
      </c>
      <c r="AK413" s="478">
        <f>SUM(AH413:AJ418)</f>
        <v>5279</v>
      </c>
    </row>
    <row r="414" spans="1:37" ht="36" customHeight="1" x14ac:dyDescent="0.4">
      <c r="A414" s="477"/>
      <c r="B414" s="304" t="s">
        <v>265</v>
      </c>
      <c r="C414" s="258">
        <v>38.587499999999999</v>
      </c>
      <c r="D414" s="258">
        <v>163.20149999999998</v>
      </c>
      <c r="E414" s="258">
        <v>17.383499999999998</v>
      </c>
      <c r="F414" s="258">
        <v>88.334999999999994</v>
      </c>
      <c r="G414" s="258">
        <v>0</v>
      </c>
      <c r="H414" s="258">
        <v>0</v>
      </c>
      <c r="I414" s="258">
        <v>0</v>
      </c>
      <c r="J414" s="258"/>
      <c r="K414" s="258"/>
      <c r="L414" s="258">
        <v>49</v>
      </c>
      <c r="M414" s="258">
        <v>1.9664999999999999</v>
      </c>
      <c r="N414" s="258">
        <v>9.8819999999999997</v>
      </c>
      <c r="O414" s="258">
        <v>0</v>
      </c>
      <c r="P414" s="286">
        <f>SUM(C414:O414)</f>
        <v>368.35599999999999</v>
      </c>
      <c r="Q414" s="258">
        <v>33.519999999999996</v>
      </c>
      <c r="R414" s="258">
        <v>0</v>
      </c>
      <c r="S414" s="258">
        <v>0</v>
      </c>
      <c r="T414" s="258">
        <v>30.01</v>
      </c>
      <c r="U414" s="258">
        <v>0</v>
      </c>
      <c r="V414" s="258">
        <v>0</v>
      </c>
      <c r="W414" s="258">
        <v>0</v>
      </c>
      <c r="X414" s="258">
        <v>150</v>
      </c>
      <c r="Y414" s="258">
        <v>0</v>
      </c>
      <c r="Z414" s="258">
        <v>0</v>
      </c>
      <c r="AA414" s="261"/>
      <c r="AB414" s="286">
        <f>SUM(Q414:AA414)</f>
        <v>213.53</v>
      </c>
      <c r="AC414" s="287">
        <f>P414+AB414</f>
        <v>581.88599999999997</v>
      </c>
      <c r="AD414" s="278"/>
      <c r="AE414" s="278"/>
      <c r="AF414" s="278"/>
      <c r="AG414" s="279"/>
      <c r="AH414" s="479"/>
      <c r="AI414" s="479"/>
      <c r="AJ414" s="479"/>
      <c r="AK414" s="479"/>
    </row>
    <row r="415" spans="1:37" ht="36" customHeight="1" x14ac:dyDescent="0.4">
      <c r="A415" s="477"/>
      <c r="B415" s="304" t="s">
        <v>284</v>
      </c>
      <c r="C415" s="114">
        <v>9252</v>
      </c>
      <c r="D415" s="114">
        <v>37456</v>
      </c>
      <c r="E415" s="114">
        <v>4675</v>
      </c>
      <c r="F415" s="114">
        <v>21619</v>
      </c>
      <c r="G415" s="114">
        <v>1710</v>
      </c>
      <c r="H415" s="114">
        <v>763</v>
      </c>
      <c r="I415" s="114">
        <v>2553</v>
      </c>
      <c r="J415" s="114"/>
      <c r="K415" s="114"/>
      <c r="L415" s="114">
        <v>102</v>
      </c>
      <c r="M415" s="114">
        <v>470</v>
      </c>
      <c r="N415" s="114">
        <v>2470</v>
      </c>
      <c r="O415" s="114">
        <v>151</v>
      </c>
      <c r="P415" s="286">
        <f>SUM(C415:O415)</f>
        <v>81221</v>
      </c>
      <c r="Q415" s="114">
        <v>1403</v>
      </c>
      <c r="R415" s="114">
        <v>2766</v>
      </c>
      <c r="S415" s="114">
        <v>2020</v>
      </c>
      <c r="T415" s="114">
        <v>3192</v>
      </c>
      <c r="U415" s="114">
        <v>1132</v>
      </c>
      <c r="V415" s="114">
        <v>859</v>
      </c>
      <c r="W415" s="114">
        <v>292</v>
      </c>
      <c r="X415" s="114">
        <v>990</v>
      </c>
      <c r="Y415" s="114">
        <v>252</v>
      </c>
      <c r="Z415" s="114">
        <v>164</v>
      </c>
      <c r="AA415" s="261"/>
      <c r="AB415" s="286">
        <f>SUM(Q415:AA415)</f>
        <v>13070</v>
      </c>
      <c r="AC415" s="287">
        <f>P415+AB415</f>
        <v>94291</v>
      </c>
      <c r="AD415" s="263"/>
      <c r="AE415" s="263"/>
      <c r="AF415" s="263"/>
      <c r="AG415" s="263"/>
      <c r="AH415" s="479"/>
      <c r="AI415" s="479"/>
      <c r="AJ415" s="479"/>
      <c r="AK415" s="479"/>
    </row>
    <row r="416" spans="1:37" ht="36" customHeight="1" x14ac:dyDescent="0.4">
      <c r="A416" s="477"/>
      <c r="B416" s="304" t="s">
        <v>285</v>
      </c>
      <c r="C416" s="469">
        <f>C413+D413+E413+F413+C414+D414+E414+F414</f>
        <v>68642.507499999992</v>
      </c>
      <c r="D416" s="470"/>
      <c r="E416" s="470"/>
      <c r="F416" s="471"/>
      <c r="G416" s="469">
        <f>G413+H413+I413+G414+H414+I414</f>
        <v>9081</v>
      </c>
      <c r="H416" s="470"/>
      <c r="I416" s="471"/>
      <c r="J416" s="273"/>
      <c r="K416" s="273"/>
      <c r="L416" s="469">
        <f>L413+M413+N413+L414+M414+N414</f>
        <v>2732.8485000000001</v>
      </c>
      <c r="M416" s="470"/>
      <c r="N416" s="471"/>
      <c r="O416" s="114"/>
      <c r="P416" s="286"/>
      <c r="Q416" s="469">
        <f>Q413+R413+S413+Q414+R414+S414</f>
        <v>5775.52</v>
      </c>
      <c r="R416" s="470"/>
      <c r="S416" s="471"/>
      <c r="T416" s="114"/>
      <c r="U416" s="114"/>
      <c r="V416" s="114"/>
      <c r="W416" s="114"/>
      <c r="X416" s="114"/>
      <c r="Y416" s="114"/>
      <c r="Z416" s="114"/>
      <c r="AA416" s="261"/>
      <c r="AB416" s="286"/>
      <c r="AC416" s="287"/>
      <c r="AD416" s="263"/>
      <c r="AE416" s="263"/>
      <c r="AF416" s="263"/>
      <c r="AG416" s="263"/>
      <c r="AH416" s="479"/>
      <c r="AI416" s="479"/>
      <c r="AJ416" s="479"/>
      <c r="AK416" s="479"/>
    </row>
    <row r="417" spans="1:37" ht="36" customHeight="1" x14ac:dyDescent="0.4">
      <c r="A417" s="477"/>
      <c r="B417" s="304" t="s">
        <v>247</v>
      </c>
      <c r="C417" s="469">
        <f>C415+D415+E415+F415</f>
        <v>73002</v>
      </c>
      <c r="D417" s="470"/>
      <c r="E417" s="470"/>
      <c r="F417" s="471"/>
      <c r="G417" s="469">
        <f>G415+H415+I415</f>
        <v>5026</v>
      </c>
      <c r="H417" s="470"/>
      <c r="I417" s="471"/>
      <c r="J417" s="273"/>
      <c r="K417" s="273"/>
      <c r="L417" s="469">
        <f>L415+M415+N415</f>
        <v>3042</v>
      </c>
      <c r="M417" s="470"/>
      <c r="N417" s="471"/>
      <c r="O417" s="114"/>
      <c r="P417" s="286"/>
      <c r="Q417" s="469">
        <f>Q415+R415+S415</f>
        <v>6189</v>
      </c>
      <c r="R417" s="470"/>
      <c r="S417" s="471"/>
      <c r="T417" s="114"/>
      <c r="U417" s="114"/>
      <c r="V417" s="114"/>
      <c r="W417" s="114"/>
      <c r="X417" s="114"/>
      <c r="Y417" s="114"/>
      <c r="Z417" s="114"/>
      <c r="AA417" s="261"/>
      <c r="AB417" s="286"/>
      <c r="AC417" s="287"/>
      <c r="AD417" s="263"/>
      <c r="AE417" s="263"/>
      <c r="AF417" s="263"/>
      <c r="AG417" s="263"/>
      <c r="AH417" s="479"/>
      <c r="AI417" s="479"/>
      <c r="AJ417" s="479"/>
      <c r="AK417" s="479"/>
    </row>
    <row r="418" spans="1:37" ht="36" customHeight="1" x14ac:dyDescent="0.4">
      <c r="A418" s="477"/>
      <c r="B418" s="297" t="s">
        <v>262</v>
      </c>
      <c r="C418" s="472">
        <f>C416/C417</f>
        <v>0.94028256075176009</v>
      </c>
      <c r="D418" s="473"/>
      <c r="E418" s="473"/>
      <c r="F418" s="474"/>
      <c r="G418" s="472">
        <f>G416/G417</f>
        <v>1.8068046159968165</v>
      </c>
      <c r="H418" s="473"/>
      <c r="I418" s="474"/>
      <c r="J418" s="276"/>
      <c r="K418" s="276"/>
      <c r="L418" s="472">
        <f>L416/L417</f>
        <v>0.89837228796844182</v>
      </c>
      <c r="M418" s="473"/>
      <c r="N418" s="474"/>
      <c r="O418" s="280">
        <f>(O413+O414)/O415</f>
        <v>1</v>
      </c>
      <c r="P418" s="290">
        <f>(P413+P414)/P415</f>
        <v>0.99244476182268138</v>
      </c>
      <c r="Q418" s="472">
        <f>Q416/Q417</f>
        <v>0.93319114558086935</v>
      </c>
      <c r="R418" s="473"/>
      <c r="S418" s="474"/>
      <c r="T418" s="280">
        <f t="shared" ref="T418:Z418" si="70">(T413+T414)/T415</f>
        <v>0.94956453634085225</v>
      </c>
      <c r="U418" s="280">
        <f t="shared" si="70"/>
        <v>2.2765017667844525</v>
      </c>
      <c r="V418" s="280">
        <f t="shared" si="70"/>
        <v>0.92316647264260765</v>
      </c>
      <c r="W418" s="280">
        <f t="shared" si="70"/>
        <v>0.99315068493150682</v>
      </c>
      <c r="X418" s="280">
        <f t="shared" si="70"/>
        <v>0.90909090909090906</v>
      </c>
      <c r="Y418" s="280">
        <f t="shared" si="70"/>
        <v>0.87698412698412698</v>
      </c>
      <c r="Z418" s="280">
        <f t="shared" si="70"/>
        <v>0.90243902439024393</v>
      </c>
      <c r="AA418" s="265"/>
      <c r="AB418" s="290">
        <f>(AB413+AB414)/AB415</f>
        <v>1.050920428462127</v>
      </c>
      <c r="AC418" s="291">
        <f>(AC413+AC414)/AC415</f>
        <v>1.0005502752118443</v>
      </c>
      <c r="AD418" s="281">
        <f>AD413/$AG$173</f>
        <v>0.95238095238095233</v>
      </c>
      <c r="AE418" s="281">
        <f>AE413/$AG$173</f>
        <v>4.7619047619047616E-2</v>
      </c>
      <c r="AF418" s="281">
        <f>AF413/$AG$173</f>
        <v>0</v>
      </c>
      <c r="AG418" s="305">
        <f>AG413/$AG$173</f>
        <v>1</v>
      </c>
      <c r="AH418" s="480"/>
      <c r="AI418" s="480"/>
      <c r="AJ418" s="480"/>
      <c r="AK418" s="480"/>
    </row>
    <row r="419" spans="1:37" ht="36" customHeight="1" x14ac:dyDescent="0.4">
      <c r="A419" s="477" t="s">
        <v>326</v>
      </c>
      <c r="B419" s="292" t="s">
        <v>269</v>
      </c>
      <c r="C419" s="258">
        <v>8529</v>
      </c>
      <c r="D419" s="258">
        <v>36126</v>
      </c>
      <c r="E419" s="258">
        <v>3941</v>
      </c>
      <c r="F419" s="258">
        <v>19688</v>
      </c>
      <c r="G419" s="258">
        <v>1651</v>
      </c>
      <c r="H419" s="258">
        <v>4944</v>
      </c>
      <c r="I419" s="258">
        <v>2483</v>
      </c>
      <c r="J419" s="258"/>
      <c r="K419" s="258"/>
      <c r="L419" s="258">
        <v>36</v>
      </c>
      <c r="M419" s="258">
        <v>443</v>
      </c>
      <c r="N419" s="258">
        <v>2174</v>
      </c>
      <c r="O419" s="258">
        <v>151</v>
      </c>
      <c r="P419" s="286">
        <f>SUM(C419:O419)</f>
        <v>80166</v>
      </c>
      <c r="Q419" s="258">
        <v>1234</v>
      </c>
      <c r="R419" s="258">
        <v>2491</v>
      </c>
      <c r="S419" s="258">
        <v>2009</v>
      </c>
      <c r="T419" s="258">
        <v>3046</v>
      </c>
      <c r="U419" s="258">
        <v>2586</v>
      </c>
      <c r="V419" s="258">
        <v>791</v>
      </c>
      <c r="W419" s="258">
        <v>296</v>
      </c>
      <c r="X419" s="258">
        <v>718</v>
      </c>
      <c r="Y419" s="67">
        <v>226</v>
      </c>
      <c r="Z419" s="67">
        <v>125</v>
      </c>
      <c r="AA419" s="261"/>
      <c r="AB419" s="286">
        <f>SUM(Q419:AA419)</f>
        <v>13522</v>
      </c>
      <c r="AC419" s="287">
        <f>P419+AB419</f>
        <v>93688</v>
      </c>
      <c r="AD419" s="278">
        <v>18</v>
      </c>
      <c r="AE419" s="278">
        <v>3</v>
      </c>
      <c r="AF419" s="278">
        <v>0</v>
      </c>
      <c r="AG419" s="279">
        <f>SUM(AD419:AF419)</f>
        <v>21</v>
      </c>
      <c r="AH419" s="478">
        <v>2617</v>
      </c>
      <c r="AI419" s="478">
        <v>3110</v>
      </c>
      <c r="AJ419" s="478">
        <v>533</v>
      </c>
      <c r="AK419" s="478">
        <f>SUM(AH419:AJ424)</f>
        <v>6260</v>
      </c>
    </row>
    <row r="420" spans="1:37" ht="36" customHeight="1" x14ac:dyDescent="0.4">
      <c r="A420" s="477"/>
      <c r="B420" s="304" t="s">
        <v>265</v>
      </c>
      <c r="C420" s="258">
        <v>38.380499999999998</v>
      </c>
      <c r="D420" s="258">
        <v>162.56699999999998</v>
      </c>
      <c r="E420" s="258">
        <v>17.734499999999997</v>
      </c>
      <c r="F420" s="258">
        <v>88.595999999999989</v>
      </c>
      <c r="G420" s="258">
        <v>0</v>
      </c>
      <c r="H420" s="258">
        <v>0</v>
      </c>
      <c r="I420" s="258">
        <v>0</v>
      </c>
      <c r="J420" s="258"/>
      <c r="K420" s="258"/>
      <c r="L420" s="258">
        <v>45</v>
      </c>
      <c r="M420" s="258">
        <v>1.9934999999999998</v>
      </c>
      <c r="N420" s="258">
        <v>9.7829999999999995</v>
      </c>
      <c r="O420" s="258">
        <v>0</v>
      </c>
      <c r="P420" s="286">
        <f>SUM(C420:O420)</f>
        <v>364.05449999999996</v>
      </c>
      <c r="Q420" s="258">
        <v>33.340000000000003</v>
      </c>
      <c r="R420" s="258">
        <v>0</v>
      </c>
      <c r="S420" s="258">
        <v>0</v>
      </c>
      <c r="T420" s="258">
        <v>30.46</v>
      </c>
      <c r="U420" s="258">
        <v>0</v>
      </c>
      <c r="V420" s="258">
        <v>0</v>
      </c>
      <c r="W420" s="258">
        <v>0</v>
      </c>
      <c r="X420" s="258">
        <v>143.6</v>
      </c>
      <c r="Y420" s="258">
        <v>0</v>
      </c>
      <c r="Z420" s="258">
        <v>0</v>
      </c>
      <c r="AA420" s="261"/>
      <c r="AB420" s="286">
        <f>SUM(Q420:AA420)</f>
        <v>207.4</v>
      </c>
      <c r="AC420" s="287">
        <f>P420+AB420</f>
        <v>571.45449999999994</v>
      </c>
      <c r="AD420" s="278"/>
      <c r="AE420" s="278"/>
      <c r="AF420" s="278"/>
      <c r="AG420" s="279"/>
      <c r="AH420" s="479"/>
      <c r="AI420" s="479"/>
      <c r="AJ420" s="479"/>
      <c r="AK420" s="479"/>
    </row>
    <row r="421" spans="1:37" ht="36" customHeight="1" x14ac:dyDescent="0.4">
      <c r="A421" s="477"/>
      <c r="B421" s="304" t="s">
        <v>284</v>
      </c>
      <c r="C421" s="114">
        <v>9252</v>
      </c>
      <c r="D421" s="114">
        <v>37456</v>
      </c>
      <c r="E421" s="114">
        <v>4675</v>
      </c>
      <c r="F421" s="114">
        <v>21619</v>
      </c>
      <c r="G421" s="114">
        <v>1710</v>
      </c>
      <c r="H421" s="114">
        <v>763</v>
      </c>
      <c r="I421" s="114">
        <v>2553</v>
      </c>
      <c r="J421" s="114"/>
      <c r="K421" s="114"/>
      <c r="L421" s="114">
        <v>102</v>
      </c>
      <c r="M421" s="114">
        <v>470</v>
      </c>
      <c r="N421" s="114">
        <v>2470</v>
      </c>
      <c r="O421" s="114">
        <v>151</v>
      </c>
      <c r="P421" s="286">
        <f>SUM(C421:O421)</f>
        <v>81221</v>
      </c>
      <c r="Q421" s="114">
        <v>1403</v>
      </c>
      <c r="R421" s="114">
        <v>2766</v>
      </c>
      <c r="S421" s="114">
        <v>2020</v>
      </c>
      <c r="T421" s="114">
        <v>3192</v>
      </c>
      <c r="U421" s="114">
        <v>1132</v>
      </c>
      <c r="V421" s="114">
        <v>859</v>
      </c>
      <c r="W421" s="114">
        <v>305</v>
      </c>
      <c r="X421" s="114">
        <v>990</v>
      </c>
      <c r="Y421" s="114">
        <v>252</v>
      </c>
      <c r="Z421" s="114">
        <v>164</v>
      </c>
      <c r="AA421" s="261"/>
      <c r="AB421" s="286">
        <f>SUM(Q421:AA421)</f>
        <v>13083</v>
      </c>
      <c r="AC421" s="287">
        <f>P421+AB421</f>
        <v>94304</v>
      </c>
      <c r="AD421" s="263"/>
      <c r="AE421" s="263"/>
      <c r="AF421" s="263"/>
      <c r="AG421" s="263"/>
      <c r="AH421" s="479"/>
      <c r="AI421" s="479"/>
      <c r="AJ421" s="479"/>
      <c r="AK421" s="479"/>
    </row>
    <row r="422" spans="1:37" ht="36" customHeight="1" x14ac:dyDescent="0.4">
      <c r="A422" s="477"/>
      <c r="B422" s="304" t="s">
        <v>285</v>
      </c>
      <c r="C422" s="469">
        <f>C419+D419+E419+F419+C420+D420+E420+F420</f>
        <v>68591.278000000006</v>
      </c>
      <c r="D422" s="470"/>
      <c r="E422" s="470"/>
      <c r="F422" s="471"/>
      <c r="G422" s="469">
        <f>G419+H419+I419+G420+H420+I420</f>
        <v>9078</v>
      </c>
      <c r="H422" s="470"/>
      <c r="I422" s="471"/>
      <c r="J422" s="273"/>
      <c r="K422" s="273"/>
      <c r="L422" s="469">
        <f>L419+M419+N419+L420+M420+N420</f>
        <v>2709.7764999999999</v>
      </c>
      <c r="M422" s="470"/>
      <c r="N422" s="471"/>
      <c r="O422" s="114"/>
      <c r="P422" s="286"/>
      <c r="Q422" s="469">
        <f>Q419+R419+S419+Q420+R420+S420</f>
        <v>5767.34</v>
      </c>
      <c r="R422" s="470"/>
      <c r="S422" s="471"/>
      <c r="T422" s="114"/>
      <c r="U422" s="114"/>
      <c r="V422" s="114"/>
      <c r="W422" s="114"/>
      <c r="X422" s="114"/>
      <c r="Y422" s="114"/>
      <c r="Z422" s="114"/>
      <c r="AA422" s="261"/>
      <c r="AB422" s="286"/>
      <c r="AC422" s="287"/>
      <c r="AD422" s="263"/>
      <c r="AE422" s="263"/>
      <c r="AF422" s="263"/>
      <c r="AG422" s="263"/>
      <c r="AH422" s="479"/>
      <c r="AI422" s="479"/>
      <c r="AJ422" s="479"/>
      <c r="AK422" s="479"/>
    </row>
    <row r="423" spans="1:37" ht="36" customHeight="1" x14ac:dyDescent="0.4">
      <c r="A423" s="477"/>
      <c r="B423" s="304" t="s">
        <v>247</v>
      </c>
      <c r="C423" s="469">
        <f>C421+D421+E421+F421</f>
        <v>73002</v>
      </c>
      <c r="D423" s="470"/>
      <c r="E423" s="470"/>
      <c r="F423" s="471"/>
      <c r="G423" s="469">
        <f>G421+H421+I421</f>
        <v>5026</v>
      </c>
      <c r="H423" s="470"/>
      <c r="I423" s="471"/>
      <c r="J423" s="273"/>
      <c r="K423" s="273"/>
      <c r="L423" s="469">
        <f>L421+M421+N421</f>
        <v>3042</v>
      </c>
      <c r="M423" s="470"/>
      <c r="N423" s="471"/>
      <c r="O423" s="114"/>
      <c r="P423" s="286"/>
      <c r="Q423" s="469">
        <f>Q421+R421+S421</f>
        <v>6189</v>
      </c>
      <c r="R423" s="470"/>
      <c r="S423" s="471"/>
      <c r="T423" s="114"/>
      <c r="U423" s="114"/>
      <c r="V423" s="114"/>
      <c r="W423" s="114"/>
      <c r="X423" s="114"/>
      <c r="Y423" s="114"/>
      <c r="Z423" s="114"/>
      <c r="AA423" s="261"/>
      <c r="AB423" s="286"/>
      <c r="AC423" s="287"/>
      <c r="AD423" s="263"/>
      <c r="AE423" s="263"/>
      <c r="AF423" s="263"/>
      <c r="AG423" s="263"/>
      <c r="AH423" s="479"/>
      <c r="AI423" s="479"/>
      <c r="AJ423" s="479"/>
      <c r="AK423" s="479"/>
    </row>
    <row r="424" spans="1:37" ht="36" customHeight="1" x14ac:dyDescent="0.4">
      <c r="A424" s="477"/>
      <c r="B424" s="297" t="s">
        <v>262</v>
      </c>
      <c r="C424" s="472">
        <f>C422/C423</f>
        <v>0.93958080600531502</v>
      </c>
      <c r="D424" s="473"/>
      <c r="E424" s="473"/>
      <c r="F424" s="474"/>
      <c r="G424" s="472">
        <f>G422/G423</f>
        <v>1.806207719856745</v>
      </c>
      <c r="H424" s="473"/>
      <c r="I424" s="474"/>
      <c r="J424" s="276"/>
      <c r="K424" s="276"/>
      <c r="L424" s="472">
        <f>L422/L423</f>
        <v>0.89078780407626557</v>
      </c>
      <c r="M424" s="473"/>
      <c r="N424" s="474"/>
      <c r="O424" s="280">
        <f>(O419+O420)/O421</f>
        <v>1</v>
      </c>
      <c r="P424" s="290">
        <f>(P419+P420)/P421</f>
        <v>0.99149301904679821</v>
      </c>
      <c r="Q424" s="472">
        <f>Q422/Q423</f>
        <v>0.93186944579091935</v>
      </c>
      <c r="R424" s="473"/>
      <c r="S424" s="474"/>
      <c r="T424" s="280">
        <f t="shared" ref="T424:Z424" si="71">(T419+T420)/T421</f>
        <v>0.96380325814536338</v>
      </c>
      <c r="U424" s="280">
        <f t="shared" si="71"/>
        <v>2.2844522968197878</v>
      </c>
      <c r="V424" s="280">
        <f t="shared" si="71"/>
        <v>0.92083818393480787</v>
      </c>
      <c r="W424" s="280">
        <f t="shared" si="71"/>
        <v>0.97049180327868856</v>
      </c>
      <c r="X424" s="280">
        <f t="shared" si="71"/>
        <v>0.87030303030303036</v>
      </c>
      <c r="Y424" s="280">
        <f t="shared" si="71"/>
        <v>0.89682539682539686</v>
      </c>
      <c r="Z424" s="280">
        <f t="shared" si="71"/>
        <v>0.76219512195121952</v>
      </c>
      <c r="AA424" s="265"/>
      <c r="AB424" s="290">
        <f>(AB419+AB420)/AB421</f>
        <v>1.0494076282198272</v>
      </c>
      <c r="AC424" s="291">
        <f>(AC419+AC420)/AC421</f>
        <v>0.99952763933661359</v>
      </c>
      <c r="AD424" s="281">
        <f>AD419/$AG$173</f>
        <v>0.8571428571428571</v>
      </c>
      <c r="AE424" s="281">
        <f>AE419/$AG$173</f>
        <v>0.14285714285714285</v>
      </c>
      <c r="AF424" s="281">
        <f>AF419/$AG$173</f>
        <v>0</v>
      </c>
      <c r="AG424" s="305">
        <f>AG419/$AG$173</f>
        <v>1</v>
      </c>
      <c r="AH424" s="480"/>
      <c r="AI424" s="480"/>
      <c r="AJ424" s="480"/>
      <c r="AK424" s="480"/>
    </row>
    <row r="425" spans="1:37" ht="36" customHeight="1" x14ac:dyDescent="0.4">
      <c r="A425" s="477" t="s">
        <v>327</v>
      </c>
      <c r="B425" s="292" t="s">
        <v>269</v>
      </c>
      <c r="C425" s="258">
        <v>8546</v>
      </c>
      <c r="D425" s="258">
        <v>36390</v>
      </c>
      <c r="E425" s="258">
        <v>3897</v>
      </c>
      <c r="F425" s="258">
        <v>19848</v>
      </c>
      <c r="G425" s="258">
        <v>1652</v>
      </c>
      <c r="H425" s="258">
        <v>4972</v>
      </c>
      <c r="I425" s="258">
        <v>2478</v>
      </c>
      <c r="J425" s="258"/>
      <c r="K425" s="258"/>
      <c r="L425" s="258">
        <v>44</v>
      </c>
      <c r="M425" s="258">
        <v>446</v>
      </c>
      <c r="N425" s="258">
        <v>2231</v>
      </c>
      <c r="O425" s="258">
        <v>151</v>
      </c>
      <c r="P425" s="286">
        <f>SUM(C425:O425)</f>
        <v>80655</v>
      </c>
      <c r="Q425" s="258">
        <v>1269</v>
      </c>
      <c r="R425" s="258">
        <v>2511</v>
      </c>
      <c r="S425" s="258">
        <v>2006</v>
      </c>
      <c r="T425" s="258">
        <v>3058</v>
      </c>
      <c r="U425" s="258">
        <v>2581</v>
      </c>
      <c r="V425" s="258">
        <v>790</v>
      </c>
      <c r="W425" s="258">
        <v>300</v>
      </c>
      <c r="X425" s="258">
        <v>723</v>
      </c>
      <c r="Y425" s="67">
        <v>228</v>
      </c>
      <c r="Z425" s="67">
        <v>125</v>
      </c>
      <c r="AA425" s="261"/>
      <c r="AB425" s="286">
        <f>SUM(Q425:AA425)</f>
        <v>13591</v>
      </c>
      <c r="AC425" s="287">
        <f>P425+AB425</f>
        <v>94246</v>
      </c>
      <c r="AD425" s="278">
        <v>19</v>
      </c>
      <c r="AE425" s="278">
        <v>2</v>
      </c>
      <c r="AF425" s="278">
        <v>0</v>
      </c>
      <c r="AG425" s="279">
        <f>SUM(AD425:AF425)</f>
        <v>21</v>
      </c>
      <c r="AH425" s="478">
        <v>1808</v>
      </c>
      <c r="AI425" s="478">
        <v>1586</v>
      </c>
      <c r="AJ425" s="478">
        <v>392</v>
      </c>
      <c r="AK425" s="478">
        <f>SUM(AH425:AJ430)</f>
        <v>3786</v>
      </c>
    </row>
    <row r="426" spans="1:37" ht="36" customHeight="1" x14ac:dyDescent="0.4">
      <c r="A426" s="477"/>
      <c r="B426" s="304" t="s">
        <v>265</v>
      </c>
      <c r="C426" s="258">
        <v>38.456999999999994</v>
      </c>
      <c r="D426" s="258">
        <v>163.755</v>
      </c>
      <c r="E426" s="258">
        <v>17.5365</v>
      </c>
      <c r="F426" s="258">
        <v>89.315999999999988</v>
      </c>
      <c r="G426" s="258">
        <v>0</v>
      </c>
      <c r="H426" s="258">
        <v>0</v>
      </c>
      <c r="I426" s="258">
        <v>0</v>
      </c>
      <c r="J426" s="258"/>
      <c r="K426" s="258"/>
      <c r="L426" s="258">
        <v>48</v>
      </c>
      <c r="M426" s="258">
        <v>2.0069999999999997</v>
      </c>
      <c r="N426" s="258">
        <v>10.039499999999999</v>
      </c>
      <c r="O426" s="258">
        <v>0</v>
      </c>
      <c r="P426" s="286">
        <f>SUM(C426:O426)</f>
        <v>369.11099999999993</v>
      </c>
      <c r="Q426" s="258">
        <v>33.69</v>
      </c>
      <c r="R426" s="258">
        <v>0</v>
      </c>
      <c r="S426" s="258">
        <v>0</v>
      </c>
      <c r="T426" s="258">
        <v>30.580000000000002</v>
      </c>
      <c r="U426" s="258">
        <v>0</v>
      </c>
      <c r="V426" s="258">
        <v>0</v>
      </c>
      <c r="W426" s="258">
        <v>0</v>
      </c>
      <c r="X426" s="258">
        <v>144.6</v>
      </c>
      <c r="Y426" s="258">
        <v>0</v>
      </c>
      <c r="Z426" s="258">
        <v>0</v>
      </c>
      <c r="AA426" s="261"/>
      <c r="AB426" s="286">
        <f>SUM(Q426:AA426)</f>
        <v>208.87</v>
      </c>
      <c r="AC426" s="287">
        <f>P426+AB426</f>
        <v>577.98099999999999</v>
      </c>
      <c r="AD426" s="278"/>
      <c r="AE426" s="278"/>
      <c r="AF426" s="278"/>
      <c r="AG426" s="279"/>
      <c r="AH426" s="479"/>
      <c r="AI426" s="479"/>
      <c r="AJ426" s="479"/>
      <c r="AK426" s="479"/>
    </row>
    <row r="427" spans="1:37" ht="36" customHeight="1" x14ac:dyDescent="0.4">
      <c r="A427" s="477"/>
      <c r="B427" s="304" t="s">
        <v>284</v>
      </c>
      <c r="C427" s="114">
        <v>9252</v>
      </c>
      <c r="D427" s="114">
        <v>37456</v>
      </c>
      <c r="E427" s="114">
        <v>4675</v>
      </c>
      <c r="F427" s="114">
        <v>21619</v>
      </c>
      <c r="G427" s="114">
        <v>1710</v>
      </c>
      <c r="H427" s="114">
        <v>763</v>
      </c>
      <c r="I427" s="114">
        <v>2553</v>
      </c>
      <c r="J427" s="114"/>
      <c r="K427" s="114"/>
      <c r="L427" s="114">
        <v>102</v>
      </c>
      <c r="M427" s="114">
        <v>470</v>
      </c>
      <c r="N427" s="114">
        <v>2470</v>
      </c>
      <c r="O427" s="114">
        <v>151</v>
      </c>
      <c r="P427" s="286">
        <f>SUM(C427:O427)</f>
        <v>81221</v>
      </c>
      <c r="Q427" s="114">
        <v>1403</v>
      </c>
      <c r="R427" s="114">
        <v>2766</v>
      </c>
      <c r="S427" s="114">
        <v>2020</v>
      </c>
      <c r="T427" s="114">
        <v>3192</v>
      </c>
      <c r="U427" s="114">
        <v>1132</v>
      </c>
      <c r="V427" s="114">
        <v>859</v>
      </c>
      <c r="W427" s="114">
        <v>305</v>
      </c>
      <c r="X427" s="114">
        <v>990</v>
      </c>
      <c r="Y427" s="114">
        <v>252</v>
      </c>
      <c r="Z427" s="114">
        <v>164</v>
      </c>
      <c r="AA427" s="261"/>
      <c r="AB427" s="286">
        <f>SUM(Q427:AA427)</f>
        <v>13083</v>
      </c>
      <c r="AC427" s="287">
        <f>P427+AB427</f>
        <v>94304</v>
      </c>
      <c r="AD427" s="263"/>
      <c r="AE427" s="263"/>
      <c r="AF427" s="263"/>
      <c r="AG427" s="263"/>
      <c r="AH427" s="479"/>
      <c r="AI427" s="479"/>
      <c r="AJ427" s="479"/>
      <c r="AK427" s="479"/>
    </row>
    <row r="428" spans="1:37" ht="36" customHeight="1" x14ac:dyDescent="0.4">
      <c r="A428" s="477"/>
      <c r="B428" s="304" t="s">
        <v>285</v>
      </c>
      <c r="C428" s="469">
        <f>C425+D425+E425+F425+C426+D426+E426+F426</f>
        <v>68990.064500000008</v>
      </c>
      <c r="D428" s="470"/>
      <c r="E428" s="470"/>
      <c r="F428" s="471"/>
      <c r="G428" s="469">
        <f>G425+H425+I425+G426+H426+I426</f>
        <v>9102</v>
      </c>
      <c r="H428" s="470"/>
      <c r="I428" s="471"/>
      <c r="J428" s="273"/>
      <c r="K428" s="273"/>
      <c r="L428" s="469">
        <f>L425+M425+N425+L426+M426+N426</f>
        <v>2781.0464999999999</v>
      </c>
      <c r="M428" s="470"/>
      <c r="N428" s="471"/>
      <c r="O428" s="114"/>
      <c r="P428" s="286"/>
      <c r="Q428" s="469">
        <f>Q425+R425+S425+Q426+R426+S426</f>
        <v>5819.69</v>
      </c>
      <c r="R428" s="470"/>
      <c r="S428" s="471"/>
      <c r="T428" s="114"/>
      <c r="U428" s="114"/>
      <c r="V428" s="114"/>
      <c r="W428" s="114"/>
      <c r="X428" s="114"/>
      <c r="Y428" s="114"/>
      <c r="Z428" s="114"/>
      <c r="AA428" s="261"/>
      <c r="AB428" s="286"/>
      <c r="AC428" s="287"/>
      <c r="AD428" s="263"/>
      <c r="AE428" s="263"/>
      <c r="AF428" s="263"/>
      <c r="AG428" s="263"/>
      <c r="AH428" s="479"/>
      <c r="AI428" s="479"/>
      <c r="AJ428" s="479"/>
      <c r="AK428" s="479"/>
    </row>
    <row r="429" spans="1:37" ht="36" customHeight="1" x14ac:dyDescent="0.4">
      <c r="A429" s="477"/>
      <c r="B429" s="304" t="s">
        <v>247</v>
      </c>
      <c r="C429" s="469">
        <f>C427+D427+E427+F427</f>
        <v>73002</v>
      </c>
      <c r="D429" s="470"/>
      <c r="E429" s="470"/>
      <c r="F429" s="471"/>
      <c r="G429" s="469">
        <f>G427+H427+I427</f>
        <v>5026</v>
      </c>
      <c r="H429" s="470"/>
      <c r="I429" s="471"/>
      <c r="J429" s="273"/>
      <c r="K429" s="273"/>
      <c r="L429" s="469">
        <f>L427+M427+N427</f>
        <v>3042</v>
      </c>
      <c r="M429" s="470"/>
      <c r="N429" s="471"/>
      <c r="O429" s="114"/>
      <c r="P429" s="286"/>
      <c r="Q429" s="469">
        <f>Q427+R427+S427</f>
        <v>6189</v>
      </c>
      <c r="R429" s="470"/>
      <c r="S429" s="471"/>
      <c r="T429" s="114"/>
      <c r="U429" s="114"/>
      <c r="V429" s="114"/>
      <c r="W429" s="114"/>
      <c r="X429" s="114"/>
      <c r="Y429" s="114"/>
      <c r="Z429" s="114"/>
      <c r="AA429" s="261"/>
      <c r="AB429" s="286"/>
      <c r="AC429" s="287"/>
      <c r="AD429" s="263"/>
      <c r="AE429" s="263"/>
      <c r="AF429" s="263"/>
      <c r="AG429" s="263"/>
      <c r="AH429" s="479"/>
      <c r="AI429" s="479"/>
      <c r="AJ429" s="479"/>
      <c r="AK429" s="479"/>
    </row>
    <row r="430" spans="1:37" ht="36" customHeight="1" x14ac:dyDescent="0.4">
      <c r="A430" s="477"/>
      <c r="B430" s="297" t="s">
        <v>262</v>
      </c>
      <c r="C430" s="472">
        <f>C428/C429</f>
        <v>0.94504348510999714</v>
      </c>
      <c r="D430" s="473"/>
      <c r="E430" s="473"/>
      <c r="F430" s="474"/>
      <c r="G430" s="472">
        <f>G428/G429</f>
        <v>1.8109828889773179</v>
      </c>
      <c r="H430" s="473"/>
      <c r="I430" s="474"/>
      <c r="J430" s="276"/>
      <c r="K430" s="276"/>
      <c r="L430" s="472">
        <f>L428/L429</f>
        <v>0.91421646942800783</v>
      </c>
      <c r="M430" s="473"/>
      <c r="N430" s="474"/>
      <c r="O430" s="280">
        <f>(O425+O426)/O427</f>
        <v>1</v>
      </c>
      <c r="P430" s="290">
        <f>(P425+P426)/P427</f>
        <v>0.9975758855468414</v>
      </c>
      <c r="Q430" s="472">
        <f>Q428/Q429</f>
        <v>0.94032800129261584</v>
      </c>
      <c r="R430" s="473"/>
      <c r="S430" s="474"/>
      <c r="T430" s="280">
        <f t="shared" ref="T430:Z430" si="72">(T425+T426)/T427</f>
        <v>0.9676002506265664</v>
      </c>
      <c r="U430" s="280">
        <f t="shared" si="72"/>
        <v>2.2800353356890461</v>
      </c>
      <c r="V430" s="280">
        <f t="shared" si="72"/>
        <v>0.91967403958090799</v>
      </c>
      <c r="W430" s="280">
        <f t="shared" si="72"/>
        <v>0.98360655737704916</v>
      </c>
      <c r="X430" s="280">
        <f t="shared" si="72"/>
        <v>0.87636363636363634</v>
      </c>
      <c r="Y430" s="280">
        <f t="shared" si="72"/>
        <v>0.90476190476190477</v>
      </c>
      <c r="Z430" s="280">
        <f t="shared" si="72"/>
        <v>0.76219512195121952</v>
      </c>
      <c r="AA430" s="265"/>
      <c r="AB430" s="290">
        <f>(AB425+AB426)/AB427</f>
        <v>1.0547940074906368</v>
      </c>
      <c r="AC430" s="291">
        <f>(AC425+AC426)/AC427</f>
        <v>1.0055138806413302</v>
      </c>
      <c r="AD430" s="281">
        <f>AD425/$AG$173</f>
        <v>0.90476190476190477</v>
      </c>
      <c r="AE430" s="281">
        <f>AE425/$AG$173</f>
        <v>9.5238095238095233E-2</v>
      </c>
      <c r="AF430" s="281">
        <f>AF425/$AG$173</f>
        <v>0</v>
      </c>
      <c r="AG430" s="305">
        <f>AG425/$AG$173</f>
        <v>1</v>
      </c>
      <c r="AH430" s="480"/>
      <c r="AI430" s="480"/>
      <c r="AJ430" s="480"/>
      <c r="AK430" s="480"/>
    </row>
    <row r="431" spans="1:37" ht="36" customHeight="1" x14ac:dyDescent="0.4">
      <c r="A431" s="477" t="s">
        <v>328</v>
      </c>
      <c r="B431" s="292" t="s">
        <v>269</v>
      </c>
      <c r="C431" s="258">
        <v>8554</v>
      </c>
      <c r="D431" s="258">
        <v>36203</v>
      </c>
      <c r="E431" s="258">
        <v>3913</v>
      </c>
      <c r="F431" s="258">
        <v>20075</v>
      </c>
      <c r="G431" s="258">
        <v>1648</v>
      </c>
      <c r="H431" s="258">
        <v>4936</v>
      </c>
      <c r="I431" s="258">
        <v>2479</v>
      </c>
      <c r="J431" s="258"/>
      <c r="K431" s="258"/>
      <c r="L431" s="258">
        <v>49</v>
      </c>
      <c r="M431" s="258">
        <v>448</v>
      </c>
      <c r="N431" s="258">
        <v>2141</v>
      </c>
      <c r="O431" s="258">
        <v>151</v>
      </c>
      <c r="P431" s="286">
        <f>SUM(C431:O431)</f>
        <v>80597</v>
      </c>
      <c r="Q431" s="258">
        <v>1256</v>
      </c>
      <c r="R431" s="258">
        <v>2513</v>
      </c>
      <c r="S431" s="258">
        <v>2004</v>
      </c>
      <c r="T431" s="258">
        <v>3040</v>
      </c>
      <c r="U431" s="258">
        <v>2576</v>
      </c>
      <c r="V431" s="258">
        <v>787</v>
      </c>
      <c r="W431" s="258">
        <v>300</v>
      </c>
      <c r="X431" s="258">
        <v>725</v>
      </c>
      <c r="Y431" s="67">
        <v>234</v>
      </c>
      <c r="Z431" s="67">
        <v>125</v>
      </c>
      <c r="AA431" s="261"/>
      <c r="AB431" s="286">
        <f>SUM(Q431:AA431)</f>
        <v>13560</v>
      </c>
      <c r="AC431" s="287">
        <f>P431+AB431</f>
        <v>94157</v>
      </c>
      <c r="AD431" s="278">
        <v>19</v>
      </c>
      <c r="AE431" s="278">
        <v>2</v>
      </c>
      <c r="AF431" s="278">
        <v>0</v>
      </c>
      <c r="AG431" s="279">
        <f>SUM(AD431:AF431)</f>
        <v>21</v>
      </c>
      <c r="AH431" s="478">
        <v>1777</v>
      </c>
      <c r="AI431" s="478">
        <v>2470</v>
      </c>
      <c r="AJ431" s="478">
        <v>714</v>
      </c>
      <c r="AK431" s="478">
        <f>SUM(AH431:AJ436)</f>
        <v>4961</v>
      </c>
    </row>
    <row r="432" spans="1:37" ht="36" customHeight="1" x14ac:dyDescent="0.4">
      <c r="A432" s="477"/>
      <c r="B432" s="304" t="s">
        <v>265</v>
      </c>
      <c r="C432" s="258">
        <v>38.492999999999995</v>
      </c>
      <c r="D432" s="258">
        <v>162.9135</v>
      </c>
      <c r="E432" s="258">
        <v>17.608499999999999</v>
      </c>
      <c r="F432" s="258">
        <v>90.337499999999991</v>
      </c>
      <c r="G432" s="258">
        <v>0</v>
      </c>
      <c r="H432" s="258">
        <v>0</v>
      </c>
      <c r="I432" s="258">
        <v>0</v>
      </c>
      <c r="J432" s="258"/>
      <c r="K432" s="258"/>
      <c r="L432" s="258">
        <v>45</v>
      </c>
      <c r="M432" s="258">
        <v>2.016</v>
      </c>
      <c r="N432" s="258">
        <v>9.6344999999999992</v>
      </c>
      <c r="O432" s="258">
        <v>0</v>
      </c>
      <c r="P432" s="286">
        <f>SUM(C432:O432)</f>
        <v>366.00299999999999</v>
      </c>
      <c r="Q432" s="258">
        <v>33.56</v>
      </c>
      <c r="R432" s="258">
        <v>0</v>
      </c>
      <c r="S432" s="258">
        <v>0</v>
      </c>
      <c r="T432" s="258">
        <v>30.400000000000002</v>
      </c>
      <c r="U432" s="258">
        <v>0</v>
      </c>
      <c r="V432" s="258">
        <v>0</v>
      </c>
      <c r="W432" s="258">
        <v>0</v>
      </c>
      <c r="X432" s="258">
        <v>145</v>
      </c>
      <c r="Y432" s="258">
        <v>0</v>
      </c>
      <c r="Z432" s="258">
        <v>0</v>
      </c>
      <c r="AA432" s="261"/>
      <c r="AB432" s="286">
        <f>SUM(Q432:AA432)</f>
        <v>208.96</v>
      </c>
      <c r="AC432" s="287">
        <f>P432+AB432</f>
        <v>574.96299999999997</v>
      </c>
      <c r="AD432" s="278"/>
      <c r="AE432" s="278"/>
      <c r="AF432" s="278"/>
      <c r="AG432" s="279"/>
      <c r="AH432" s="479"/>
      <c r="AI432" s="479"/>
      <c r="AJ432" s="479"/>
      <c r="AK432" s="479"/>
    </row>
    <row r="433" spans="1:37" ht="36" customHeight="1" x14ac:dyDescent="0.4">
      <c r="A433" s="477"/>
      <c r="B433" s="304" t="s">
        <v>284</v>
      </c>
      <c r="C433" s="114">
        <v>9252</v>
      </c>
      <c r="D433" s="114">
        <v>37456</v>
      </c>
      <c r="E433" s="114">
        <v>4675</v>
      </c>
      <c r="F433" s="114">
        <v>21619</v>
      </c>
      <c r="G433" s="114">
        <v>1710</v>
      </c>
      <c r="H433" s="114">
        <v>763</v>
      </c>
      <c r="I433" s="114">
        <v>2553</v>
      </c>
      <c r="J433" s="114"/>
      <c r="K433" s="114"/>
      <c r="L433" s="114">
        <v>102</v>
      </c>
      <c r="M433" s="114">
        <v>470</v>
      </c>
      <c r="N433" s="114">
        <v>2470</v>
      </c>
      <c r="O433" s="114">
        <v>151</v>
      </c>
      <c r="P433" s="286">
        <f>SUM(C433:O433)</f>
        <v>81221</v>
      </c>
      <c r="Q433" s="114">
        <v>1403</v>
      </c>
      <c r="R433" s="114">
        <v>2766</v>
      </c>
      <c r="S433" s="114">
        <v>2020</v>
      </c>
      <c r="T433" s="114">
        <v>3192</v>
      </c>
      <c r="U433" s="114">
        <v>1132</v>
      </c>
      <c r="V433" s="114">
        <v>859</v>
      </c>
      <c r="W433" s="114">
        <v>305</v>
      </c>
      <c r="X433" s="114">
        <v>990</v>
      </c>
      <c r="Y433" s="114">
        <v>252</v>
      </c>
      <c r="Z433" s="114">
        <v>164</v>
      </c>
      <c r="AA433" s="261"/>
      <c r="AB433" s="286">
        <f>SUM(Q433:AA433)</f>
        <v>13083</v>
      </c>
      <c r="AC433" s="287">
        <f>P433+AB433</f>
        <v>94304</v>
      </c>
      <c r="AD433" s="263"/>
      <c r="AE433" s="263"/>
      <c r="AF433" s="263"/>
      <c r="AG433" s="263"/>
      <c r="AH433" s="479"/>
      <c r="AI433" s="479"/>
      <c r="AJ433" s="479"/>
      <c r="AK433" s="479"/>
    </row>
    <row r="434" spans="1:37" ht="36" customHeight="1" x14ac:dyDescent="0.4">
      <c r="A434" s="477"/>
      <c r="B434" s="304" t="s">
        <v>285</v>
      </c>
      <c r="C434" s="469">
        <f>C431+D431+E431+F431+C432+D432+E432+F432</f>
        <v>69054.352499999994</v>
      </c>
      <c r="D434" s="470"/>
      <c r="E434" s="470"/>
      <c r="F434" s="471"/>
      <c r="G434" s="469">
        <f>G431+H431+I431+G432+H432+I432</f>
        <v>9063</v>
      </c>
      <c r="H434" s="470"/>
      <c r="I434" s="471"/>
      <c r="J434" s="273"/>
      <c r="K434" s="273"/>
      <c r="L434" s="469">
        <f>L431+M431+N431+L432+M432+N432</f>
        <v>2694.6505000000002</v>
      </c>
      <c r="M434" s="470"/>
      <c r="N434" s="471"/>
      <c r="O434" s="114"/>
      <c r="P434" s="286"/>
      <c r="Q434" s="469">
        <f>Q431+R431+S431+Q432+R432+S432</f>
        <v>5806.56</v>
      </c>
      <c r="R434" s="470"/>
      <c r="S434" s="471"/>
      <c r="T434" s="114"/>
      <c r="U434" s="114"/>
      <c r="V434" s="114"/>
      <c r="W434" s="114"/>
      <c r="X434" s="114"/>
      <c r="Y434" s="114"/>
      <c r="Z434" s="114"/>
      <c r="AA434" s="261"/>
      <c r="AB434" s="286"/>
      <c r="AC434" s="287"/>
      <c r="AD434" s="263"/>
      <c r="AE434" s="263"/>
      <c r="AF434" s="263"/>
      <c r="AG434" s="263"/>
      <c r="AH434" s="479"/>
      <c r="AI434" s="479"/>
      <c r="AJ434" s="479"/>
      <c r="AK434" s="479"/>
    </row>
    <row r="435" spans="1:37" ht="36" customHeight="1" x14ac:dyDescent="0.4">
      <c r="A435" s="477"/>
      <c r="B435" s="304" t="s">
        <v>247</v>
      </c>
      <c r="C435" s="469">
        <f>C433+D433+E433+F433</f>
        <v>73002</v>
      </c>
      <c r="D435" s="470"/>
      <c r="E435" s="470"/>
      <c r="F435" s="471"/>
      <c r="G435" s="469">
        <f>G433+H433+I433</f>
        <v>5026</v>
      </c>
      <c r="H435" s="470"/>
      <c r="I435" s="471"/>
      <c r="J435" s="273"/>
      <c r="K435" s="273"/>
      <c r="L435" s="469">
        <f>L433+M433+N433</f>
        <v>3042</v>
      </c>
      <c r="M435" s="470"/>
      <c r="N435" s="471"/>
      <c r="O435" s="114"/>
      <c r="P435" s="286"/>
      <c r="Q435" s="469">
        <f>Q433+R433+S433</f>
        <v>6189</v>
      </c>
      <c r="R435" s="470"/>
      <c r="S435" s="471"/>
      <c r="T435" s="114"/>
      <c r="U435" s="114"/>
      <c r="V435" s="114"/>
      <c r="W435" s="114"/>
      <c r="X435" s="114"/>
      <c r="Y435" s="114"/>
      <c r="Z435" s="114"/>
      <c r="AA435" s="261"/>
      <c r="AB435" s="286"/>
      <c r="AC435" s="287"/>
      <c r="AD435" s="263"/>
      <c r="AE435" s="263"/>
      <c r="AF435" s="263"/>
      <c r="AG435" s="263"/>
      <c r="AH435" s="479"/>
      <c r="AI435" s="479"/>
      <c r="AJ435" s="479"/>
      <c r="AK435" s="479"/>
    </row>
    <row r="436" spans="1:37" ht="36" customHeight="1" x14ac:dyDescent="0.4">
      <c r="A436" s="477"/>
      <c r="B436" s="297" t="s">
        <v>262</v>
      </c>
      <c r="C436" s="472">
        <f>C434/C435</f>
        <v>0.94592411851730085</v>
      </c>
      <c r="D436" s="473"/>
      <c r="E436" s="473"/>
      <c r="F436" s="474"/>
      <c r="G436" s="472">
        <f>G434/G435</f>
        <v>1.8032232391563867</v>
      </c>
      <c r="H436" s="473"/>
      <c r="I436" s="474"/>
      <c r="J436" s="276"/>
      <c r="K436" s="276"/>
      <c r="L436" s="472">
        <f>L434/L435</f>
        <v>0.88581541748849446</v>
      </c>
      <c r="M436" s="473"/>
      <c r="N436" s="474"/>
      <c r="O436" s="280">
        <f>(O431+O432)/O433</f>
        <v>1</v>
      </c>
      <c r="P436" s="290">
        <f>(P431+P432)/P433</f>
        <v>0.99682351854815865</v>
      </c>
      <c r="Q436" s="472">
        <f>Q434/Q435</f>
        <v>0.93820649539505585</v>
      </c>
      <c r="R436" s="473"/>
      <c r="S436" s="474"/>
      <c r="T436" s="280">
        <f t="shared" ref="T436:Z436" si="73">(T431+T432)/T433</f>
        <v>0.96190476190476193</v>
      </c>
      <c r="U436" s="280">
        <f t="shared" si="73"/>
        <v>2.2756183745583041</v>
      </c>
      <c r="V436" s="280">
        <f t="shared" si="73"/>
        <v>0.91618160651920844</v>
      </c>
      <c r="W436" s="280">
        <f t="shared" si="73"/>
        <v>0.98360655737704916</v>
      </c>
      <c r="X436" s="280">
        <f t="shared" si="73"/>
        <v>0.87878787878787878</v>
      </c>
      <c r="Y436" s="280">
        <f t="shared" si="73"/>
        <v>0.9285714285714286</v>
      </c>
      <c r="Z436" s="280">
        <f t="shared" si="73"/>
        <v>0.76219512195121952</v>
      </c>
      <c r="AA436" s="265"/>
      <c r="AB436" s="290">
        <f>(AB431+AB432)/AB433</f>
        <v>1.0524313995261025</v>
      </c>
      <c r="AC436" s="291">
        <f>(AC431+AC432)/AC433</f>
        <v>1.0045381213946387</v>
      </c>
      <c r="AD436" s="281">
        <f>AD431/$AG$173</f>
        <v>0.90476190476190477</v>
      </c>
      <c r="AE436" s="281">
        <f>AE431/$AG$173</f>
        <v>9.5238095238095233E-2</v>
      </c>
      <c r="AF436" s="281">
        <f>AF431/$AG$173</f>
        <v>0</v>
      </c>
      <c r="AG436" s="305">
        <f>AG431/$AG$173</f>
        <v>1</v>
      </c>
      <c r="AH436" s="480"/>
      <c r="AI436" s="480"/>
      <c r="AJ436" s="480"/>
      <c r="AK436" s="480"/>
    </row>
    <row r="437" spans="1:37" ht="36" customHeight="1" x14ac:dyDescent="0.4">
      <c r="A437" s="477" t="s">
        <v>329</v>
      </c>
      <c r="B437" s="292" t="s">
        <v>269</v>
      </c>
      <c r="C437" s="258">
        <v>8493</v>
      </c>
      <c r="D437" s="258">
        <v>36416</v>
      </c>
      <c r="E437" s="258">
        <v>3847</v>
      </c>
      <c r="F437" s="258">
        <v>20191</v>
      </c>
      <c r="G437" s="258">
        <v>1653</v>
      </c>
      <c r="H437" s="258">
        <v>5009</v>
      </c>
      <c r="I437" s="258">
        <v>2473</v>
      </c>
      <c r="J437" s="258"/>
      <c r="K437" s="258"/>
      <c r="L437" s="258">
        <v>50</v>
      </c>
      <c r="M437" s="258">
        <v>450</v>
      </c>
      <c r="N437" s="258">
        <v>2077</v>
      </c>
      <c r="O437" s="258">
        <v>150</v>
      </c>
      <c r="P437" s="286">
        <f>SUM(C437:O437)</f>
        <v>80809</v>
      </c>
      <c r="Q437" s="258">
        <v>1277</v>
      </c>
      <c r="R437" s="258">
        <v>2483</v>
      </c>
      <c r="S437" s="258">
        <v>1997</v>
      </c>
      <c r="T437" s="258">
        <v>3019</v>
      </c>
      <c r="U437" s="258">
        <v>2622</v>
      </c>
      <c r="V437" s="258">
        <v>792</v>
      </c>
      <c r="W437" s="258">
        <v>299</v>
      </c>
      <c r="X437" s="258">
        <v>729</v>
      </c>
      <c r="Y437" s="67">
        <v>235</v>
      </c>
      <c r="Z437" s="67">
        <v>126</v>
      </c>
      <c r="AA437" s="261"/>
      <c r="AB437" s="286">
        <f>SUM(Q437:AA437)</f>
        <v>13579</v>
      </c>
      <c r="AC437" s="287">
        <f>P437+AB437</f>
        <v>94388</v>
      </c>
      <c r="AD437" s="278">
        <v>18</v>
      </c>
      <c r="AE437" s="278">
        <v>3</v>
      </c>
      <c r="AF437" s="278">
        <v>0</v>
      </c>
      <c r="AG437" s="279">
        <f>SUM(AD437:AF437)</f>
        <v>21</v>
      </c>
      <c r="AH437" s="478">
        <v>2034</v>
      </c>
      <c r="AI437" s="478">
        <v>2498</v>
      </c>
      <c r="AJ437" s="478">
        <v>800</v>
      </c>
      <c r="AK437" s="478">
        <f>SUM(AH437:AJ442)</f>
        <v>5332</v>
      </c>
    </row>
    <row r="438" spans="1:37" ht="36" customHeight="1" x14ac:dyDescent="0.4">
      <c r="A438" s="477"/>
      <c r="B438" s="304" t="s">
        <v>265</v>
      </c>
      <c r="C438" s="258">
        <v>38.218499999999999</v>
      </c>
      <c r="D438" s="258">
        <v>163.87199999999999</v>
      </c>
      <c r="E438" s="258">
        <v>17.311499999999999</v>
      </c>
      <c r="F438" s="258">
        <v>90.859499999999997</v>
      </c>
      <c r="G438" s="258">
        <v>0</v>
      </c>
      <c r="H438" s="258">
        <v>0</v>
      </c>
      <c r="I438" s="258">
        <v>0</v>
      </c>
      <c r="J438" s="258"/>
      <c r="K438" s="258"/>
      <c r="L438" s="258">
        <v>45</v>
      </c>
      <c r="M438" s="258">
        <v>2.0249999999999999</v>
      </c>
      <c r="N438" s="258">
        <v>9.3464999999999989</v>
      </c>
      <c r="O438" s="258">
        <v>0</v>
      </c>
      <c r="P438" s="286">
        <f>SUM(C438:O438)</f>
        <v>366.63299999999992</v>
      </c>
      <c r="Q438" s="258">
        <v>33.769999999999996</v>
      </c>
      <c r="R438" s="258">
        <v>0</v>
      </c>
      <c r="S438" s="258">
        <v>0</v>
      </c>
      <c r="T438" s="258">
        <v>30.19</v>
      </c>
      <c r="U438" s="258">
        <v>0</v>
      </c>
      <c r="V438" s="258">
        <v>0</v>
      </c>
      <c r="W438" s="258">
        <v>0</v>
      </c>
      <c r="X438" s="258">
        <v>145.80000000000001</v>
      </c>
      <c r="Y438" s="258">
        <v>0</v>
      </c>
      <c r="Z438" s="258">
        <v>0</v>
      </c>
      <c r="AA438" s="261"/>
      <c r="AB438" s="286">
        <f>SUM(Q438:AA438)</f>
        <v>209.76</v>
      </c>
      <c r="AC438" s="287">
        <f>P438+AB438</f>
        <v>576.39299999999992</v>
      </c>
      <c r="AD438" s="278"/>
      <c r="AE438" s="278"/>
      <c r="AF438" s="278"/>
      <c r="AG438" s="279"/>
      <c r="AH438" s="479"/>
      <c r="AI438" s="479"/>
      <c r="AJ438" s="479"/>
      <c r="AK438" s="479"/>
    </row>
    <row r="439" spans="1:37" ht="36" customHeight="1" x14ac:dyDescent="0.4">
      <c r="A439" s="477"/>
      <c r="B439" s="304" t="s">
        <v>284</v>
      </c>
      <c r="C439" s="114">
        <v>9252</v>
      </c>
      <c r="D439" s="114">
        <v>37456</v>
      </c>
      <c r="E439" s="114">
        <v>4675</v>
      </c>
      <c r="F439" s="114">
        <v>21619</v>
      </c>
      <c r="G439" s="114">
        <v>1710</v>
      </c>
      <c r="H439" s="114">
        <v>763</v>
      </c>
      <c r="I439" s="114">
        <v>2553</v>
      </c>
      <c r="J439" s="114"/>
      <c r="K439" s="114"/>
      <c r="L439" s="114">
        <v>102</v>
      </c>
      <c r="M439" s="114">
        <v>470</v>
      </c>
      <c r="N439" s="114">
        <v>2470</v>
      </c>
      <c r="O439" s="114">
        <v>151</v>
      </c>
      <c r="P439" s="286">
        <f>SUM(C439:O439)</f>
        <v>81221</v>
      </c>
      <c r="Q439" s="114">
        <v>1403</v>
      </c>
      <c r="R439" s="114">
        <v>2766</v>
      </c>
      <c r="S439" s="114">
        <v>2020</v>
      </c>
      <c r="T439" s="114">
        <v>3192</v>
      </c>
      <c r="U439" s="114">
        <v>1132</v>
      </c>
      <c r="V439" s="114">
        <v>859</v>
      </c>
      <c r="W439" s="114">
        <v>305</v>
      </c>
      <c r="X439" s="114">
        <v>990</v>
      </c>
      <c r="Y439" s="114">
        <v>252</v>
      </c>
      <c r="Z439" s="114">
        <v>164</v>
      </c>
      <c r="AA439" s="261"/>
      <c r="AB439" s="286">
        <f>SUM(Q439:AA439)</f>
        <v>13083</v>
      </c>
      <c r="AC439" s="287">
        <f>P439+AB439</f>
        <v>94304</v>
      </c>
      <c r="AD439" s="263"/>
      <c r="AE439" s="263"/>
      <c r="AF439" s="263"/>
      <c r="AG439" s="263"/>
      <c r="AH439" s="479"/>
      <c r="AI439" s="479"/>
      <c r="AJ439" s="479"/>
      <c r="AK439" s="479"/>
    </row>
    <row r="440" spans="1:37" ht="36" customHeight="1" x14ac:dyDescent="0.4">
      <c r="A440" s="477"/>
      <c r="B440" s="304" t="s">
        <v>285</v>
      </c>
      <c r="C440" s="469">
        <f>C437+D437+E437+F437+C438+D438+E438+F438</f>
        <v>69257.261500000008</v>
      </c>
      <c r="D440" s="470"/>
      <c r="E440" s="470"/>
      <c r="F440" s="471"/>
      <c r="G440" s="469">
        <f>G437+H437+I437+G438+H438+I438</f>
        <v>9135</v>
      </c>
      <c r="H440" s="470"/>
      <c r="I440" s="471"/>
      <c r="J440" s="273"/>
      <c r="K440" s="273"/>
      <c r="L440" s="469">
        <f>L437+M437+N437+L438+M438+N438</f>
        <v>2633.3715000000002</v>
      </c>
      <c r="M440" s="470"/>
      <c r="N440" s="471"/>
      <c r="O440" s="114"/>
      <c r="P440" s="286"/>
      <c r="Q440" s="469">
        <f>Q437+R437+S437+Q438+R438+S438</f>
        <v>5790.77</v>
      </c>
      <c r="R440" s="470"/>
      <c r="S440" s="471"/>
      <c r="T440" s="114"/>
      <c r="U440" s="114"/>
      <c r="V440" s="114"/>
      <c r="W440" s="114"/>
      <c r="X440" s="114"/>
      <c r="Y440" s="114"/>
      <c r="Z440" s="114"/>
      <c r="AA440" s="261"/>
      <c r="AB440" s="286"/>
      <c r="AC440" s="287"/>
      <c r="AD440" s="263"/>
      <c r="AE440" s="263"/>
      <c r="AF440" s="263"/>
      <c r="AG440" s="263"/>
      <c r="AH440" s="479"/>
      <c r="AI440" s="479"/>
      <c r="AJ440" s="479"/>
      <c r="AK440" s="479"/>
    </row>
    <row r="441" spans="1:37" ht="36" customHeight="1" x14ac:dyDescent="0.4">
      <c r="A441" s="477"/>
      <c r="B441" s="304" t="s">
        <v>247</v>
      </c>
      <c r="C441" s="469">
        <f>C439+D439+E439+F439</f>
        <v>73002</v>
      </c>
      <c r="D441" s="470"/>
      <c r="E441" s="470"/>
      <c r="F441" s="471"/>
      <c r="G441" s="469">
        <f>G439+H439+I439</f>
        <v>5026</v>
      </c>
      <c r="H441" s="470"/>
      <c r="I441" s="471"/>
      <c r="J441" s="273"/>
      <c r="K441" s="273"/>
      <c r="L441" s="469">
        <f>L439+M439+N439</f>
        <v>3042</v>
      </c>
      <c r="M441" s="470"/>
      <c r="N441" s="471"/>
      <c r="O441" s="114"/>
      <c r="P441" s="286"/>
      <c r="Q441" s="469">
        <f>Q439+R439+S439</f>
        <v>6189</v>
      </c>
      <c r="R441" s="470"/>
      <c r="S441" s="471"/>
      <c r="T441" s="114"/>
      <c r="U441" s="114"/>
      <c r="V441" s="114"/>
      <c r="W441" s="114"/>
      <c r="X441" s="114"/>
      <c r="Y441" s="114"/>
      <c r="Z441" s="114"/>
      <c r="AA441" s="261"/>
      <c r="AB441" s="286"/>
      <c r="AC441" s="287"/>
      <c r="AD441" s="263"/>
      <c r="AE441" s="263"/>
      <c r="AF441" s="263"/>
      <c r="AG441" s="263"/>
      <c r="AH441" s="479"/>
      <c r="AI441" s="479"/>
      <c r="AJ441" s="479"/>
      <c r="AK441" s="479"/>
    </row>
    <row r="442" spans="1:37" ht="36" customHeight="1" x14ac:dyDescent="0.4">
      <c r="A442" s="477"/>
      <c r="B442" s="297" t="s">
        <v>262</v>
      </c>
      <c r="C442" s="472">
        <f>C440/C441</f>
        <v>0.94870361770910394</v>
      </c>
      <c r="D442" s="473"/>
      <c r="E442" s="473"/>
      <c r="F442" s="474"/>
      <c r="G442" s="472">
        <f>G440/G441</f>
        <v>1.8175487465181059</v>
      </c>
      <c r="H442" s="473"/>
      <c r="I442" s="474"/>
      <c r="J442" s="276"/>
      <c r="K442" s="276"/>
      <c r="L442" s="472">
        <f>L440/L441</f>
        <v>0.86567110453648921</v>
      </c>
      <c r="M442" s="473"/>
      <c r="N442" s="474"/>
      <c r="O442" s="280">
        <f>(O437+O438)/O439</f>
        <v>0.99337748344370858</v>
      </c>
      <c r="P442" s="290">
        <f>(P437+P438)/P439</f>
        <v>0.99944143755925197</v>
      </c>
      <c r="Q442" s="472">
        <f>Q440/Q441</f>
        <v>0.93565519470027481</v>
      </c>
      <c r="R442" s="473"/>
      <c r="S442" s="474"/>
      <c r="T442" s="280">
        <f t="shared" ref="T442:Z442" si="74">(T437+T438)/T439</f>
        <v>0.95526002506265661</v>
      </c>
      <c r="U442" s="280">
        <f t="shared" si="74"/>
        <v>2.3162544169611308</v>
      </c>
      <c r="V442" s="280">
        <f t="shared" si="74"/>
        <v>0.92200232828870776</v>
      </c>
      <c r="W442" s="280">
        <f t="shared" si="74"/>
        <v>0.98032786885245904</v>
      </c>
      <c r="X442" s="280">
        <f t="shared" si="74"/>
        <v>0.88363636363636355</v>
      </c>
      <c r="Y442" s="280">
        <f t="shared" si="74"/>
        <v>0.93253968253968256</v>
      </c>
      <c r="Z442" s="280">
        <f t="shared" si="74"/>
        <v>0.76829268292682928</v>
      </c>
      <c r="AA442" s="265"/>
      <c r="AB442" s="290">
        <f>(AB437+AB438)/AB439</f>
        <v>1.0539448138806085</v>
      </c>
      <c r="AC442" s="291">
        <f>(AC437+AC438)/AC439</f>
        <v>1.0070028100610791</v>
      </c>
      <c r="AD442" s="281">
        <f>AD437/$AG$173</f>
        <v>0.8571428571428571</v>
      </c>
      <c r="AE442" s="281">
        <f>AE437/$AG$173</f>
        <v>0.14285714285714285</v>
      </c>
      <c r="AF442" s="281">
        <f>AF437/$AG$173</f>
        <v>0</v>
      </c>
      <c r="AG442" s="305">
        <f>AG437/$AG$173</f>
        <v>1</v>
      </c>
      <c r="AH442" s="480"/>
      <c r="AI442" s="480"/>
      <c r="AJ442" s="480"/>
      <c r="AK442" s="480"/>
    </row>
    <row r="443" spans="1:37" ht="36" customHeight="1" x14ac:dyDescent="0.4">
      <c r="A443" s="477" t="s">
        <v>330</v>
      </c>
      <c r="B443" s="292" t="s">
        <v>269</v>
      </c>
      <c r="C443" s="258">
        <v>8518</v>
      </c>
      <c r="D443" s="258">
        <v>36440</v>
      </c>
      <c r="E443" s="258">
        <v>3833</v>
      </c>
      <c r="F443" s="258">
        <v>20336</v>
      </c>
      <c r="G443" s="258">
        <v>1651</v>
      </c>
      <c r="H443" s="258">
        <v>5037</v>
      </c>
      <c r="I443" s="258">
        <v>2499</v>
      </c>
      <c r="J443" s="258"/>
      <c r="K443" s="258"/>
      <c r="L443" s="258">
        <v>32</v>
      </c>
      <c r="M443" s="258">
        <v>448</v>
      </c>
      <c r="N443" s="258">
        <v>2141</v>
      </c>
      <c r="O443" s="258">
        <v>150</v>
      </c>
      <c r="P443" s="286">
        <f>SUM(C443:O443)</f>
        <v>81085</v>
      </c>
      <c r="Q443" s="258">
        <v>1255</v>
      </c>
      <c r="R443" s="258">
        <v>2520</v>
      </c>
      <c r="S443" s="258">
        <v>1998</v>
      </c>
      <c r="T443" s="258">
        <v>3020</v>
      </c>
      <c r="U443" s="258">
        <v>2624</v>
      </c>
      <c r="V443" s="258">
        <v>800</v>
      </c>
      <c r="W443" s="258">
        <v>299</v>
      </c>
      <c r="X443" s="258">
        <v>728</v>
      </c>
      <c r="Y443" s="67">
        <v>241</v>
      </c>
      <c r="Z443" s="67">
        <v>126</v>
      </c>
      <c r="AA443" s="261"/>
      <c r="AB443" s="286">
        <f>SUM(Q443:AA443)</f>
        <v>13611</v>
      </c>
      <c r="AC443" s="287">
        <f>P443+AB443</f>
        <v>94696</v>
      </c>
      <c r="AD443" s="278">
        <v>18</v>
      </c>
      <c r="AE443" s="278">
        <v>3</v>
      </c>
      <c r="AF443" s="278">
        <v>0</v>
      </c>
      <c r="AG443" s="279">
        <f>SUM(AD443:AF443)</f>
        <v>21</v>
      </c>
      <c r="AH443" s="478">
        <v>1766</v>
      </c>
      <c r="AI443" s="478">
        <v>1786</v>
      </c>
      <c r="AJ443" s="478">
        <v>478</v>
      </c>
      <c r="AK443" s="478">
        <f>SUM(AH443:AJ448)</f>
        <v>4030</v>
      </c>
    </row>
    <row r="444" spans="1:37" ht="36" customHeight="1" x14ac:dyDescent="0.4">
      <c r="A444" s="477"/>
      <c r="B444" s="304" t="s">
        <v>265</v>
      </c>
      <c r="C444" s="258">
        <v>38.330999999999996</v>
      </c>
      <c r="D444" s="258">
        <v>163.98</v>
      </c>
      <c r="E444" s="258">
        <v>17.2485</v>
      </c>
      <c r="F444" s="258">
        <v>91.511999999999986</v>
      </c>
      <c r="G444" s="258">
        <v>0</v>
      </c>
      <c r="H444" s="258">
        <v>0</v>
      </c>
      <c r="I444" s="258">
        <v>0</v>
      </c>
      <c r="J444" s="258"/>
      <c r="K444" s="258"/>
      <c r="L444" s="258">
        <v>42</v>
      </c>
      <c r="M444" s="258">
        <v>2.016</v>
      </c>
      <c r="N444" s="258">
        <v>9.6344999999999992</v>
      </c>
      <c r="O444" s="258">
        <v>0</v>
      </c>
      <c r="P444" s="286">
        <f>SUM(C444:O444)</f>
        <v>364.72199999999998</v>
      </c>
      <c r="Q444" s="258">
        <v>33.549999999999997</v>
      </c>
      <c r="R444" s="258">
        <v>0</v>
      </c>
      <c r="S444" s="258">
        <v>0</v>
      </c>
      <c r="T444" s="258">
        <v>30.2</v>
      </c>
      <c r="U444" s="258">
        <v>0</v>
      </c>
      <c r="V444" s="258">
        <v>0</v>
      </c>
      <c r="W444" s="258">
        <v>0</v>
      </c>
      <c r="X444" s="258">
        <v>145.6</v>
      </c>
      <c r="Y444" s="258">
        <v>0</v>
      </c>
      <c r="Z444" s="258">
        <v>0</v>
      </c>
      <c r="AA444" s="261"/>
      <c r="AB444" s="286">
        <f>SUM(Q444:AA444)</f>
        <v>209.35</v>
      </c>
      <c r="AC444" s="287">
        <f>P444+AB444</f>
        <v>574.072</v>
      </c>
      <c r="AD444" s="278"/>
      <c r="AE444" s="278"/>
      <c r="AF444" s="278"/>
      <c r="AG444" s="279"/>
      <c r="AH444" s="479"/>
      <c r="AI444" s="479"/>
      <c r="AJ444" s="479"/>
      <c r="AK444" s="479"/>
    </row>
    <row r="445" spans="1:37" ht="36" customHeight="1" x14ac:dyDescent="0.4">
      <c r="A445" s="477"/>
      <c r="B445" s="304" t="s">
        <v>284</v>
      </c>
      <c r="C445" s="114">
        <v>9252</v>
      </c>
      <c r="D445" s="114">
        <v>37456</v>
      </c>
      <c r="E445" s="114">
        <v>4675</v>
      </c>
      <c r="F445" s="114">
        <v>21619</v>
      </c>
      <c r="G445" s="114">
        <v>1710</v>
      </c>
      <c r="H445" s="114">
        <v>763</v>
      </c>
      <c r="I445" s="114">
        <v>2553</v>
      </c>
      <c r="J445" s="114"/>
      <c r="K445" s="114"/>
      <c r="L445" s="114">
        <v>102</v>
      </c>
      <c r="M445" s="114">
        <v>470</v>
      </c>
      <c r="N445" s="114">
        <v>2470</v>
      </c>
      <c r="O445" s="114">
        <v>151</v>
      </c>
      <c r="P445" s="286">
        <f>SUM(C445:O445)</f>
        <v>81221</v>
      </c>
      <c r="Q445" s="114">
        <v>1403</v>
      </c>
      <c r="R445" s="114">
        <v>2766</v>
      </c>
      <c r="S445" s="114">
        <v>2020</v>
      </c>
      <c r="T445" s="114">
        <v>3192</v>
      </c>
      <c r="U445" s="114">
        <v>1132</v>
      </c>
      <c r="V445" s="114">
        <v>859</v>
      </c>
      <c r="W445" s="114">
        <v>305</v>
      </c>
      <c r="X445" s="114">
        <v>990</v>
      </c>
      <c r="Y445" s="114">
        <v>252</v>
      </c>
      <c r="Z445" s="114">
        <v>164</v>
      </c>
      <c r="AA445" s="261"/>
      <c r="AB445" s="286">
        <f>SUM(Q445:AA445)</f>
        <v>13083</v>
      </c>
      <c r="AC445" s="287">
        <f>P445+AB445</f>
        <v>94304</v>
      </c>
      <c r="AD445" s="263"/>
      <c r="AE445" s="263"/>
      <c r="AF445" s="263"/>
      <c r="AG445" s="263"/>
      <c r="AH445" s="479"/>
      <c r="AI445" s="479"/>
      <c r="AJ445" s="479"/>
      <c r="AK445" s="479"/>
    </row>
    <row r="446" spans="1:37" ht="36" customHeight="1" x14ac:dyDescent="0.4">
      <c r="A446" s="477"/>
      <c r="B446" s="304" t="s">
        <v>285</v>
      </c>
      <c r="C446" s="469">
        <f>C443+D443+E443+F443+C444+D444+E444+F444</f>
        <v>69438.071500000005</v>
      </c>
      <c r="D446" s="470"/>
      <c r="E446" s="470"/>
      <c r="F446" s="471"/>
      <c r="G446" s="469">
        <f>G443+H443+I443+G444+H444+I444</f>
        <v>9187</v>
      </c>
      <c r="H446" s="470"/>
      <c r="I446" s="471"/>
      <c r="J446" s="273"/>
      <c r="K446" s="273"/>
      <c r="L446" s="469">
        <f>L443+M443+N443+L444+M444+N444</f>
        <v>2674.6505000000002</v>
      </c>
      <c r="M446" s="470"/>
      <c r="N446" s="471"/>
      <c r="O446" s="114"/>
      <c r="P446" s="286"/>
      <c r="Q446" s="469">
        <f>Q443+R443+S443+Q444+R444+S444</f>
        <v>5806.55</v>
      </c>
      <c r="R446" s="470"/>
      <c r="S446" s="471"/>
      <c r="T446" s="114"/>
      <c r="U446" s="114"/>
      <c r="V446" s="114"/>
      <c r="W446" s="114"/>
      <c r="X446" s="114"/>
      <c r="Y446" s="114"/>
      <c r="Z446" s="114"/>
      <c r="AA446" s="261"/>
      <c r="AB446" s="286"/>
      <c r="AC446" s="287"/>
      <c r="AD446" s="263"/>
      <c r="AE446" s="263"/>
      <c r="AF446" s="263"/>
      <c r="AG446" s="263"/>
      <c r="AH446" s="479"/>
      <c r="AI446" s="479"/>
      <c r="AJ446" s="479"/>
      <c r="AK446" s="479"/>
    </row>
    <row r="447" spans="1:37" ht="36" customHeight="1" x14ac:dyDescent="0.4">
      <c r="A447" s="477"/>
      <c r="B447" s="304" t="s">
        <v>247</v>
      </c>
      <c r="C447" s="469">
        <f>C445+D445+E445+F445</f>
        <v>73002</v>
      </c>
      <c r="D447" s="470"/>
      <c r="E447" s="470"/>
      <c r="F447" s="471"/>
      <c r="G447" s="469">
        <f>G445+H445+I445</f>
        <v>5026</v>
      </c>
      <c r="H447" s="470"/>
      <c r="I447" s="471"/>
      <c r="J447" s="273"/>
      <c r="K447" s="273"/>
      <c r="L447" s="469">
        <f>L445+M445+N445</f>
        <v>3042</v>
      </c>
      <c r="M447" s="470"/>
      <c r="N447" s="471"/>
      <c r="O447" s="114"/>
      <c r="P447" s="286"/>
      <c r="Q447" s="469">
        <f>Q445+R445+S445</f>
        <v>6189</v>
      </c>
      <c r="R447" s="470"/>
      <c r="S447" s="471"/>
      <c r="T447" s="114"/>
      <c r="U447" s="114"/>
      <c r="V447" s="114"/>
      <c r="W447" s="114"/>
      <c r="X447" s="114"/>
      <c r="Y447" s="114"/>
      <c r="Z447" s="114"/>
      <c r="AA447" s="261"/>
      <c r="AB447" s="286"/>
      <c r="AC447" s="287"/>
      <c r="AD447" s="263"/>
      <c r="AE447" s="263"/>
      <c r="AF447" s="263"/>
      <c r="AG447" s="263"/>
      <c r="AH447" s="479"/>
      <c r="AI447" s="479"/>
      <c r="AJ447" s="479"/>
      <c r="AK447" s="479"/>
    </row>
    <row r="448" spans="1:37" ht="36" customHeight="1" x14ac:dyDescent="0.4">
      <c r="A448" s="477"/>
      <c r="B448" s="297" t="s">
        <v>262</v>
      </c>
      <c r="C448" s="472">
        <f>C446/C447</f>
        <v>0.95118039916714614</v>
      </c>
      <c r="D448" s="473"/>
      <c r="E448" s="473"/>
      <c r="F448" s="474"/>
      <c r="G448" s="472">
        <f>G446/G447</f>
        <v>1.8278949462793475</v>
      </c>
      <c r="H448" s="473"/>
      <c r="I448" s="474"/>
      <c r="J448" s="276"/>
      <c r="K448" s="276"/>
      <c r="L448" s="472">
        <f>L446/L447</f>
        <v>0.87924079552925716</v>
      </c>
      <c r="M448" s="473"/>
      <c r="N448" s="474"/>
      <c r="O448" s="280">
        <f>(O443+O444)/O445</f>
        <v>0.99337748344370858</v>
      </c>
      <c r="P448" s="290">
        <f>(P443+P444)/P445</f>
        <v>1.0028160451114858</v>
      </c>
      <c r="Q448" s="472">
        <f>Q446/Q447</f>
        <v>0.93820487962514143</v>
      </c>
      <c r="R448" s="473"/>
      <c r="S448" s="474"/>
      <c r="T448" s="280">
        <f t="shared" ref="T448:Z448" si="75">(T443+T444)/T445</f>
        <v>0.95557644110275686</v>
      </c>
      <c r="U448" s="280">
        <f t="shared" si="75"/>
        <v>2.3180212014134276</v>
      </c>
      <c r="V448" s="280">
        <f t="shared" si="75"/>
        <v>0.93131548311990686</v>
      </c>
      <c r="W448" s="280">
        <f t="shared" si="75"/>
        <v>0.98032786885245904</v>
      </c>
      <c r="X448" s="280">
        <f t="shared" si="75"/>
        <v>0.88242424242424244</v>
      </c>
      <c r="Y448" s="280">
        <f t="shared" si="75"/>
        <v>0.95634920634920639</v>
      </c>
      <c r="Z448" s="280">
        <f t="shared" si="75"/>
        <v>0.76829268292682928</v>
      </c>
      <c r="AA448" s="265"/>
      <c r="AB448" s="290">
        <f>(AB443+AB444)/AB445</f>
        <v>1.056359397691661</v>
      </c>
      <c r="AC448" s="291">
        <f>(AC443+AC444)/AC445</f>
        <v>1.0102442314217848</v>
      </c>
      <c r="AD448" s="281">
        <f>AD443/$AG$173</f>
        <v>0.8571428571428571</v>
      </c>
      <c r="AE448" s="281">
        <f>AE443/$AG$173</f>
        <v>0.14285714285714285</v>
      </c>
      <c r="AF448" s="281">
        <f>AF443/$AG$173</f>
        <v>0</v>
      </c>
      <c r="AG448" s="305">
        <f>AG443/$AG$173</f>
        <v>1</v>
      </c>
      <c r="AH448" s="480"/>
      <c r="AI448" s="480"/>
      <c r="AJ448" s="480"/>
      <c r="AK448" s="480"/>
    </row>
    <row r="449" spans="1:37" ht="36" customHeight="1" x14ac:dyDescent="0.4">
      <c r="A449" s="477" t="s">
        <v>331</v>
      </c>
      <c r="B449" s="292" t="s">
        <v>269</v>
      </c>
      <c r="C449" s="258">
        <v>8518</v>
      </c>
      <c r="D449" s="258">
        <v>36358</v>
      </c>
      <c r="E449" s="258">
        <v>3819</v>
      </c>
      <c r="F449" s="258">
        <v>20337</v>
      </c>
      <c r="G449" s="258">
        <v>1658</v>
      </c>
      <c r="H449" s="258">
        <v>5027</v>
      </c>
      <c r="I449" s="258">
        <v>2484</v>
      </c>
      <c r="J449" s="258"/>
      <c r="K449" s="258"/>
      <c r="L449" s="258">
        <v>37</v>
      </c>
      <c r="M449" s="258">
        <v>443</v>
      </c>
      <c r="N449" s="258">
        <v>2113</v>
      </c>
      <c r="O449" s="258">
        <v>150</v>
      </c>
      <c r="P449" s="286">
        <f>SUM(C449:O449)</f>
        <v>80944</v>
      </c>
      <c r="Q449" s="258">
        <v>1231</v>
      </c>
      <c r="R449" s="258">
        <v>2560</v>
      </c>
      <c r="S449" s="258">
        <v>1992</v>
      </c>
      <c r="T449" s="258">
        <v>3019</v>
      </c>
      <c r="U449" s="258">
        <v>2612</v>
      </c>
      <c r="V449" s="258">
        <v>803</v>
      </c>
      <c r="W449" s="258">
        <v>299</v>
      </c>
      <c r="X449" s="258">
        <v>729</v>
      </c>
      <c r="Y449" s="67">
        <v>247</v>
      </c>
      <c r="Z449" s="67">
        <v>126</v>
      </c>
      <c r="AA449" s="261"/>
      <c r="AB449" s="286">
        <f>SUM(Q449:AA449)</f>
        <v>13618</v>
      </c>
      <c r="AC449" s="287">
        <f>P449+AB449</f>
        <v>94562</v>
      </c>
      <c r="AD449" s="278">
        <v>18</v>
      </c>
      <c r="AE449" s="278">
        <v>3</v>
      </c>
      <c r="AF449" s="278">
        <v>0</v>
      </c>
      <c r="AG449" s="279">
        <f>SUM(AD449:AF449)</f>
        <v>21</v>
      </c>
      <c r="AH449" s="478">
        <v>1762</v>
      </c>
      <c r="AI449" s="478">
        <v>2207</v>
      </c>
      <c r="AJ449" s="478">
        <v>405</v>
      </c>
      <c r="AK449" s="478">
        <f>SUM(AH449:AJ454)</f>
        <v>4374</v>
      </c>
    </row>
    <row r="450" spans="1:37" ht="36" customHeight="1" x14ac:dyDescent="0.4">
      <c r="A450" s="477"/>
      <c r="B450" s="304" t="s">
        <v>265</v>
      </c>
      <c r="C450" s="258">
        <v>38.330999999999996</v>
      </c>
      <c r="D450" s="258">
        <v>163.61099999999999</v>
      </c>
      <c r="E450" s="258">
        <v>17.185499999999998</v>
      </c>
      <c r="F450" s="258">
        <v>91.516499999999994</v>
      </c>
      <c r="G450" s="258">
        <v>0</v>
      </c>
      <c r="H450" s="258">
        <v>0</v>
      </c>
      <c r="I450" s="258">
        <v>0</v>
      </c>
      <c r="J450" s="258"/>
      <c r="K450" s="258"/>
      <c r="L450" s="258">
        <v>53</v>
      </c>
      <c r="M450" s="258">
        <v>1.9934999999999998</v>
      </c>
      <c r="N450" s="258">
        <v>9.5084999999999997</v>
      </c>
      <c r="O450" s="258">
        <v>0</v>
      </c>
      <c r="P450" s="286">
        <f>SUM(C450:O450)</f>
        <v>375.14599999999996</v>
      </c>
      <c r="Q450" s="258">
        <v>33.31</v>
      </c>
      <c r="R450" s="258">
        <v>0</v>
      </c>
      <c r="S450" s="258">
        <v>0</v>
      </c>
      <c r="T450" s="258">
        <v>30.19</v>
      </c>
      <c r="U450" s="258">
        <v>0</v>
      </c>
      <c r="V450" s="258">
        <v>0</v>
      </c>
      <c r="W450" s="258">
        <v>0</v>
      </c>
      <c r="X450" s="258">
        <v>145.80000000000001</v>
      </c>
      <c r="Y450" s="258">
        <v>0</v>
      </c>
      <c r="Z450" s="258">
        <v>0</v>
      </c>
      <c r="AA450" s="261"/>
      <c r="AB450" s="286">
        <f>SUM(Q450:AA450)</f>
        <v>209.3</v>
      </c>
      <c r="AC450" s="287">
        <f>P450+AB450</f>
        <v>584.44599999999991</v>
      </c>
      <c r="AD450" s="278"/>
      <c r="AE450" s="278"/>
      <c r="AF450" s="278"/>
      <c r="AG450" s="279"/>
      <c r="AH450" s="479"/>
      <c r="AI450" s="479"/>
      <c r="AJ450" s="479"/>
      <c r="AK450" s="479"/>
    </row>
    <row r="451" spans="1:37" ht="36" customHeight="1" x14ac:dyDescent="0.4">
      <c r="A451" s="477"/>
      <c r="B451" s="304" t="s">
        <v>284</v>
      </c>
      <c r="C451" s="114">
        <v>9252</v>
      </c>
      <c r="D451" s="114">
        <v>37456</v>
      </c>
      <c r="E451" s="114">
        <v>4675</v>
      </c>
      <c r="F451" s="114">
        <v>21619</v>
      </c>
      <c r="G451" s="114">
        <v>1710</v>
      </c>
      <c r="H451" s="114">
        <v>763</v>
      </c>
      <c r="I451" s="114">
        <v>2553</v>
      </c>
      <c r="J451" s="114"/>
      <c r="K451" s="114"/>
      <c r="L451" s="114">
        <v>102</v>
      </c>
      <c r="M451" s="114">
        <v>470</v>
      </c>
      <c r="N451" s="114">
        <v>2470</v>
      </c>
      <c r="O451" s="114">
        <v>151</v>
      </c>
      <c r="P451" s="286">
        <f>SUM(C451:O451)</f>
        <v>81221</v>
      </c>
      <c r="Q451" s="114">
        <v>1403</v>
      </c>
      <c r="R451" s="114">
        <v>2766</v>
      </c>
      <c r="S451" s="114">
        <v>2020</v>
      </c>
      <c r="T451" s="114">
        <v>3192</v>
      </c>
      <c r="U451" s="114">
        <v>1132</v>
      </c>
      <c r="V451" s="114">
        <v>859</v>
      </c>
      <c r="W451" s="114">
        <v>305</v>
      </c>
      <c r="X451" s="114">
        <v>990</v>
      </c>
      <c r="Y451" s="114">
        <v>252</v>
      </c>
      <c r="Z451" s="114">
        <v>164</v>
      </c>
      <c r="AA451" s="261"/>
      <c r="AB451" s="286">
        <f>SUM(Q451:AA451)</f>
        <v>13083</v>
      </c>
      <c r="AC451" s="287">
        <f>P451+AB451</f>
        <v>94304</v>
      </c>
      <c r="AD451" s="263"/>
      <c r="AE451" s="263"/>
      <c r="AF451" s="263"/>
      <c r="AG451" s="263"/>
      <c r="AH451" s="479"/>
      <c r="AI451" s="479"/>
      <c r="AJ451" s="479"/>
      <c r="AK451" s="479"/>
    </row>
    <row r="452" spans="1:37" ht="36" customHeight="1" x14ac:dyDescent="0.4">
      <c r="A452" s="477"/>
      <c r="B452" s="304" t="s">
        <v>285</v>
      </c>
      <c r="C452" s="469">
        <f>C449+D449+E449+F449+C450+D450+E450+F450</f>
        <v>69342.644000000015</v>
      </c>
      <c r="D452" s="470"/>
      <c r="E452" s="470"/>
      <c r="F452" s="471"/>
      <c r="G452" s="469">
        <f>G449+H449+I449+G450+H450+I450</f>
        <v>9169</v>
      </c>
      <c r="H452" s="470"/>
      <c r="I452" s="471"/>
      <c r="J452" s="273"/>
      <c r="K452" s="273"/>
      <c r="L452" s="469">
        <f>L449+M449+N449+L450+M450+N450</f>
        <v>2657.502</v>
      </c>
      <c r="M452" s="470"/>
      <c r="N452" s="471"/>
      <c r="O452" s="114"/>
      <c r="P452" s="286"/>
      <c r="Q452" s="469">
        <f>Q449+R449+S449+Q450+R450+S450</f>
        <v>5816.31</v>
      </c>
      <c r="R452" s="470"/>
      <c r="S452" s="471"/>
      <c r="T452" s="114"/>
      <c r="U452" s="114"/>
      <c r="V452" s="114"/>
      <c r="W452" s="114"/>
      <c r="X452" s="114"/>
      <c r="Y452" s="114"/>
      <c r="Z452" s="114"/>
      <c r="AA452" s="261"/>
      <c r="AB452" s="286"/>
      <c r="AC452" s="287"/>
      <c r="AD452" s="263"/>
      <c r="AE452" s="263"/>
      <c r="AF452" s="263"/>
      <c r="AG452" s="263"/>
      <c r="AH452" s="479"/>
      <c r="AI452" s="479"/>
      <c r="AJ452" s="479"/>
      <c r="AK452" s="479"/>
    </row>
    <row r="453" spans="1:37" ht="36" customHeight="1" x14ac:dyDescent="0.4">
      <c r="A453" s="477"/>
      <c r="B453" s="304" t="s">
        <v>247</v>
      </c>
      <c r="C453" s="469">
        <f>C451+D451+E451+F451</f>
        <v>73002</v>
      </c>
      <c r="D453" s="470"/>
      <c r="E453" s="470"/>
      <c r="F453" s="471"/>
      <c r="G453" s="469">
        <f>G451+H451+I451</f>
        <v>5026</v>
      </c>
      <c r="H453" s="470"/>
      <c r="I453" s="471"/>
      <c r="J453" s="273"/>
      <c r="K453" s="273"/>
      <c r="L453" s="469">
        <f>L451+M451+N451</f>
        <v>3042</v>
      </c>
      <c r="M453" s="470"/>
      <c r="N453" s="471"/>
      <c r="O453" s="114"/>
      <c r="P453" s="286"/>
      <c r="Q453" s="469">
        <f>Q451+R451+S451</f>
        <v>6189</v>
      </c>
      <c r="R453" s="470"/>
      <c r="S453" s="471"/>
      <c r="T453" s="114"/>
      <c r="U453" s="114"/>
      <c r="V453" s="114"/>
      <c r="W453" s="114"/>
      <c r="X453" s="114"/>
      <c r="Y453" s="114"/>
      <c r="Z453" s="114"/>
      <c r="AA453" s="261"/>
      <c r="AB453" s="286"/>
      <c r="AC453" s="287"/>
      <c r="AD453" s="263"/>
      <c r="AE453" s="263"/>
      <c r="AF453" s="263"/>
      <c r="AG453" s="263"/>
      <c r="AH453" s="479"/>
      <c r="AI453" s="479"/>
      <c r="AJ453" s="479"/>
      <c r="AK453" s="479"/>
    </row>
    <row r="454" spans="1:37" ht="36" customHeight="1" x14ac:dyDescent="0.4">
      <c r="A454" s="477"/>
      <c r="B454" s="297" t="s">
        <v>262</v>
      </c>
      <c r="C454" s="472">
        <f>C452/C453</f>
        <v>0.94987320895317962</v>
      </c>
      <c r="D454" s="473"/>
      <c r="E454" s="473"/>
      <c r="F454" s="474"/>
      <c r="G454" s="472">
        <f>G452/G453</f>
        <v>1.8243135694389176</v>
      </c>
      <c r="H454" s="473"/>
      <c r="I454" s="474"/>
      <c r="J454" s="276"/>
      <c r="K454" s="276"/>
      <c r="L454" s="472">
        <f>L452/L453</f>
        <v>0.87360355029585801</v>
      </c>
      <c r="M454" s="473"/>
      <c r="N454" s="474"/>
      <c r="O454" s="280">
        <f>(O449+O450)/O451</f>
        <v>0.99337748344370858</v>
      </c>
      <c r="P454" s="290">
        <f>(P449+P450)/P451</f>
        <v>1.0012083820686768</v>
      </c>
      <c r="Q454" s="472">
        <f>Q452/Q453</f>
        <v>0.93978187106156086</v>
      </c>
      <c r="R454" s="473"/>
      <c r="S454" s="474"/>
      <c r="T454" s="280">
        <f t="shared" ref="T454:Z454" si="76">(T449+T450)/T451</f>
        <v>0.95526002506265661</v>
      </c>
      <c r="U454" s="280">
        <f t="shared" si="76"/>
        <v>2.3074204946996466</v>
      </c>
      <c r="V454" s="280">
        <f t="shared" si="76"/>
        <v>0.93480791618160652</v>
      </c>
      <c r="W454" s="280">
        <f t="shared" si="76"/>
        <v>0.98032786885245904</v>
      </c>
      <c r="X454" s="280">
        <f t="shared" si="76"/>
        <v>0.88363636363636355</v>
      </c>
      <c r="Y454" s="280">
        <f t="shared" si="76"/>
        <v>0.98015873015873012</v>
      </c>
      <c r="Z454" s="280">
        <f t="shared" si="76"/>
        <v>0.76829268292682928</v>
      </c>
      <c r="AA454" s="265"/>
      <c r="AB454" s="290">
        <f>(AB449+AB450)/AB451</f>
        <v>1.0568906214171061</v>
      </c>
      <c r="AC454" s="291">
        <f>(AC449+AC450)/AC451</f>
        <v>1.0089333008143875</v>
      </c>
      <c r="AD454" s="281">
        <f>AD449/$AG$173</f>
        <v>0.8571428571428571</v>
      </c>
      <c r="AE454" s="281">
        <f>AE449/$AG$173</f>
        <v>0.14285714285714285</v>
      </c>
      <c r="AF454" s="281">
        <f>AF449/$AG$173</f>
        <v>0</v>
      </c>
      <c r="AG454" s="305">
        <f>AG449/$AG$173</f>
        <v>1</v>
      </c>
      <c r="AH454" s="480"/>
      <c r="AI454" s="480"/>
      <c r="AJ454" s="480"/>
      <c r="AK454" s="480"/>
    </row>
    <row r="455" spans="1:37" ht="36" customHeight="1" x14ac:dyDescent="0.4">
      <c r="A455" s="477" t="s">
        <v>332</v>
      </c>
      <c r="B455" s="292" t="s">
        <v>269</v>
      </c>
      <c r="C455" s="258">
        <v>8523</v>
      </c>
      <c r="D455" s="258">
        <v>36391</v>
      </c>
      <c r="E455" s="258">
        <v>3815</v>
      </c>
      <c r="F455" s="258">
        <v>19891</v>
      </c>
      <c r="G455" s="258">
        <v>1655</v>
      </c>
      <c r="H455" s="258">
        <v>4749</v>
      </c>
      <c r="I455" s="258">
        <v>2459</v>
      </c>
      <c r="J455" s="258"/>
      <c r="K455" s="258"/>
      <c r="L455" s="258">
        <v>33</v>
      </c>
      <c r="M455" s="258">
        <v>450</v>
      </c>
      <c r="N455" s="258">
        <v>2116</v>
      </c>
      <c r="O455" s="258">
        <v>150</v>
      </c>
      <c r="P455" s="286">
        <f>SUM(C455:O455)</f>
        <v>80232</v>
      </c>
      <c r="Q455" s="258">
        <v>1261</v>
      </c>
      <c r="R455" s="258">
        <v>2570</v>
      </c>
      <c r="S455" s="258">
        <v>1998</v>
      </c>
      <c r="T455" s="258">
        <v>3046</v>
      </c>
      <c r="U455" s="258">
        <v>2599</v>
      </c>
      <c r="V455" s="258">
        <v>795</v>
      </c>
      <c r="W455" s="258">
        <v>300</v>
      </c>
      <c r="X455" s="258">
        <v>734</v>
      </c>
      <c r="Y455" s="67">
        <v>250</v>
      </c>
      <c r="Z455" s="67">
        <v>127</v>
      </c>
      <c r="AA455" s="261"/>
      <c r="AB455" s="286">
        <f>SUM(Q455:AA455)</f>
        <v>13680</v>
      </c>
      <c r="AC455" s="287">
        <f>P455+AB455</f>
        <v>93912</v>
      </c>
      <c r="AD455" s="278">
        <v>18</v>
      </c>
      <c r="AE455" s="278">
        <v>3</v>
      </c>
      <c r="AF455" s="278">
        <v>0</v>
      </c>
      <c r="AG455" s="279">
        <f>SUM(AD455:AF455)</f>
        <v>21</v>
      </c>
      <c r="AH455" s="478">
        <v>2070</v>
      </c>
      <c r="AI455" s="478">
        <v>2289</v>
      </c>
      <c r="AJ455" s="478">
        <v>410</v>
      </c>
      <c r="AK455" s="478">
        <f>SUM(AH455:AJ460)</f>
        <v>4769</v>
      </c>
    </row>
    <row r="456" spans="1:37" ht="36" customHeight="1" x14ac:dyDescent="0.4">
      <c r="A456" s="477"/>
      <c r="B456" s="304" t="s">
        <v>265</v>
      </c>
      <c r="C456" s="258">
        <v>38.353499999999997</v>
      </c>
      <c r="D456" s="258">
        <v>163.75949999999997</v>
      </c>
      <c r="E456" s="258">
        <v>17.1675</v>
      </c>
      <c r="F456" s="258">
        <v>89.509499999999989</v>
      </c>
      <c r="G456" s="258">
        <v>0</v>
      </c>
      <c r="H456" s="258">
        <v>0</v>
      </c>
      <c r="I456" s="258">
        <v>0</v>
      </c>
      <c r="J456" s="258"/>
      <c r="K456" s="258"/>
      <c r="L456" s="258">
        <v>53</v>
      </c>
      <c r="M456" s="258">
        <v>2.0249999999999999</v>
      </c>
      <c r="N456" s="258">
        <v>9.5219999999999985</v>
      </c>
      <c r="O456" s="258">
        <v>0</v>
      </c>
      <c r="P456" s="286">
        <f>SUM(C456:O456)</f>
        <v>373.33699999999993</v>
      </c>
      <c r="Q456" s="258">
        <v>33.61</v>
      </c>
      <c r="R456" s="258">
        <v>0</v>
      </c>
      <c r="S456" s="258">
        <v>0</v>
      </c>
      <c r="T456" s="258">
        <v>30.46</v>
      </c>
      <c r="U456" s="258">
        <v>0</v>
      </c>
      <c r="V456" s="258">
        <v>0</v>
      </c>
      <c r="W456" s="258">
        <v>0</v>
      </c>
      <c r="X456" s="258">
        <v>146.80000000000001</v>
      </c>
      <c r="Y456" s="258">
        <v>0</v>
      </c>
      <c r="Z456" s="258">
        <v>0</v>
      </c>
      <c r="AA456" s="261"/>
      <c r="AB456" s="286">
        <f>SUM(Q456:AA456)</f>
        <v>210.87</v>
      </c>
      <c r="AC456" s="287">
        <f>P456+AB456</f>
        <v>584.20699999999988</v>
      </c>
      <c r="AD456" s="278"/>
      <c r="AE456" s="278"/>
      <c r="AF456" s="278"/>
      <c r="AG456" s="279"/>
      <c r="AH456" s="479"/>
      <c r="AI456" s="479"/>
      <c r="AJ456" s="479"/>
      <c r="AK456" s="479"/>
    </row>
    <row r="457" spans="1:37" ht="36" customHeight="1" x14ac:dyDescent="0.4">
      <c r="A457" s="477"/>
      <c r="B457" s="304" t="s">
        <v>284</v>
      </c>
      <c r="C457" s="114">
        <v>9252</v>
      </c>
      <c r="D457" s="114">
        <v>37456</v>
      </c>
      <c r="E457" s="114">
        <v>4675</v>
      </c>
      <c r="F457" s="114">
        <v>21619</v>
      </c>
      <c r="G457" s="114">
        <v>1710</v>
      </c>
      <c r="H457" s="114">
        <v>763</v>
      </c>
      <c r="I457" s="114">
        <v>2553</v>
      </c>
      <c r="J457" s="114"/>
      <c r="K457" s="114"/>
      <c r="L457" s="114">
        <v>102</v>
      </c>
      <c r="M457" s="114">
        <v>470</v>
      </c>
      <c r="N457" s="114">
        <v>2470</v>
      </c>
      <c r="O457" s="114">
        <v>151</v>
      </c>
      <c r="P457" s="286">
        <f>SUM(C457:O457)</f>
        <v>81221</v>
      </c>
      <c r="Q457" s="114">
        <v>1403</v>
      </c>
      <c r="R457" s="114">
        <v>2766</v>
      </c>
      <c r="S457" s="114">
        <v>2020</v>
      </c>
      <c r="T457" s="114">
        <v>3192</v>
      </c>
      <c r="U457" s="114">
        <v>1132</v>
      </c>
      <c r="V457" s="114">
        <v>859</v>
      </c>
      <c r="W457" s="114">
        <v>305</v>
      </c>
      <c r="X457" s="114">
        <v>990</v>
      </c>
      <c r="Y457" s="114">
        <v>252</v>
      </c>
      <c r="Z457" s="114">
        <v>164</v>
      </c>
      <c r="AA457" s="261"/>
      <c r="AB457" s="286">
        <f>SUM(Q457:AA457)</f>
        <v>13083</v>
      </c>
      <c r="AC457" s="287">
        <f>P457+AB457</f>
        <v>94304</v>
      </c>
      <c r="AD457" s="263"/>
      <c r="AE457" s="263"/>
      <c r="AF457" s="263"/>
      <c r="AG457" s="263"/>
      <c r="AH457" s="479"/>
      <c r="AI457" s="479"/>
      <c r="AJ457" s="479"/>
      <c r="AK457" s="479"/>
    </row>
    <row r="458" spans="1:37" ht="36" customHeight="1" x14ac:dyDescent="0.4">
      <c r="A458" s="477"/>
      <c r="B458" s="304" t="s">
        <v>285</v>
      </c>
      <c r="C458" s="469">
        <f>C455+D455+E455+F455+C456+D456+E456+F456</f>
        <v>68928.789999999994</v>
      </c>
      <c r="D458" s="470"/>
      <c r="E458" s="470"/>
      <c r="F458" s="471"/>
      <c r="G458" s="469">
        <f>G455+H455+I455+G456+H456+I456</f>
        <v>8863</v>
      </c>
      <c r="H458" s="470"/>
      <c r="I458" s="471"/>
      <c r="J458" s="273"/>
      <c r="K458" s="273"/>
      <c r="L458" s="469">
        <f>L455+M455+N455+L456+M456+N456</f>
        <v>2663.547</v>
      </c>
      <c r="M458" s="470"/>
      <c r="N458" s="471"/>
      <c r="O458" s="114"/>
      <c r="P458" s="286"/>
      <c r="Q458" s="469">
        <f>Q455+R455+S455+Q456+R456+S456</f>
        <v>5862.61</v>
      </c>
      <c r="R458" s="470"/>
      <c r="S458" s="471"/>
      <c r="T458" s="114"/>
      <c r="U458" s="114"/>
      <c r="V458" s="114"/>
      <c r="W458" s="114"/>
      <c r="X458" s="114"/>
      <c r="Y458" s="114"/>
      <c r="Z458" s="114"/>
      <c r="AA458" s="261"/>
      <c r="AB458" s="286"/>
      <c r="AC458" s="287"/>
      <c r="AD458" s="263"/>
      <c r="AE458" s="263"/>
      <c r="AF458" s="263"/>
      <c r="AG458" s="263"/>
      <c r="AH458" s="479"/>
      <c r="AI458" s="479"/>
      <c r="AJ458" s="479"/>
      <c r="AK458" s="479"/>
    </row>
    <row r="459" spans="1:37" ht="36" customHeight="1" x14ac:dyDescent="0.4">
      <c r="A459" s="477"/>
      <c r="B459" s="304" t="s">
        <v>247</v>
      </c>
      <c r="C459" s="469">
        <f>C457+D457+E457+F457</f>
        <v>73002</v>
      </c>
      <c r="D459" s="470"/>
      <c r="E459" s="470"/>
      <c r="F459" s="471"/>
      <c r="G459" s="469">
        <f>G457+H457+I457</f>
        <v>5026</v>
      </c>
      <c r="H459" s="470"/>
      <c r="I459" s="471"/>
      <c r="J459" s="273"/>
      <c r="K459" s="273"/>
      <c r="L459" s="469">
        <f>L457+M457+N457</f>
        <v>3042</v>
      </c>
      <c r="M459" s="470"/>
      <c r="N459" s="471"/>
      <c r="O459" s="114"/>
      <c r="P459" s="286"/>
      <c r="Q459" s="469">
        <f>Q457+R457+S457</f>
        <v>6189</v>
      </c>
      <c r="R459" s="470"/>
      <c r="S459" s="471"/>
      <c r="T459" s="114"/>
      <c r="U459" s="114"/>
      <c r="V459" s="114"/>
      <c r="W459" s="114"/>
      <c r="X459" s="114"/>
      <c r="Y459" s="114"/>
      <c r="Z459" s="114"/>
      <c r="AA459" s="261"/>
      <c r="AB459" s="286"/>
      <c r="AC459" s="287"/>
      <c r="AD459" s="263"/>
      <c r="AE459" s="263"/>
      <c r="AF459" s="263"/>
      <c r="AG459" s="263"/>
      <c r="AH459" s="479"/>
      <c r="AI459" s="479"/>
      <c r="AJ459" s="479"/>
      <c r="AK459" s="479"/>
    </row>
    <row r="460" spans="1:37" ht="36" customHeight="1" x14ac:dyDescent="0.4">
      <c r="A460" s="477"/>
      <c r="B460" s="297" t="s">
        <v>262</v>
      </c>
      <c r="C460" s="472">
        <f>C458/C459</f>
        <v>0.94420413139366033</v>
      </c>
      <c r="D460" s="473"/>
      <c r="E460" s="473"/>
      <c r="F460" s="474"/>
      <c r="G460" s="472">
        <f>G458/G459</f>
        <v>1.7634301631516116</v>
      </c>
      <c r="H460" s="473"/>
      <c r="I460" s="474"/>
      <c r="J460" s="276"/>
      <c r="K460" s="276"/>
      <c r="L460" s="472">
        <f>L458/L459</f>
        <v>0.87559072978303754</v>
      </c>
      <c r="M460" s="473"/>
      <c r="N460" s="474"/>
      <c r="O460" s="280">
        <f>(O455+O456)/O457</f>
        <v>0.99337748344370858</v>
      </c>
      <c r="P460" s="290">
        <f>(P455+P456)/P457</f>
        <v>0.99241990371948141</v>
      </c>
      <c r="Q460" s="472">
        <f>Q458/Q459</f>
        <v>0.94726288576506701</v>
      </c>
      <c r="R460" s="473"/>
      <c r="S460" s="474"/>
      <c r="T460" s="280">
        <f t="shared" ref="T460:Z460" si="77">(T455+T456)/T457</f>
        <v>0.96380325814536338</v>
      </c>
      <c r="U460" s="280">
        <f t="shared" si="77"/>
        <v>2.2959363957597172</v>
      </c>
      <c r="V460" s="280">
        <f t="shared" si="77"/>
        <v>0.92549476135040742</v>
      </c>
      <c r="W460" s="280">
        <f t="shared" si="77"/>
        <v>0.98360655737704916</v>
      </c>
      <c r="X460" s="280">
        <f t="shared" si="77"/>
        <v>0.88969696969696965</v>
      </c>
      <c r="Y460" s="280">
        <f t="shared" si="77"/>
        <v>0.99206349206349209</v>
      </c>
      <c r="Z460" s="280">
        <f t="shared" si="77"/>
        <v>0.77439024390243905</v>
      </c>
      <c r="AA460" s="265"/>
      <c r="AB460" s="290">
        <f>(AB455+AB456)/AB457</f>
        <v>1.0617495987158909</v>
      </c>
      <c r="AC460" s="291">
        <f>(AC455+AC456)/AC457</f>
        <v>1.0020381638106548</v>
      </c>
      <c r="AD460" s="281">
        <f>AD455/$AG$173</f>
        <v>0.8571428571428571</v>
      </c>
      <c r="AE460" s="281">
        <f>AE455/$AG$173</f>
        <v>0.14285714285714285</v>
      </c>
      <c r="AF460" s="281">
        <f>AF455/$AG$173</f>
        <v>0</v>
      </c>
      <c r="AG460" s="305">
        <f>AG455/$AG$173</f>
        <v>1</v>
      </c>
      <c r="AH460" s="480"/>
      <c r="AI460" s="480"/>
      <c r="AJ460" s="480"/>
      <c r="AK460" s="480"/>
    </row>
    <row r="461" spans="1:37" ht="36" customHeight="1" x14ac:dyDescent="0.4">
      <c r="A461" s="477" t="s">
        <v>333</v>
      </c>
      <c r="B461" s="292" t="s">
        <v>269</v>
      </c>
      <c r="C461" s="306">
        <v>8112</v>
      </c>
      <c r="D461" s="306">
        <v>33987</v>
      </c>
      <c r="E461" s="306">
        <v>3467</v>
      </c>
      <c r="F461" s="306">
        <v>18490</v>
      </c>
      <c r="G461" s="306">
        <v>1656</v>
      </c>
      <c r="H461" s="306">
        <v>4751</v>
      </c>
      <c r="I461" s="306">
        <v>2453</v>
      </c>
      <c r="J461" s="306"/>
      <c r="K461" s="306"/>
      <c r="L461" s="307">
        <v>36</v>
      </c>
      <c r="M461" s="306">
        <v>448</v>
      </c>
      <c r="N461" s="307">
        <v>2197</v>
      </c>
      <c r="O461" s="306">
        <v>150</v>
      </c>
      <c r="P461" s="308">
        <f>SUM(C461:O461)</f>
        <v>75747</v>
      </c>
      <c r="Q461" s="306">
        <v>1238</v>
      </c>
      <c r="R461" s="306">
        <v>2481</v>
      </c>
      <c r="S461" s="306">
        <v>1991</v>
      </c>
      <c r="T461" s="306">
        <v>3037</v>
      </c>
      <c r="U461" s="306">
        <v>2515</v>
      </c>
      <c r="V461" s="306">
        <v>739</v>
      </c>
      <c r="W461" s="306">
        <v>303</v>
      </c>
      <c r="X461" s="306">
        <v>735</v>
      </c>
      <c r="Y461" s="309">
        <v>247</v>
      </c>
      <c r="Z461" s="309">
        <v>127</v>
      </c>
      <c r="AA461" s="261"/>
      <c r="AB461" s="286">
        <f>SUM(Q461:AA461)</f>
        <v>13413</v>
      </c>
      <c r="AC461" s="287">
        <f>P461+AB461</f>
        <v>89160</v>
      </c>
      <c r="AD461" s="278">
        <v>18</v>
      </c>
      <c r="AE461" s="278">
        <v>3</v>
      </c>
      <c r="AF461" s="278">
        <v>0</v>
      </c>
      <c r="AG461" s="279">
        <f>SUM(AD461:AF461)</f>
        <v>21</v>
      </c>
      <c r="AH461" s="478">
        <v>1982</v>
      </c>
      <c r="AI461" s="478">
        <v>3313</v>
      </c>
      <c r="AJ461" s="478">
        <v>715</v>
      </c>
      <c r="AK461" s="478">
        <f>SUM(AH461:AJ466)</f>
        <v>6010</v>
      </c>
    </row>
    <row r="462" spans="1:37" ht="36" customHeight="1" x14ac:dyDescent="0.4">
      <c r="A462" s="477"/>
      <c r="B462" s="304" t="s">
        <v>265</v>
      </c>
      <c r="C462" s="258">
        <v>36.503999999999998</v>
      </c>
      <c r="D462" s="258">
        <v>152.94149999999999</v>
      </c>
      <c r="E462" s="258">
        <v>15.6015</v>
      </c>
      <c r="F462" s="258">
        <v>83.204999999999998</v>
      </c>
      <c r="G462" s="258">
        <v>0</v>
      </c>
      <c r="H462" s="258">
        <v>0</v>
      </c>
      <c r="I462" s="258">
        <v>0</v>
      </c>
      <c r="J462" s="258"/>
      <c r="K462" s="258"/>
      <c r="L462" s="258">
        <v>46</v>
      </c>
      <c r="M462" s="258">
        <v>2.016</v>
      </c>
      <c r="N462" s="258">
        <v>9.8864999999999998</v>
      </c>
      <c r="O462" s="258">
        <v>0</v>
      </c>
      <c r="P462" s="286">
        <f>SUM(C462:O462)</f>
        <v>346.15449999999998</v>
      </c>
      <c r="Q462" s="258">
        <v>33.380000000000003</v>
      </c>
      <c r="R462" s="258">
        <v>0</v>
      </c>
      <c r="S462" s="258">
        <v>0</v>
      </c>
      <c r="T462" s="258">
        <v>30.37</v>
      </c>
      <c r="U462" s="258">
        <v>0</v>
      </c>
      <c r="V462" s="258">
        <v>0</v>
      </c>
      <c r="W462" s="258">
        <v>0</v>
      </c>
      <c r="X462" s="258">
        <v>147</v>
      </c>
      <c r="Y462" s="258">
        <v>0</v>
      </c>
      <c r="Z462" s="258">
        <v>0</v>
      </c>
      <c r="AA462" s="261"/>
      <c r="AB462" s="286">
        <f>SUM(Q462:AA462)</f>
        <v>210.75</v>
      </c>
      <c r="AC462" s="287">
        <f>P462+AB462</f>
        <v>556.90449999999998</v>
      </c>
      <c r="AD462" s="278"/>
      <c r="AE462" s="278"/>
      <c r="AF462" s="278"/>
      <c r="AG462" s="279"/>
      <c r="AH462" s="479"/>
      <c r="AI462" s="479"/>
      <c r="AJ462" s="479"/>
      <c r="AK462" s="479"/>
    </row>
    <row r="463" spans="1:37" ht="36" customHeight="1" x14ac:dyDescent="0.4">
      <c r="A463" s="477"/>
      <c r="B463" s="304" t="s">
        <v>284</v>
      </c>
      <c r="C463" s="114">
        <v>9252</v>
      </c>
      <c r="D463" s="114">
        <v>37456</v>
      </c>
      <c r="E463" s="114">
        <v>4675</v>
      </c>
      <c r="F463" s="114">
        <v>21619</v>
      </c>
      <c r="G463" s="114">
        <v>1710</v>
      </c>
      <c r="H463" s="114">
        <v>763</v>
      </c>
      <c r="I463" s="114">
        <v>2553</v>
      </c>
      <c r="J463" s="114"/>
      <c r="K463" s="114"/>
      <c r="L463" s="114">
        <v>102</v>
      </c>
      <c r="M463" s="114">
        <v>470</v>
      </c>
      <c r="N463" s="114">
        <v>2470</v>
      </c>
      <c r="O463" s="114">
        <v>151</v>
      </c>
      <c r="P463" s="286">
        <f>SUM(C463:O463)</f>
        <v>81221</v>
      </c>
      <c r="Q463" s="114">
        <v>1403</v>
      </c>
      <c r="R463" s="114">
        <v>2766</v>
      </c>
      <c r="S463" s="114">
        <v>2020</v>
      </c>
      <c r="T463" s="114">
        <v>3192</v>
      </c>
      <c r="U463" s="114">
        <v>1132</v>
      </c>
      <c r="V463" s="114">
        <v>859</v>
      </c>
      <c r="W463" s="114">
        <v>305</v>
      </c>
      <c r="X463" s="114">
        <v>990</v>
      </c>
      <c r="Y463" s="114">
        <v>252</v>
      </c>
      <c r="Z463" s="114">
        <v>164</v>
      </c>
      <c r="AA463" s="261"/>
      <c r="AB463" s="286">
        <f>SUM(Q463:AA463)</f>
        <v>13083</v>
      </c>
      <c r="AC463" s="287">
        <f>P463+AB463</f>
        <v>94304</v>
      </c>
      <c r="AD463" s="263"/>
      <c r="AE463" s="263"/>
      <c r="AF463" s="263"/>
      <c r="AG463" s="263"/>
      <c r="AH463" s="479"/>
      <c r="AI463" s="479"/>
      <c r="AJ463" s="479"/>
      <c r="AK463" s="479"/>
    </row>
    <row r="464" spans="1:37" ht="36" customHeight="1" x14ac:dyDescent="0.4">
      <c r="A464" s="477"/>
      <c r="B464" s="304" t="s">
        <v>285</v>
      </c>
      <c r="C464" s="469">
        <f>C461+D461+E461+F461+C462+D462+E462+F462</f>
        <v>64344.252</v>
      </c>
      <c r="D464" s="470"/>
      <c r="E464" s="470"/>
      <c r="F464" s="471"/>
      <c r="G464" s="469">
        <f>G461+H461+I461+G462+H462+I462</f>
        <v>8860</v>
      </c>
      <c r="H464" s="470"/>
      <c r="I464" s="471"/>
      <c r="J464" s="273"/>
      <c r="K464" s="273"/>
      <c r="L464" s="469">
        <f>L461+M461+N461+L462+M462+N462</f>
        <v>2738.9025000000001</v>
      </c>
      <c r="M464" s="470"/>
      <c r="N464" s="471"/>
      <c r="O464" s="114"/>
      <c r="P464" s="286"/>
      <c r="Q464" s="469">
        <f>Q461+R461+S461+Q462+R462+S462</f>
        <v>5743.38</v>
      </c>
      <c r="R464" s="470"/>
      <c r="S464" s="471"/>
      <c r="T464" s="114"/>
      <c r="U464" s="114"/>
      <c r="V464" s="114"/>
      <c r="W464" s="114"/>
      <c r="X464" s="114"/>
      <c r="Y464" s="114"/>
      <c r="Z464" s="114"/>
      <c r="AA464" s="261"/>
      <c r="AB464" s="286"/>
      <c r="AC464" s="287"/>
      <c r="AD464" s="263"/>
      <c r="AE464" s="263"/>
      <c r="AF464" s="263"/>
      <c r="AG464" s="263"/>
      <c r="AH464" s="479"/>
      <c r="AI464" s="479"/>
      <c r="AJ464" s="479"/>
      <c r="AK464" s="479"/>
    </row>
    <row r="465" spans="1:37" ht="36" customHeight="1" x14ac:dyDescent="0.4">
      <c r="A465" s="477"/>
      <c r="B465" s="304" t="s">
        <v>247</v>
      </c>
      <c r="C465" s="469">
        <f>C463+D463+E463+F463</f>
        <v>73002</v>
      </c>
      <c r="D465" s="470"/>
      <c r="E465" s="470"/>
      <c r="F465" s="471"/>
      <c r="G465" s="469">
        <f>G463+H463+I463</f>
        <v>5026</v>
      </c>
      <c r="H465" s="470"/>
      <c r="I465" s="471"/>
      <c r="J465" s="273"/>
      <c r="K465" s="273"/>
      <c r="L465" s="469">
        <f>L463+M463+N463</f>
        <v>3042</v>
      </c>
      <c r="M465" s="470"/>
      <c r="N465" s="471"/>
      <c r="O465" s="114"/>
      <c r="P465" s="286"/>
      <c r="Q465" s="469">
        <f>Q463+R463+S463</f>
        <v>6189</v>
      </c>
      <c r="R465" s="470"/>
      <c r="S465" s="471"/>
      <c r="T465" s="114"/>
      <c r="U465" s="114"/>
      <c r="V465" s="114"/>
      <c r="W465" s="114"/>
      <c r="X465" s="114"/>
      <c r="Y465" s="114"/>
      <c r="Z465" s="114"/>
      <c r="AA465" s="261"/>
      <c r="AB465" s="286"/>
      <c r="AC465" s="287"/>
      <c r="AD465" s="263"/>
      <c r="AE465" s="263"/>
      <c r="AF465" s="263"/>
      <c r="AG465" s="263"/>
      <c r="AH465" s="479"/>
      <c r="AI465" s="479"/>
      <c r="AJ465" s="479"/>
      <c r="AK465" s="479"/>
    </row>
    <row r="466" spans="1:37" ht="36" customHeight="1" x14ac:dyDescent="0.4">
      <c r="A466" s="477"/>
      <c r="B466" s="297" t="s">
        <v>262</v>
      </c>
      <c r="C466" s="472">
        <f>C464/C465</f>
        <v>0.88140396153530043</v>
      </c>
      <c r="D466" s="473"/>
      <c r="E466" s="473"/>
      <c r="F466" s="474"/>
      <c r="G466" s="472">
        <f>G464/G465</f>
        <v>1.7628332670115401</v>
      </c>
      <c r="H466" s="473"/>
      <c r="I466" s="474"/>
      <c r="J466" s="276"/>
      <c r="K466" s="276"/>
      <c r="L466" s="472">
        <f>L464/L465</f>
        <v>0.90036242603550298</v>
      </c>
      <c r="M466" s="473"/>
      <c r="N466" s="474"/>
      <c r="O466" s="280">
        <f>(O461+O462)/O463</f>
        <v>0.99337748344370858</v>
      </c>
      <c r="P466" s="290">
        <f>(P461+P462)/P463</f>
        <v>0.93686552123219369</v>
      </c>
      <c r="Q466" s="472">
        <f>Q464/Q465</f>
        <v>0.92799806107610283</v>
      </c>
      <c r="R466" s="473"/>
      <c r="S466" s="474"/>
      <c r="T466" s="280">
        <f t="shared" ref="T466:Z466" si="78">(T461+T462)/T463</f>
        <v>0.96095551378446109</v>
      </c>
      <c r="U466" s="280">
        <f t="shared" si="78"/>
        <v>2.2217314487632507</v>
      </c>
      <c r="V466" s="280">
        <f t="shared" si="78"/>
        <v>0.86030267753201395</v>
      </c>
      <c r="W466" s="280">
        <f t="shared" si="78"/>
        <v>0.99344262295081964</v>
      </c>
      <c r="X466" s="280">
        <f t="shared" si="78"/>
        <v>0.89090909090909087</v>
      </c>
      <c r="Y466" s="280">
        <f t="shared" si="78"/>
        <v>0.98015873015873012</v>
      </c>
      <c r="Z466" s="280">
        <f t="shared" si="78"/>
        <v>0.77439024390243905</v>
      </c>
      <c r="AA466" s="265"/>
      <c r="AB466" s="290">
        <f>(AB461+AB462)/AB463</f>
        <v>1.0413322632423756</v>
      </c>
      <c r="AC466" s="291">
        <f>(AC461+AC462)/AC463</f>
        <v>0.95135842063963361</v>
      </c>
      <c r="AD466" s="281">
        <f>AD461/$AG$173</f>
        <v>0.8571428571428571</v>
      </c>
      <c r="AE466" s="281">
        <f>AE461/$AG$173</f>
        <v>0.14285714285714285</v>
      </c>
      <c r="AF466" s="281">
        <f>AF461/$AG$173</f>
        <v>0</v>
      </c>
      <c r="AG466" s="305">
        <f>AG461/$AG$173</f>
        <v>1</v>
      </c>
      <c r="AH466" s="480"/>
      <c r="AI466" s="480"/>
      <c r="AJ466" s="480"/>
      <c r="AK466" s="480"/>
    </row>
    <row r="467" spans="1:37" ht="36" customHeight="1" x14ac:dyDescent="0.4">
      <c r="A467" s="477" t="s">
        <v>334</v>
      </c>
      <c r="B467" s="292" t="s">
        <v>269</v>
      </c>
      <c r="C467" s="306">
        <v>7722</v>
      </c>
      <c r="D467" s="306">
        <v>34295</v>
      </c>
      <c r="E467" s="306">
        <v>2848</v>
      </c>
      <c r="F467" s="306">
        <v>17694</v>
      </c>
      <c r="G467" s="306">
        <v>1656</v>
      </c>
      <c r="H467" s="306">
        <v>4668</v>
      </c>
      <c r="I467" s="306">
        <v>2442</v>
      </c>
      <c r="J467" s="306"/>
      <c r="K467" s="306"/>
      <c r="L467" s="307">
        <v>35</v>
      </c>
      <c r="M467" s="306">
        <v>451</v>
      </c>
      <c r="N467" s="307">
        <v>2195</v>
      </c>
      <c r="O467" s="306">
        <v>150</v>
      </c>
      <c r="P467" s="308">
        <f>SUM(C467:O467)</f>
        <v>74156</v>
      </c>
      <c r="Q467" s="306">
        <v>1253</v>
      </c>
      <c r="R467" s="306">
        <v>2400</v>
      </c>
      <c r="S467" s="306">
        <v>1982</v>
      </c>
      <c r="T467" s="306">
        <v>3049</v>
      </c>
      <c r="U467" s="306">
        <v>2450</v>
      </c>
      <c r="V467" s="306">
        <v>748</v>
      </c>
      <c r="W467" s="306">
        <v>303</v>
      </c>
      <c r="X467" s="306">
        <v>736</v>
      </c>
      <c r="Y467" s="309">
        <v>245</v>
      </c>
      <c r="Z467" s="309">
        <v>127</v>
      </c>
      <c r="AA467" s="261"/>
      <c r="AB467" s="286">
        <f>SUM(Q467:AA467)</f>
        <v>13293</v>
      </c>
      <c r="AC467" s="287">
        <f>P467+AB467</f>
        <v>87449</v>
      </c>
      <c r="AD467" s="278">
        <v>16</v>
      </c>
      <c r="AE467" s="278">
        <v>4</v>
      </c>
      <c r="AF467" s="278">
        <v>1</v>
      </c>
      <c r="AG467" s="279">
        <f>SUM(AD467:AF467)</f>
        <v>21</v>
      </c>
      <c r="AH467" s="478">
        <v>2496</v>
      </c>
      <c r="AI467" s="478">
        <v>6723</v>
      </c>
      <c r="AJ467" s="478">
        <v>5390</v>
      </c>
      <c r="AK467" s="478">
        <f>SUM(AH467:AJ472)</f>
        <v>14609</v>
      </c>
    </row>
    <row r="468" spans="1:37" ht="36" customHeight="1" x14ac:dyDescent="0.4">
      <c r="A468" s="477"/>
      <c r="B468" s="304" t="s">
        <v>265</v>
      </c>
      <c r="C468" s="258">
        <v>34.748999999999995</v>
      </c>
      <c r="D468" s="258">
        <v>154.32749999999999</v>
      </c>
      <c r="E468" s="258">
        <v>12.815999999999999</v>
      </c>
      <c r="F468" s="258">
        <v>79.62299999999999</v>
      </c>
      <c r="G468" s="258">
        <v>0</v>
      </c>
      <c r="H468" s="258">
        <v>0</v>
      </c>
      <c r="I468" s="258">
        <v>0</v>
      </c>
      <c r="J468" s="258"/>
      <c r="K468" s="258"/>
      <c r="L468" s="258">
        <v>46</v>
      </c>
      <c r="M468" s="258">
        <v>2.0294999999999996</v>
      </c>
      <c r="N468" s="258">
        <v>9.8774999999999995</v>
      </c>
      <c r="O468" s="258">
        <v>0</v>
      </c>
      <c r="P468" s="286">
        <f>SUM(C468:O468)</f>
        <v>339.42249999999996</v>
      </c>
      <c r="Q468" s="258">
        <v>33.53</v>
      </c>
      <c r="R468" s="258">
        <v>0</v>
      </c>
      <c r="S468" s="258">
        <v>0</v>
      </c>
      <c r="T468" s="258">
        <v>30.490000000000002</v>
      </c>
      <c r="U468" s="258">
        <v>0</v>
      </c>
      <c r="V468" s="258">
        <v>0</v>
      </c>
      <c r="W468" s="258">
        <v>0</v>
      </c>
      <c r="X468" s="258">
        <v>147.20000000000002</v>
      </c>
      <c r="Y468" s="258">
        <v>0</v>
      </c>
      <c r="Z468" s="258">
        <v>0</v>
      </c>
      <c r="AA468" s="261"/>
      <c r="AB468" s="286">
        <f>SUM(Q468:AA468)</f>
        <v>211.22000000000003</v>
      </c>
      <c r="AC468" s="287">
        <f>P468+AB468</f>
        <v>550.64249999999993</v>
      </c>
      <c r="AD468" s="278"/>
      <c r="AE468" s="278"/>
      <c r="AF468" s="278"/>
      <c r="AG468" s="279"/>
      <c r="AH468" s="479"/>
      <c r="AI468" s="479"/>
      <c r="AJ468" s="479"/>
      <c r="AK468" s="479"/>
    </row>
    <row r="469" spans="1:37" ht="36" customHeight="1" x14ac:dyDescent="0.4">
      <c r="A469" s="477"/>
      <c r="B469" s="304" t="s">
        <v>284</v>
      </c>
      <c r="C469" s="114">
        <v>9252</v>
      </c>
      <c r="D469" s="114">
        <v>37456</v>
      </c>
      <c r="E469" s="114">
        <v>4675</v>
      </c>
      <c r="F469" s="114">
        <v>21619</v>
      </c>
      <c r="G469" s="114">
        <v>1710</v>
      </c>
      <c r="H469" s="114">
        <v>763</v>
      </c>
      <c r="I469" s="114">
        <v>2553</v>
      </c>
      <c r="J469" s="114"/>
      <c r="K469" s="114"/>
      <c r="L469" s="114">
        <v>102</v>
      </c>
      <c r="M469" s="114">
        <v>470</v>
      </c>
      <c r="N469" s="114">
        <v>2470</v>
      </c>
      <c r="O469" s="114">
        <v>151</v>
      </c>
      <c r="P469" s="286">
        <f>SUM(C469:O469)</f>
        <v>81221</v>
      </c>
      <c r="Q469" s="114">
        <v>1403</v>
      </c>
      <c r="R469" s="114">
        <v>2766</v>
      </c>
      <c r="S469" s="114">
        <v>2020</v>
      </c>
      <c r="T469" s="114">
        <v>3192</v>
      </c>
      <c r="U469" s="114">
        <v>1132</v>
      </c>
      <c r="V469" s="114">
        <v>859</v>
      </c>
      <c r="W469" s="114">
        <v>305</v>
      </c>
      <c r="X469" s="114">
        <v>990</v>
      </c>
      <c r="Y469" s="114">
        <v>252</v>
      </c>
      <c r="Z469" s="114">
        <v>164</v>
      </c>
      <c r="AA469" s="261"/>
      <c r="AB469" s="286">
        <f>SUM(Q469:AA469)</f>
        <v>13083</v>
      </c>
      <c r="AC469" s="287">
        <f>P469+AB469</f>
        <v>94304</v>
      </c>
      <c r="AD469" s="263"/>
      <c r="AE469" s="263"/>
      <c r="AF469" s="263"/>
      <c r="AG469" s="263"/>
      <c r="AH469" s="479"/>
      <c r="AI469" s="479"/>
      <c r="AJ469" s="479"/>
      <c r="AK469" s="479"/>
    </row>
    <row r="470" spans="1:37" ht="36" customHeight="1" x14ac:dyDescent="0.4">
      <c r="A470" s="477"/>
      <c r="B470" s="304" t="s">
        <v>285</v>
      </c>
      <c r="C470" s="469">
        <f>C467+D467+E467+F467+C468+D468+E468+F468</f>
        <v>62840.515500000001</v>
      </c>
      <c r="D470" s="470"/>
      <c r="E470" s="470"/>
      <c r="F470" s="471"/>
      <c r="G470" s="469">
        <f>G467+H467+I467+G468+H468+I468</f>
        <v>8766</v>
      </c>
      <c r="H470" s="470"/>
      <c r="I470" s="471"/>
      <c r="J470" s="273"/>
      <c r="K470" s="273"/>
      <c r="L470" s="469">
        <f>L467+M467+N467+L468+M468+N468</f>
        <v>2738.9070000000002</v>
      </c>
      <c r="M470" s="470"/>
      <c r="N470" s="471"/>
      <c r="O470" s="114"/>
      <c r="P470" s="286"/>
      <c r="Q470" s="469">
        <f>Q467+R467+S467+Q468+R468+S468</f>
        <v>5668.53</v>
      </c>
      <c r="R470" s="470"/>
      <c r="S470" s="471"/>
      <c r="T470" s="114"/>
      <c r="U470" s="114"/>
      <c r="V470" s="114"/>
      <c r="W470" s="114"/>
      <c r="X470" s="114"/>
      <c r="Y470" s="114"/>
      <c r="Z470" s="114"/>
      <c r="AA470" s="261"/>
      <c r="AB470" s="286"/>
      <c r="AC470" s="287"/>
      <c r="AD470" s="263"/>
      <c r="AE470" s="263"/>
      <c r="AF470" s="263"/>
      <c r="AG470" s="263"/>
      <c r="AH470" s="479"/>
      <c r="AI470" s="479"/>
      <c r="AJ470" s="479"/>
      <c r="AK470" s="479"/>
    </row>
    <row r="471" spans="1:37" ht="36" customHeight="1" x14ac:dyDescent="0.4">
      <c r="A471" s="477"/>
      <c r="B471" s="304" t="s">
        <v>247</v>
      </c>
      <c r="C471" s="469">
        <f>C469+D469+E469+F469</f>
        <v>73002</v>
      </c>
      <c r="D471" s="470"/>
      <c r="E471" s="470"/>
      <c r="F471" s="471"/>
      <c r="G471" s="469">
        <f>G469+H469+I469</f>
        <v>5026</v>
      </c>
      <c r="H471" s="470"/>
      <c r="I471" s="471"/>
      <c r="J471" s="273"/>
      <c r="K471" s="273"/>
      <c r="L471" s="469">
        <f>L469+M469+N469</f>
        <v>3042</v>
      </c>
      <c r="M471" s="470"/>
      <c r="N471" s="471"/>
      <c r="O471" s="114"/>
      <c r="P471" s="286"/>
      <c r="Q471" s="469">
        <f>Q469+R469+S469</f>
        <v>6189</v>
      </c>
      <c r="R471" s="470"/>
      <c r="S471" s="471"/>
      <c r="T471" s="114"/>
      <c r="U471" s="114"/>
      <c r="V471" s="114"/>
      <c r="W471" s="114"/>
      <c r="X471" s="114"/>
      <c r="Y471" s="114"/>
      <c r="Z471" s="114"/>
      <c r="AA471" s="261"/>
      <c r="AB471" s="286"/>
      <c r="AC471" s="287"/>
      <c r="AD471" s="263"/>
      <c r="AE471" s="263"/>
      <c r="AF471" s="263"/>
      <c r="AG471" s="263"/>
      <c r="AH471" s="479"/>
      <c r="AI471" s="479"/>
      <c r="AJ471" s="479"/>
      <c r="AK471" s="479"/>
    </row>
    <row r="472" spans="1:37" ht="36" customHeight="1" x14ac:dyDescent="0.4">
      <c r="A472" s="477"/>
      <c r="B472" s="297" t="s">
        <v>262</v>
      </c>
      <c r="C472" s="472">
        <f>C470/C471</f>
        <v>0.86080539574258241</v>
      </c>
      <c r="D472" s="473"/>
      <c r="E472" s="473"/>
      <c r="F472" s="474"/>
      <c r="G472" s="472">
        <f>G470/G471</f>
        <v>1.7441305212892957</v>
      </c>
      <c r="H472" s="473"/>
      <c r="I472" s="474"/>
      <c r="J472" s="276"/>
      <c r="K472" s="276"/>
      <c r="L472" s="472">
        <f>L470/L471</f>
        <v>0.90036390532544386</v>
      </c>
      <c r="M472" s="473"/>
      <c r="N472" s="474"/>
      <c r="O472" s="280">
        <f>(O467+O468)/O469</f>
        <v>0.99337748344370858</v>
      </c>
      <c r="P472" s="290">
        <f>(P467+P468)/P469</f>
        <v>0.9171941062040605</v>
      </c>
      <c r="Q472" s="472">
        <f>Q470/Q471</f>
        <v>0.91590402326708675</v>
      </c>
      <c r="R472" s="473"/>
      <c r="S472" s="474"/>
      <c r="T472" s="280">
        <f t="shared" ref="T472:Z472" si="79">(T467+T468)/T469</f>
        <v>0.96475250626566411</v>
      </c>
      <c r="U472" s="280">
        <f t="shared" si="79"/>
        <v>2.1643109540636041</v>
      </c>
      <c r="V472" s="280">
        <f t="shared" si="79"/>
        <v>0.87077997671711294</v>
      </c>
      <c r="W472" s="280">
        <f t="shared" si="79"/>
        <v>0.99344262295081964</v>
      </c>
      <c r="X472" s="280">
        <f t="shared" si="79"/>
        <v>0.8921212121212122</v>
      </c>
      <c r="Y472" s="280">
        <f t="shared" si="79"/>
        <v>0.97222222222222221</v>
      </c>
      <c r="Z472" s="280">
        <f t="shared" si="79"/>
        <v>0.77439024390243905</v>
      </c>
      <c r="AA472" s="265"/>
      <c r="AB472" s="290">
        <f>(AB467+AB468)/AB469</f>
        <v>1.0321959795154017</v>
      </c>
      <c r="AC472" s="291">
        <f>(AC467+AC468)/AC469</f>
        <v>0.93314856739904994</v>
      </c>
      <c r="AD472" s="281">
        <f>AD467/$AG$173</f>
        <v>0.76190476190476186</v>
      </c>
      <c r="AE472" s="281">
        <f>AE467/$AG$173</f>
        <v>0.19047619047619047</v>
      </c>
      <c r="AF472" s="281">
        <f>AF467/$AG$173</f>
        <v>4.7619047619047616E-2</v>
      </c>
      <c r="AG472" s="305">
        <f>AG467/$AG$173</f>
        <v>1</v>
      </c>
      <c r="AH472" s="480"/>
      <c r="AI472" s="480"/>
      <c r="AJ472" s="480"/>
      <c r="AK472" s="480"/>
    </row>
    <row r="473" spans="1:37" ht="36" customHeight="1" x14ac:dyDescent="0.4">
      <c r="A473" s="477" t="s">
        <v>335</v>
      </c>
      <c r="B473" s="292" t="s">
        <v>269</v>
      </c>
      <c r="C473" s="306">
        <v>8789</v>
      </c>
      <c r="D473" s="306">
        <v>35214</v>
      </c>
      <c r="E473" s="306">
        <v>1955</v>
      </c>
      <c r="F473" s="306">
        <v>8842</v>
      </c>
      <c r="G473" s="306">
        <v>1664</v>
      </c>
      <c r="H473" s="306">
        <v>4637</v>
      </c>
      <c r="I473" s="306">
        <v>2675</v>
      </c>
      <c r="J473" s="306"/>
      <c r="K473" s="306"/>
      <c r="L473" s="307">
        <v>33</v>
      </c>
      <c r="M473" s="306">
        <v>449</v>
      </c>
      <c r="N473" s="307">
        <v>2219</v>
      </c>
      <c r="O473" s="306">
        <v>150</v>
      </c>
      <c r="P473" s="308">
        <f>SUM(C473:O473)</f>
        <v>66627</v>
      </c>
      <c r="Q473" s="306">
        <v>1177</v>
      </c>
      <c r="R473" s="306">
        <v>2458</v>
      </c>
      <c r="S473" s="306">
        <v>1988</v>
      </c>
      <c r="T473" s="306">
        <v>3060</v>
      </c>
      <c r="U473" s="306">
        <v>2427</v>
      </c>
      <c r="V473" s="306">
        <v>766</v>
      </c>
      <c r="W473" s="306">
        <v>306</v>
      </c>
      <c r="X473" s="306">
        <v>739</v>
      </c>
      <c r="Y473" s="309">
        <v>249</v>
      </c>
      <c r="Z473" s="309">
        <v>127</v>
      </c>
      <c r="AA473" s="261"/>
      <c r="AB473" s="286">
        <f>SUM(Q473:AA473)</f>
        <v>13297</v>
      </c>
      <c r="AC473" s="287">
        <f>P473+AB473</f>
        <v>79924</v>
      </c>
      <c r="AD473" s="278">
        <v>17</v>
      </c>
      <c r="AE473" s="278">
        <v>2</v>
      </c>
      <c r="AF473" s="278">
        <v>2</v>
      </c>
      <c r="AG473" s="279">
        <f>SUM(AD473:AF473)</f>
        <v>21</v>
      </c>
      <c r="AH473" s="478">
        <v>3118</v>
      </c>
      <c r="AI473" s="478">
        <v>19384</v>
      </c>
      <c r="AJ473" s="478">
        <v>16010</v>
      </c>
      <c r="AK473" s="478">
        <f>SUM(AH473:AJ478)</f>
        <v>38512</v>
      </c>
    </row>
    <row r="474" spans="1:37" ht="36" customHeight="1" x14ac:dyDescent="0.4">
      <c r="A474" s="477"/>
      <c r="B474" s="304" t="s">
        <v>265</v>
      </c>
      <c r="C474" s="258">
        <v>39.5505</v>
      </c>
      <c r="D474" s="258">
        <v>158.46299999999999</v>
      </c>
      <c r="E474" s="258">
        <v>8.7974999999999994</v>
      </c>
      <c r="F474" s="258">
        <v>39.788999999999994</v>
      </c>
      <c r="G474" s="258">
        <v>0</v>
      </c>
      <c r="H474" s="258">
        <v>0</v>
      </c>
      <c r="I474" s="258">
        <v>0</v>
      </c>
      <c r="J474" s="258"/>
      <c r="K474" s="258"/>
      <c r="L474" s="258">
        <v>46</v>
      </c>
      <c r="M474" s="258">
        <v>2.0204999999999997</v>
      </c>
      <c r="N474" s="258">
        <v>9.9855</v>
      </c>
      <c r="O474" s="258">
        <v>0</v>
      </c>
      <c r="P474" s="286">
        <f>SUM(C474:O474)</f>
        <v>304.60599999999999</v>
      </c>
      <c r="Q474" s="258">
        <v>32.769999999999996</v>
      </c>
      <c r="R474" s="258">
        <v>0</v>
      </c>
      <c r="S474" s="258">
        <v>0</v>
      </c>
      <c r="T474" s="258">
        <v>30.6</v>
      </c>
      <c r="U474" s="258">
        <v>0</v>
      </c>
      <c r="V474" s="258">
        <v>0</v>
      </c>
      <c r="W474" s="258">
        <v>0</v>
      </c>
      <c r="X474" s="258">
        <v>147.80000000000001</v>
      </c>
      <c r="Y474" s="258">
        <v>0</v>
      </c>
      <c r="Z474" s="258">
        <v>0</v>
      </c>
      <c r="AA474" s="261"/>
      <c r="AB474" s="286">
        <f>SUM(Q474:AA474)</f>
        <v>211.17000000000002</v>
      </c>
      <c r="AC474" s="287">
        <f>P474+AB474</f>
        <v>515.77600000000007</v>
      </c>
      <c r="AD474" s="278"/>
      <c r="AE474" s="278"/>
      <c r="AF474" s="278"/>
      <c r="AG474" s="279"/>
      <c r="AH474" s="479"/>
      <c r="AI474" s="479"/>
      <c r="AJ474" s="479"/>
      <c r="AK474" s="479"/>
    </row>
    <row r="475" spans="1:37" ht="36" customHeight="1" x14ac:dyDescent="0.4">
      <c r="A475" s="477"/>
      <c r="B475" s="304" t="s">
        <v>284</v>
      </c>
      <c r="C475" s="114">
        <v>9252</v>
      </c>
      <c r="D475" s="114">
        <v>37456</v>
      </c>
      <c r="E475" s="114">
        <v>4675</v>
      </c>
      <c r="F475" s="114">
        <v>21619</v>
      </c>
      <c r="G475" s="114">
        <v>1710</v>
      </c>
      <c r="H475" s="114">
        <v>763</v>
      </c>
      <c r="I475" s="114">
        <v>2553</v>
      </c>
      <c r="J475" s="114"/>
      <c r="K475" s="114"/>
      <c r="L475" s="114">
        <v>102</v>
      </c>
      <c r="M475" s="114">
        <v>470</v>
      </c>
      <c r="N475" s="114">
        <v>2470</v>
      </c>
      <c r="O475" s="114">
        <v>151</v>
      </c>
      <c r="P475" s="286">
        <f>SUM(C475:O475)</f>
        <v>81221</v>
      </c>
      <c r="Q475" s="114">
        <v>1403</v>
      </c>
      <c r="R475" s="114">
        <v>2766</v>
      </c>
      <c r="S475" s="114">
        <v>2020</v>
      </c>
      <c r="T475" s="114">
        <v>3192</v>
      </c>
      <c r="U475" s="114">
        <v>1132</v>
      </c>
      <c r="V475" s="114">
        <v>859</v>
      </c>
      <c r="W475" s="114">
        <v>305</v>
      </c>
      <c r="X475" s="114">
        <v>990</v>
      </c>
      <c r="Y475" s="114">
        <v>252</v>
      </c>
      <c r="Z475" s="114">
        <v>164</v>
      </c>
      <c r="AA475" s="261"/>
      <c r="AB475" s="286">
        <f>SUM(Q475:AA475)</f>
        <v>13083</v>
      </c>
      <c r="AC475" s="287">
        <f>P475+AB475</f>
        <v>94304</v>
      </c>
      <c r="AD475" s="263"/>
      <c r="AE475" s="263"/>
      <c r="AF475" s="263"/>
      <c r="AG475" s="263"/>
      <c r="AH475" s="479"/>
      <c r="AI475" s="479"/>
      <c r="AJ475" s="479"/>
      <c r="AK475" s="479"/>
    </row>
    <row r="476" spans="1:37" ht="36" customHeight="1" x14ac:dyDescent="0.4">
      <c r="A476" s="477"/>
      <c r="B476" s="304" t="s">
        <v>285</v>
      </c>
      <c r="C476" s="469">
        <f>C473+D473+E473+F473+C474+D474+E474+F474</f>
        <v>55046.6</v>
      </c>
      <c r="D476" s="470"/>
      <c r="E476" s="470"/>
      <c r="F476" s="471"/>
      <c r="G476" s="469">
        <f>G473+H473+I473+G474+H474+I474</f>
        <v>8976</v>
      </c>
      <c r="H476" s="470"/>
      <c r="I476" s="471"/>
      <c r="J476" s="273"/>
      <c r="K476" s="273"/>
      <c r="L476" s="469">
        <f>L473+M473+N473+L474+M474+N474</f>
        <v>2759.0059999999999</v>
      </c>
      <c r="M476" s="470"/>
      <c r="N476" s="471"/>
      <c r="O476" s="114"/>
      <c r="P476" s="286"/>
      <c r="Q476" s="469">
        <f>Q473+R473+S473+Q474+R474+S474</f>
        <v>5655.77</v>
      </c>
      <c r="R476" s="470"/>
      <c r="S476" s="471"/>
      <c r="T476" s="114"/>
      <c r="U476" s="114"/>
      <c r="V476" s="114"/>
      <c r="W476" s="114"/>
      <c r="X476" s="114"/>
      <c r="Y476" s="114"/>
      <c r="Z476" s="114"/>
      <c r="AA476" s="261"/>
      <c r="AB476" s="286"/>
      <c r="AC476" s="287"/>
      <c r="AD476" s="263"/>
      <c r="AE476" s="263"/>
      <c r="AF476" s="263"/>
      <c r="AG476" s="263"/>
      <c r="AH476" s="479"/>
      <c r="AI476" s="479"/>
      <c r="AJ476" s="479"/>
      <c r="AK476" s="479"/>
    </row>
    <row r="477" spans="1:37" ht="36" customHeight="1" x14ac:dyDescent="0.4">
      <c r="A477" s="477"/>
      <c r="B477" s="304" t="s">
        <v>247</v>
      </c>
      <c r="C477" s="469">
        <f>C475+D475+E475+F475</f>
        <v>73002</v>
      </c>
      <c r="D477" s="470"/>
      <c r="E477" s="470"/>
      <c r="F477" s="471"/>
      <c r="G477" s="469">
        <f>G475+H475+I475</f>
        <v>5026</v>
      </c>
      <c r="H477" s="470"/>
      <c r="I477" s="471"/>
      <c r="J477" s="273"/>
      <c r="K477" s="273"/>
      <c r="L477" s="469">
        <f>L475+M475+N475</f>
        <v>3042</v>
      </c>
      <c r="M477" s="470"/>
      <c r="N477" s="471"/>
      <c r="O477" s="114"/>
      <c r="P477" s="286"/>
      <c r="Q477" s="469">
        <f>Q475+R475+S475</f>
        <v>6189</v>
      </c>
      <c r="R477" s="470"/>
      <c r="S477" s="471"/>
      <c r="T477" s="114"/>
      <c r="U477" s="114"/>
      <c r="V477" s="114"/>
      <c r="W477" s="114"/>
      <c r="X477" s="114"/>
      <c r="Y477" s="114"/>
      <c r="Z477" s="114"/>
      <c r="AA477" s="261"/>
      <c r="AB477" s="286"/>
      <c r="AC477" s="287"/>
      <c r="AD477" s="263"/>
      <c r="AE477" s="263"/>
      <c r="AF477" s="263"/>
      <c r="AG477" s="263"/>
      <c r="AH477" s="479"/>
      <c r="AI477" s="479"/>
      <c r="AJ477" s="479"/>
      <c r="AK477" s="479"/>
    </row>
    <row r="478" spans="1:37" ht="36" customHeight="1" x14ac:dyDescent="0.4">
      <c r="A478" s="477"/>
      <c r="B478" s="297" t="s">
        <v>262</v>
      </c>
      <c r="C478" s="472">
        <f>C476/C477</f>
        <v>0.75404235500397243</v>
      </c>
      <c r="D478" s="473"/>
      <c r="E478" s="473"/>
      <c r="F478" s="474"/>
      <c r="G478" s="472">
        <f>G476/G477</f>
        <v>1.7859132510943097</v>
      </c>
      <c r="H478" s="473"/>
      <c r="I478" s="474"/>
      <c r="J478" s="276"/>
      <c r="K478" s="276"/>
      <c r="L478" s="472">
        <f>L476/L477</f>
        <v>0.90697107166337931</v>
      </c>
      <c r="M478" s="473"/>
      <c r="N478" s="474"/>
      <c r="O478" s="280">
        <f>(O473+O474)/O475</f>
        <v>0.99337748344370858</v>
      </c>
      <c r="P478" s="290">
        <f>(P473+P474)/P475</f>
        <v>0.82406774110143932</v>
      </c>
      <c r="Q478" s="472">
        <f>Q476/Q477</f>
        <v>0.91384230085635809</v>
      </c>
      <c r="R478" s="473"/>
      <c r="S478" s="474"/>
      <c r="T478" s="280">
        <f t="shared" ref="T478:Z478" si="80">(T473+T474)/T475</f>
        <v>0.96823308270676689</v>
      </c>
      <c r="U478" s="280">
        <f t="shared" si="80"/>
        <v>2.1439929328621909</v>
      </c>
      <c r="V478" s="280">
        <f t="shared" si="80"/>
        <v>0.8917345750873108</v>
      </c>
      <c r="W478" s="280">
        <f t="shared" si="80"/>
        <v>1.0032786885245901</v>
      </c>
      <c r="X478" s="280">
        <f t="shared" si="80"/>
        <v>0.89575757575757575</v>
      </c>
      <c r="Y478" s="280">
        <f t="shared" si="80"/>
        <v>0.98809523809523814</v>
      </c>
      <c r="Z478" s="280">
        <f t="shared" si="80"/>
        <v>0.77439024390243905</v>
      </c>
      <c r="AA478" s="265"/>
      <c r="AB478" s="290">
        <f>(AB473+AB474)/AB475</f>
        <v>1.0324978980356188</v>
      </c>
      <c r="AC478" s="291">
        <f>(AC473+AC474)/AC475</f>
        <v>0.85298371224974545</v>
      </c>
      <c r="AD478" s="281">
        <f>AD473/$AG$173</f>
        <v>0.80952380952380953</v>
      </c>
      <c r="AE478" s="281">
        <f>AE473/$AG$173</f>
        <v>9.5238095238095233E-2</v>
      </c>
      <c r="AF478" s="281">
        <f>AF473/$AG$173</f>
        <v>9.5238095238095233E-2</v>
      </c>
      <c r="AG478" s="305">
        <f>AG473/$AG$173</f>
        <v>1</v>
      </c>
      <c r="AH478" s="480"/>
      <c r="AI478" s="480"/>
      <c r="AJ478" s="480"/>
      <c r="AK478" s="480"/>
    </row>
    <row r="479" spans="1:37" ht="36" customHeight="1" x14ac:dyDescent="0.4">
      <c r="A479" s="477" t="s">
        <v>336</v>
      </c>
      <c r="B479" s="292" t="s">
        <v>269</v>
      </c>
      <c r="C479" s="306">
        <v>8860</v>
      </c>
      <c r="D479" s="306">
        <v>31840</v>
      </c>
      <c r="E479" s="306">
        <v>1038</v>
      </c>
      <c r="F479" s="306">
        <v>867</v>
      </c>
      <c r="G479" s="306">
        <v>1666</v>
      </c>
      <c r="H479" s="306">
        <v>4653</v>
      </c>
      <c r="I479" s="306">
        <v>2589</v>
      </c>
      <c r="J479" s="306"/>
      <c r="K479" s="306"/>
      <c r="L479" s="307">
        <v>38</v>
      </c>
      <c r="M479" s="306">
        <v>448</v>
      </c>
      <c r="N479" s="307">
        <v>2207</v>
      </c>
      <c r="O479" s="306">
        <v>150</v>
      </c>
      <c r="P479" s="308">
        <f>SUM(C479:O479)</f>
        <v>54356</v>
      </c>
      <c r="Q479" s="306">
        <v>1199</v>
      </c>
      <c r="R479" s="306">
        <v>2497</v>
      </c>
      <c r="S479" s="306">
        <v>1985</v>
      </c>
      <c r="T479" s="306">
        <v>3063</v>
      </c>
      <c r="U479" s="306">
        <v>2431</v>
      </c>
      <c r="V479" s="306">
        <v>775</v>
      </c>
      <c r="W479" s="306">
        <v>305</v>
      </c>
      <c r="X479" s="306">
        <v>743</v>
      </c>
      <c r="Y479" s="309">
        <v>249</v>
      </c>
      <c r="Z479" s="309">
        <v>128</v>
      </c>
      <c r="AA479" s="261"/>
      <c r="AB479" s="286">
        <f>SUM(Q479:AA479)</f>
        <v>13375</v>
      </c>
      <c r="AC479" s="287">
        <f>P479+AB479</f>
        <v>67731</v>
      </c>
      <c r="AD479" s="278">
        <v>17</v>
      </c>
      <c r="AE479" s="278">
        <v>2</v>
      </c>
      <c r="AF479" s="278">
        <v>2</v>
      </c>
      <c r="AG479" s="279">
        <f>SUM(AD479:AF479)</f>
        <v>21</v>
      </c>
      <c r="AH479" s="478">
        <v>3013</v>
      </c>
      <c r="AI479" s="478">
        <v>2650</v>
      </c>
      <c r="AJ479" s="478">
        <v>14675</v>
      </c>
      <c r="AK479" s="478">
        <f>SUM(AH479:AJ484)</f>
        <v>20338</v>
      </c>
    </row>
    <row r="480" spans="1:37" ht="36" customHeight="1" x14ac:dyDescent="0.4">
      <c r="A480" s="477"/>
      <c r="B480" s="304" t="s">
        <v>265</v>
      </c>
      <c r="C480" s="258">
        <v>39.869999999999997</v>
      </c>
      <c r="D480" s="258">
        <v>143.28</v>
      </c>
      <c r="E480" s="258">
        <v>4.6709999999999994</v>
      </c>
      <c r="F480" s="258">
        <v>3.9014999999999995</v>
      </c>
      <c r="G480" s="258">
        <v>0</v>
      </c>
      <c r="H480" s="258">
        <v>0</v>
      </c>
      <c r="I480" s="258">
        <v>0</v>
      </c>
      <c r="J480" s="258"/>
      <c r="K480" s="258"/>
      <c r="L480" s="258">
        <v>38</v>
      </c>
      <c r="M480" s="258">
        <v>2.016</v>
      </c>
      <c r="N480" s="258">
        <v>9.9314999999999998</v>
      </c>
      <c r="O480" s="258">
        <v>0</v>
      </c>
      <c r="P480" s="286">
        <f>SUM(C480:O480)</f>
        <v>241.67</v>
      </c>
      <c r="Q480" s="258">
        <v>32.99</v>
      </c>
      <c r="R480" s="258">
        <v>0</v>
      </c>
      <c r="S480" s="258">
        <v>0</v>
      </c>
      <c r="T480" s="258">
        <v>30.63</v>
      </c>
      <c r="U480" s="258">
        <v>0</v>
      </c>
      <c r="V480" s="258">
        <v>0</v>
      </c>
      <c r="W480" s="258">
        <v>0</v>
      </c>
      <c r="X480" s="258">
        <v>148.6</v>
      </c>
      <c r="Y480" s="258">
        <v>0</v>
      </c>
      <c r="Z480" s="258">
        <v>0</v>
      </c>
      <c r="AA480" s="261"/>
      <c r="AB480" s="286">
        <f>SUM(Q480:AA480)</f>
        <v>212.22</v>
      </c>
      <c r="AC480" s="287">
        <f>P480+AB480</f>
        <v>453.89</v>
      </c>
      <c r="AD480" s="278"/>
      <c r="AE480" s="278"/>
      <c r="AF480" s="278"/>
      <c r="AG480" s="279"/>
      <c r="AH480" s="479"/>
      <c r="AI480" s="479"/>
      <c r="AJ480" s="479"/>
      <c r="AK480" s="479"/>
    </row>
    <row r="481" spans="1:37" ht="36" customHeight="1" x14ac:dyDescent="0.4">
      <c r="A481" s="477"/>
      <c r="B481" s="304" t="s">
        <v>284</v>
      </c>
      <c r="C481" s="114">
        <v>9252</v>
      </c>
      <c r="D481" s="114">
        <v>37456</v>
      </c>
      <c r="E481" s="114">
        <v>4675</v>
      </c>
      <c r="F481" s="114">
        <v>21619</v>
      </c>
      <c r="G481" s="114">
        <v>1710</v>
      </c>
      <c r="H481" s="114">
        <v>763</v>
      </c>
      <c r="I481" s="114">
        <v>2553</v>
      </c>
      <c r="J481" s="114"/>
      <c r="K481" s="114"/>
      <c r="L481" s="114">
        <v>102</v>
      </c>
      <c r="M481" s="114">
        <v>470</v>
      </c>
      <c r="N481" s="114">
        <v>2470</v>
      </c>
      <c r="O481" s="114">
        <v>151</v>
      </c>
      <c r="P481" s="286">
        <f>SUM(C481:O481)</f>
        <v>81221</v>
      </c>
      <c r="Q481" s="114">
        <v>1403</v>
      </c>
      <c r="R481" s="114">
        <v>2766</v>
      </c>
      <c r="S481" s="114">
        <v>2020</v>
      </c>
      <c r="T481" s="114">
        <v>3192</v>
      </c>
      <c r="U481" s="114">
        <v>1132</v>
      </c>
      <c r="V481" s="114">
        <v>859</v>
      </c>
      <c r="W481" s="114">
        <v>305</v>
      </c>
      <c r="X481" s="114">
        <v>990</v>
      </c>
      <c r="Y481" s="114">
        <v>252</v>
      </c>
      <c r="Z481" s="114">
        <v>164</v>
      </c>
      <c r="AA481" s="261"/>
      <c r="AB481" s="286">
        <f>SUM(Q481:AA481)</f>
        <v>13083</v>
      </c>
      <c r="AC481" s="287">
        <f>P481+AB481</f>
        <v>94304</v>
      </c>
      <c r="AD481" s="263"/>
      <c r="AE481" s="263"/>
      <c r="AF481" s="263"/>
      <c r="AG481" s="263"/>
      <c r="AH481" s="479"/>
      <c r="AI481" s="479"/>
      <c r="AJ481" s="479"/>
      <c r="AK481" s="479"/>
    </row>
    <row r="482" spans="1:37" ht="36" customHeight="1" x14ac:dyDescent="0.4">
      <c r="A482" s="477"/>
      <c r="B482" s="304" t="s">
        <v>285</v>
      </c>
      <c r="C482" s="469">
        <f>C479+D479+E479+F479+C480+D480+E480+F480</f>
        <v>42796.722500000003</v>
      </c>
      <c r="D482" s="470"/>
      <c r="E482" s="470"/>
      <c r="F482" s="471"/>
      <c r="G482" s="469">
        <f>G479+H479+I479+G480+H480+I480</f>
        <v>8908</v>
      </c>
      <c r="H482" s="470"/>
      <c r="I482" s="471"/>
      <c r="J482" s="273"/>
      <c r="K482" s="273"/>
      <c r="L482" s="469">
        <f>L479+M479+N479+L480+M480+N480</f>
        <v>2742.9475000000002</v>
      </c>
      <c r="M482" s="470"/>
      <c r="N482" s="471"/>
      <c r="O482" s="114"/>
      <c r="P482" s="286"/>
      <c r="Q482" s="469">
        <f>Q479+R479+S479+Q480+R480+S480</f>
        <v>5713.99</v>
      </c>
      <c r="R482" s="470"/>
      <c r="S482" s="471"/>
      <c r="T482" s="114"/>
      <c r="U482" s="114"/>
      <c r="V482" s="114"/>
      <c r="W482" s="114"/>
      <c r="X482" s="114"/>
      <c r="Y482" s="114"/>
      <c r="Z482" s="114"/>
      <c r="AA482" s="261"/>
      <c r="AB482" s="286"/>
      <c r="AC482" s="287"/>
      <c r="AD482" s="263"/>
      <c r="AE482" s="263"/>
      <c r="AF482" s="263"/>
      <c r="AG482" s="263"/>
      <c r="AH482" s="479"/>
      <c r="AI482" s="479"/>
      <c r="AJ482" s="479"/>
      <c r="AK482" s="479"/>
    </row>
    <row r="483" spans="1:37" ht="36" customHeight="1" x14ac:dyDescent="0.4">
      <c r="A483" s="477"/>
      <c r="B483" s="304" t="s">
        <v>247</v>
      </c>
      <c r="C483" s="469">
        <f>C481+D481+E481+F481</f>
        <v>73002</v>
      </c>
      <c r="D483" s="470"/>
      <c r="E483" s="470"/>
      <c r="F483" s="471"/>
      <c r="G483" s="469">
        <f>G481+H481+I481</f>
        <v>5026</v>
      </c>
      <c r="H483" s="470"/>
      <c r="I483" s="471"/>
      <c r="J483" s="273"/>
      <c r="K483" s="273"/>
      <c r="L483" s="469">
        <f>L481+M481+N481</f>
        <v>3042</v>
      </c>
      <c r="M483" s="470"/>
      <c r="N483" s="471"/>
      <c r="O483" s="114"/>
      <c r="P483" s="286"/>
      <c r="Q483" s="469">
        <f>Q481+R481+S481</f>
        <v>6189</v>
      </c>
      <c r="R483" s="470"/>
      <c r="S483" s="471"/>
      <c r="T483" s="114"/>
      <c r="U483" s="114"/>
      <c r="V483" s="114"/>
      <c r="W483" s="114"/>
      <c r="X483" s="114"/>
      <c r="Y483" s="114"/>
      <c r="Z483" s="114"/>
      <c r="AA483" s="261"/>
      <c r="AB483" s="286"/>
      <c r="AC483" s="287"/>
      <c r="AD483" s="263"/>
      <c r="AE483" s="263"/>
      <c r="AF483" s="263"/>
      <c r="AG483" s="263"/>
      <c r="AH483" s="479"/>
      <c r="AI483" s="479"/>
      <c r="AJ483" s="479"/>
      <c r="AK483" s="479"/>
    </row>
    <row r="484" spans="1:37" ht="36" customHeight="1" x14ac:dyDescent="0.4">
      <c r="A484" s="477"/>
      <c r="B484" s="297" t="s">
        <v>262</v>
      </c>
      <c r="C484" s="472">
        <f>C482/C483</f>
        <v>0.58624041122161041</v>
      </c>
      <c r="D484" s="473"/>
      <c r="E484" s="473"/>
      <c r="F484" s="474"/>
      <c r="G484" s="472">
        <f>G482/G483</f>
        <v>1.772383605252686</v>
      </c>
      <c r="H484" s="473"/>
      <c r="I484" s="474"/>
      <c r="J484" s="276"/>
      <c r="K484" s="276"/>
      <c r="L484" s="472">
        <f>L482/L483</f>
        <v>0.90169214332675873</v>
      </c>
      <c r="M484" s="473"/>
      <c r="N484" s="474"/>
      <c r="O484" s="280">
        <f>(O479+O480)/O481</f>
        <v>0.99337748344370858</v>
      </c>
      <c r="P484" s="290">
        <f>(P479+P480)/P481</f>
        <v>0.67221125078489552</v>
      </c>
      <c r="Q484" s="472">
        <f>Q482/Q483</f>
        <v>0.92324931329778637</v>
      </c>
      <c r="R484" s="473"/>
      <c r="S484" s="474"/>
      <c r="T484" s="280">
        <f t="shared" ref="T484:Z484" si="81">(T479+T480)/T481</f>
        <v>0.96918233082706773</v>
      </c>
      <c r="U484" s="280">
        <f t="shared" si="81"/>
        <v>2.1475265017667846</v>
      </c>
      <c r="V484" s="280">
        <f t="shared" si="81"/>
        <v>0.90221187427240979</v>
      </c>
      <c r="W484" s="280">
        <f t="shared" si="81"/>
        <v>1</v>
      </c>
      <c r="X484" s="280">
        <f t="shared" si="81"/>
        <v>0.90060606060606063</v>
      </c>
      <c r="Y484" s="280">
        <f t="shared" si="81"/>
        <v>0.98809523809523814</v>
      </c>
      <c r="Z484" s="280">
        <f t="shared" si="81"/>
        <v>0.78048780487804881</v>
      </c>
      <c r="AA484" s="265"/>
      <c r="AB484" s="290">
        <f>(AB479+AB480)/AB481</f>
        <v>1.0385400901933808</v>
      </c>
      <c r="AC484" s="291">
        <f>(AC479+AC480)/AC481</f>
        <v>0.7230328512046148</v>
      </c>
      <c r="AD484" s="281">
        <f>AD479/$AG$173</f>
        <v>0.80952380952380953</v>
      </c>
      <c r="AE484" s="281">
        <f>AE479/$AG$173</f>
        <v>9.5238095238095233E-2</v>
      </c>
      <c r="AF484" s="281">
        <f>AF479/$AG$173</f>
        <v>9.5238095238095233E-2</v>
      </c>
      <c r="AG484" s="305">
        <f>AG479/$AG$173</f>
        <v>1</v>
      </c>
      <c r="AH484" s="480"/>
      <c r="AI484" s="480"/>
      <c r="AJ484" s="480"/>
      <c r="AK484" s="480"/>
    </row>
    <row r="485" spans="1:37" ht="36" customHeight="1" x14ac:dyDescent="0.4">
      <c r="A485" s="477" t="s">
        <v>337</v>
      </c>
      <c r="B485" s="292" t="s">
        <v>269</v>
      </c>
      <c r="C485" s="306">
        <v>7891</v>
      </c>
      <c r="D485" s="306">
        <v>25620</v>
      </c>
      <c r="E485" s="306">
        <v>794</v>
      </c>
      <c r="F485" s="306">
        <v>860</v>
      </c>
      <c r="G485" s="306">
        <v>1654</v>
      </c>
      <c r="H485" s="306">
        <v>4601</v>
      </c>
      <c r="I485" s="306">
        <v>2390</v>
      </c>
      <c r="J485" s="306"/>
      <c r="K485" s="306"/>
      <c r="L485" s="307">
        <v>35</v>
      </c>
      <c r="M485" s="306">
        <v>318</v>
      </c>
      <c r="N485" s="307">
        <v>2147</v>
      </c>
      <c r="O485" s="306">
        <v>150</v>
      </c>
      <c r="P485" s="308">
        <f>SUM(C485:O485)</f>
        <v>46460</v>
      </c>
      <c r="Q485" s="306">
        <v>1272</v>
      </c>
      <c r="R485" s="306">
        <v>2484</v>
      </c>
      <c r="S485" s="306">
        <v>1982</v>
      </c>
      <c r="T485" s="306">
        <v>3056</v>
      </c>
      <c r="U485" s="306">
        <v>2394</v>
      </c>
      <c r="V485" s="306">
        <v>778</v>
      </c>
      <c r="W485" s="306">
        <v>310</v>
      </c>
      <c r="X485" s="306">
        <v>747</v>
      </c>
      <c r="Y485" s="309">
        <v>249</v>
      </c>
      <c r="Z485" s="309">
        <v>128</v>
      </c>
      <c r="AA485" s="261"/>
      <c r="AB485" s="286">
        <f>SUM(Q485:AA485)</f>
        <v>13400</v>
      </c>
      <c r="AC485" s="287">
        <f>P485+AB485</f>
        <v>59860</v>
      </c>
      <c r="AD485" s="278">
        <v>15</v>
      </c>
      <c r="AE485" s="278">
        <v>1</v>
      </c>
      <c r="AF485" s="278">
        <v>5</v>
      </c>
      <c r="AG485" s="279">
        <f>SUM(AD485:AF485)</f>
        <v>21</v>
      </c>
      <c r="AH485" s="478">
        <v>2374</v>
      </c>
      <c r="AI485" s="478">
        <v>2954</v>
      </c>
      <c r="AJ485" s="478">
        <v>8734</v>
      </c>
      <c r="AK485" s="478">
        <f>SUM(AH485:AJ490)</f>
        <v>14062</v>
      </c>
    </row>
    <row r="486" spans="1:37" ht="36" customHeight="1" x14ac:dyDescent="0.4">
      <c r="A486" s="477"/>
      <c r="B486" s="304" t="s">
        <v>265</v>
      </c>
      <c r="C486" s="258">
        <v>35.509499999999996</v>
      </c>
      <c r="D486" s="258">
        <v>115.28999999999999</v>
      </c>
      <c r="E486" s="258">
        <v>3.5729999999999995</v>
      </c>
      <c r="F486" s="258">
        <v>3.8699999999999997</v>
      </c>
      <c r="G486" s="258">
        <v>0</v>
      </c>
      <c r="H486" s="258">
        <v>0</v>
      </c>
      <c r="I486" s="258">
        <v>0</v>
      </c>
      <c r="J486" s="258"/>
      <c r="K486" s="258"/>
      <c r="L486" s="258">
        <v>33</v>
      </c>
      <c r="M486" s="258">
        <v>1.4309999999999998</v>
      </c>
      <c r="N486" s="258">
        <v>9.6614999999999984</v>
      </c>
      <c r="O486" s="258">
        <v>0</v>
      </c>
      <c r="P486" s="286">
        <v>202.33500000000001</v>
      </c>
      <c r="Q486" s="258">
        <v>33.72</v>
      </c>
      <c r="R486" s="258">
        <v>0</v>
      </c>
      <c r="S486" s="258">
        <v>0</v>
      </c>
      <c r="T486" s="258">
        <v>30.560000000000002</v>
      </c>
      <c r="U486" s="258">
        <v>0</v>
      </c>
      <c r="V486" s="258">
        <v>0</v>
      </c>
      <c r="W486" s="258">
        <v>0</v>
      </c>
      <c r="X486" s="258">
        <v>149.4</v>
      </c>
      <c r="Y486" s="258">
        <v>0</v>
      </c>
      <c r="Z486" s="258">
        <v>0</v>
      </c>
      <c r="AA486" s="261"/>
      <c r="AB486" s="286">
        <f>SUM(Q486:AA486)</f>
        <v>213.68</v>
      </c>
      <c r="AC486" s="287">
        <f>P486+AB486</f>
        <v>416.01499999999999</v>
      </c>
      <c r="AD486" s="278"/>
      <c r="AE486" s="278"/>
      <c r="AF486" s="278"/>
      <c r="AG486" s="279"/>
      <c r="AH486" s="479"/>
      <c r="AI486" s="479"/>
      <c r="AJ486" s="479"/>
      <c r="AK486" s="479"/>
    </row>
    <row r="487" spans="1:37" ht="36" customHeight="1" x14ac:dyDescent="0.4">
      <c r="A487" s="477"/>
      <c r="B487" s="304" t="s">
        <v>284</v>
      </c>
      <c r="C487" s="114">
        <v>9252</v>
      </c>
      <c r="D487" s="114">
        <v>37456</v>
      </c>
      <c r="E487" s="114">
        <v>4675</v>
      </c>
      <c r="F487" s="114">
        <v>21619</v>
      </c>
      <c r="G487" s="114">
        <v>1710</v>
      </c>
      <c r="H487" s="114">
        <v>763</v>
      </c>
      <c r="I487" s="114">
        <v>2553</v>
      </c>
      <c r="J487" s="114"/>
      <c r="K487" s="114"/>
      <c r="L487" s="114">
        <v>102</v>
      </c>
      <c r="M487" s="114">
        <v>470</v>
      </c>
      <c r="N487" s="114">
        <v>2470</v>
      </c>
      <c r="O487" s="114">
        <v>151</v>
      </c>
      <c r="P487" s="286">
        <v>81221</v>
      </c>
      <c r="Q487" s="114">
        <v>1403</v>
      </c>
      <c r="R487" s="114">
        <v>2766</v>
      </c>
      <c r="S487" s="114">
        <v>2020</v>
      </c>
      <c r="T487" s="114">
        <v>3192</v>
      </c>
      <c r="U487" s="114">
        <v>1132</v>
      </c>
      <c r="V487" s="114">
        <v>859</v>
      </c>
      <c r="W487" s="114">
        <v>305</v>
      </c>
      <c r="X487" s="114">
        <v>990</v>
      </c>
      <c r="Y487" s="114">
        <v>252</v>
      </c>
      <c r="Z487" s="114">
        <v>164</v>
      </c>
      <c r="AA487" s="261"/>
      <c r="AB487" s="286">
        <f>SUM(Q487:AA487)</f>
        <v>13083</v>
      </c>
      <c r="AC487" s="287">
        <f>P487+AB487</f>
        <v>94304</v>
      </c>
      <c r="AD487" s="263"/>
      <c r="AE487" s="263"/>
      <c r="AF487" s="263"/>
      <c r="AG487" s="263"/>
      <c r="AH487" s="479"/>
      <c r="AI487" s="479"/>
      <c r="AJ487" s="479"/>
      <c r="AK487" s="479"/>
    </row>
    <row r="488" spans="1:37" ht="36" customHeight="1" x14ac:dyDescent="0.4">
      <c r="A488" s="477"/>
      <c r="B488" s="304" t="s">
        <v>285</v>
      </c>
      <c r="C488" s="469">
        <f>C485+D485+E485+F485+C486+D486+E486+F486</f>
        <v>35323.2425</v>
      </c>
      <c r="D488" s="470"/>
      <c r="E488" s="470"/>
      <c r="F488" s="471"/>
      <c r="G488" s="469">
        <f>G485+H485+I485+G486+H486+I486</f>
        <v>8645</v>
      </c>
      <c r="H488" s="470"/>
      <c r="I488" s="471"/>
      <c r="J488" s="273"/>
      <c r="K488" s="273"/>
      <c r="L488" s="469">
        <f>L485+M485+N485+L486+M486+N486</f>
        <v>2544.0925000000002</v>
      </c>
      <c r="M488" s="470"/>
      <c r="N488" s="471"/>
      <c r="O488" s="114"/>
      <c r="P488" s="286"/>
      <c r="Q488" s="469">
        <f>Q485+R485+S485+Q486+R486+S486</f>
        <v>5771.72</v>
      </c>
      <c r="R488" s="470"/>
      <c r="S488" s="471"/>
      <c r="T488" s="114"/>
      <c r="U488" s="114"/>
      <c r="V488" s="114"/>
      <c r="W488" s="114"/>
      <c r="X488" s="114"/>
      <c r="Y488" s="114"/>
      <c r="Z488" s="114"/>
      <c r="AA488" s="261"/>
      <c r="AB488" s="286"/>
      <c r="AC488" s="287"/>
      <c r="AD488" s="263"/>
      <c r="AE488" s="263"/>
      <c r="AF488" s="263"/>
      <c r="AG488" s="263"/>
      <c r="AH488" s="479"/>
      <c r="AI488" s="479"/>
      <c r="AJ488" s="479"/>
      <c r="AK488" s="479"/>
    </row>
    <row r="489" spans="1:37" ht="36" customHeight="1" x14ac:dyDescent="0.4">
      <c r="A489" s="477"/>
      <c r="B489" s="304" t="s">
        <v>247</v>
      </c>
      <c r="C489" s="469">
        <f>C487+D487+E487+F487</f>
        <v>73002</v>
      </c>
      <c r="D489" s="470"/>
      <c r="E489" s="470"/>
      <c r="F489" s="471"/>
      <c r="G489" s="469">
        <f>G487+H487+I487</f>
        <v>5026</v>
      </c>
      <c r="H489" s="470"/>
      <c r="I489" s="471"/>
      <c r="J489" s="273"/>
      <c r="K489" s="273"/>
      <c r="L489" s="469">
        <f>L487+M487+N487</f>
        <v>3042</v>
      </c>
      <c r="M489" s="470"/>
      <c r="N489" s="471"/>
      <c r="O489" s="114"/>
      <c r="P489" s="286"/>
      <c r="Q489" s="469">
        <f>Q487+R487+S487</f>
        <v>6189</v>
      </c>
      <c r="R489" s="470"/>
      <c r="S489" s="471"/>
      <c r="T489" s="114"/>
      <c r="U489" s="114"/>
      <c r="V489" s="114"/>
      <c r="W489" s="114"/>
      <c r="X489" s="114"/>
      <c r="Y489" s="114"/>
      <c r="Z489" s="114"/>
      <c r="AA489" s="261"/>
      <c r="AB489" s="286"/>
      <c r="AC489" s="287"/>
      <c r="AD489" s="263"/>
      <c r="AE489" s="263"/>
      <c r="AF489" s="263"/>
      <c r="AG489" s="263"/>
      <c r="AH489" s="479"/>
      <c r="AI489" s="479"/>
      <c r="AJ489" s="479"/>
      <c r="AK489" s="479"/>
    </row>
    <row r="490" spans="1:37" ht="36" customHeight="1" x14ac:dyDescent="0.4">
      <c r="A490" s="477"/>
      <c r="B490" s="297" t="s">
        <v>262</v>
      </c>
      <c r="C490" s="472">
        <f>C488/C489</f>
        <v>0.48386677762253089</v>
      </c>
      <c r="D490" s="473"/>
      <c r="E490" s="473"/>
      <c r="F490" s="474"/>
      <c r="G490" s="472">
        <f>G488/G489</f>
        <v>1.7200557103064067</v>
      </c>
      <c r="H490" s="473"/>
      <c r="I490" s="474"/>
      <c r="J490" s="276"/>
      <c r="K490" s="276"/>
      <c r="L490" s="472">
        <f>L488/L489</f>
        <v>0.83632232084155167</v>
      </c>
      <c r="M490" s="473"/>
      <c r="N490" s="474"/>
      <c r="O490" s="280">
        <f>(O485+O486)/O487</f>
        <v>0.99337748344370858</v>
      </c>
      <c r="P490" s="290">
        <f>(P485+P486)/P487</f>
        <v>0.57451071767153816</v>
      </c>
      <c r="Q490" s="472">
        <f>Q488/Q489</f>
        <v>0.93257715301341093</v>
      </c>
      <c r="R490" s="473"/>
      <c r="S490" s="474"/>
      <c r="T490" s="280">
        <f t="shared" ref="T490:Z490" si="82">(T485+T486)/T487</f>
        <v>0.96696741854636592</v>
      </c>
      <c r="U490" s="280">
        <f t="shared" si="82"/>
        <v>2.1148409893992932</v>
      </c>
      <c r="V490" s="280">
        <f t="shared" si="82"/>
        <v>0.90570430733410945</v>
      </c>
      <c r="W490" s="280">
        <f t="shared" si="82"/>
        <v>1.0163934426229508</v>
      </c>
      <c r="X490" s="280">
        <f t="shared" si="82"/>
        <v>0.9054545454545454</v>
      </c>
      <c r="Y490" s="280">
        <f t="shared" si="82"/>
        <v>0.98809523809523814</v>
      </c>
      <c r="Z490" s="280">
        <f t="shared" si="82"/>
        <v>0.78048780487804881</v>
      </c>
      <c r="AA490" s="265"/>
      <c r="AB490" s="290">
        <f>(AB485+AB486)/AB487</f>
        <v>1.0405625621034931</v>
      </c>
      <c r="AC490" s="291">
        <f>(AC485+AC486)/AC487</f>
        <v>0.63916710850016967</v>
      </c>
      <c r="AD490" s="281">
        <f>AD485/$AG$173</f>
        <v>0.7142857142857143</v>
      </c>
      <c r="AE490" s="281">
        <f>AE485/$AG$173</f>
        <v>4.7619047619047616E-2</v>
      </c>
      <c r="AF490" s="281">
        <f>AF485/$AG$173</f>
        <v>0.23809523809523808</v>
      </c>
      <c r="AG490" s="305">
        <f>AG485/$AG$173</f>
        <v>1</v>
      </c>
      <c r="AH490" s="480"/>
      <c r="AI490" s="480"/>
      <c r="AJ490" s="480"/>
      <c r="AK490" s="480"/>
    </row>
    <row r="491" spans="1:37" ht="36" customHeight="1" x14ac:dyDescent="0.4">
      <c r="A491" s="477" t="s">
        <v>338</v>
      </c>
      <c r="B491" s="292" t="s">
        <v>269</v>
      </c>
      <c r="C491" s="306">
        <v>8100</v>
      </c>
      <c r="D491" s="306">
        <v>26740</v>
      </c>
      <c r="E491" s="306">
        <v>849</v>
      </c>
      <c r="F491" s="306">
        <v>872</v>
      </c>
      <c r="G491" s="306">
        <v>1659</v>
      </c>
      <c r="H491" s="306">
        <v>4492</v>
      </c>
      <c r="I491" s="306">
        <v>2395</v>
      </c>
      <c r="J491" s="310">
        <v>9369</v>
      </c>
      <c r="K491" s="310">
        <v>20931</v>
      </c>
      <c r="L491" s="307">
        <v>43</v>
      </c>
      <c r="M491" s="306">
        <v>318</v>
      </c>
      <c r="N491" s="307">
        <v>2282</v>
      </c>
      <c r="O491" s="306">
        <v>151</v>
      </c>
      <c r="P491" s="311">
        <f>SUM(C491:O491)</f>
        <v>78201</v>
      </c>
      <c r="Q491" s="306">
        <v>1252</v>
      </c>
      <c r="R491" s="306">
        <v>2526</v>
      </c>
      <c r="S491" s="306">
        <v>1984</v>
      </c>
      <c r="T491" s="306">
        <v>3037</v>
      </c>
      <c r="U491" s="306">
        <v>2362</v>
      </c>
      <c r="V491" s="306">
        <v>779</v>
      </c>
      <c r="W491" s="306">
        <v>316</v>
      </c>
      <c r="X491" s="306">
        <v>749</v>
      </c>
      <c r="Y491" s="309">
        <v>252</v>
      </c>
      <c r="Z491" s="309">
        <v>128</v>
      </c>
      <c r="AA491" s="261"/>
      <c r="AB491" s="286">
        <f>SUM(Q491:AA491)</f>
        <v>13385</v>
      </c>
      <c r="AC491" s="287">
        <f>P491+AB491</f>
        <v>91586</v>
      </c>
      <c r="AD491" s="278">
        <v>16</v>
      </c>
      <c r="AE491" s="278">
        <v>1</v>
      </c>
      <c r="AF491" s="278">
        <v>6</v>
      </c>
      <c r="AG491" s="279">
        <f>SUM(AD491:AF491)</f>
        <v>23</v>
      </c>
      <c r="AH491" s="478">
        <v>2764</v>
      </c>
      <c r="AI491" s="478">
        <v>1944</v>
      </c>
      <c r="AJ491" s="478">
        <v>362</v>
      </c>
      <c r="AK491" s="478">
        <f>SUM(AH491:AJ496)</f>
        <v>5070</v>
      </c>
    </row>
    <row r="492" spans="1:37" ht="36" customHeight="1" x14ac:dyDescent="0.4">
      <c r="A492" s="477"/>
      <c r="B492" s="304" t="s">
        <v>265</v>
      </c>
      <c r="C492" s="258">
        <v>36.449999999999996</v>
      </c>
      <c r="D492" s="258">
        <v>120.32999999999998</v>
      </c>
      <c r="E492" s="258">
        <v>3.8204999999999996</v>
      </c>
      <c r="F492" s="258">
        <v>3.9239999999999995</v>
      </c>
      <c r="G492" s="258">
        <v>0</v>
      </c>
      <c r="H492" s="258">
        <v>0</v>
      </c>
      <c r="I492" s="258">
        <v>0</v>
      </c>
      <c r="J492" s="258">
        <v>0</v>
      </c>
      <c r="K492" s="258">
        <v>0</v>
      </c>
      <c r="L492" s="258">
        <v>32</v>
      </c>
      <c r="M492" s="258">
        <v>1.4309999999999998</v>
      </c>
      <c r="N492" s="258">
        <v>10.268999999999998</v>
      </c>
      <c r="O492" s="258">
        <v>0</v>
      </c>
      <c r="P492" s="311">
        <f>SUM(C492:O492)</f>
        <v>208.22450000000001</v>
      </c>
      <c r="Q492" s="258">
        <v>33.72</v>
      </c>
      <c r="R492" s="258">
        <v>0</v>
      </c>
      <c r="S492" s="258">
        <v>0</v>
      </c>
      <c r="T492" s="258">
        <v>30.560000000000002</v>
      </c>
      <c r="U492" s="258">
        <v>0</v>
      </c>
      <c r="V492" s="258">
        <v>0</v>
      </c>
      <c r="W492" s="258">
        <v>0</v>
      </c>
      <c r="X492" s="258">
        <v>149.4</v>
      </c>
      <c r="Y492" s="258">
        <v>0</v>
      </c>
      <c r="Z492" s="258">
        <v>0</v>
      </c>
      <c r="AA492" s="261"/>
      <c r="AB492" s="286">
        <f>SUM(Q492:AA492)</f>
        <v>213.68</v>
      </c>
      <c r="AC492" s="287">
        <f>P492+AB492</f>
        <v>421.90449999999998</v>
      </c>
      <c r="AD492" s="278"/>
      <c r="AE492" s="278"/>
      <c r="AF492" s="278"/>
      <c r="AG492" s="279"/>
      <c r="AH492" s="479"/>
      <c r="AI492" s="479"/>
      <c r="AJ492" s="479"/>
      <c r="AK492" s="479"/>
    </row>
    <row r="493" spans="1:37" ht="36" customHeight="1" x14ac:dyDescent="0.4">
      <c r="A493" s="477"/>
      <c r="B493" s="304" t="s">
        <v>284</v>
      </c>
      <c r="C493" s="114">
        <v>9252</v>
      </c>
      <c r="D493" s="114">
        <v>37456</v>
      </c>
      <c r="E493" s="114">
        <v>1947</v>
      </c>
      <c r="F493" s="114">
        <v>1546</v>
      </c>
      <c r="G493" s="114">
        <v>1710</v>
      </c>
      <c r="H493" s="114">
        <v>763</v>
      </c>
      <c r="I493" s="114">
        <v>2553</v>
      </c>
      <c r="J493" s="114">
        <v>9369</v>
      </c>
      <c r="K493" s="114">
        <v>52576</v>
      </c>
      <c r="L493" s="114">
        <v>102</v>
      </c>
      <c r="M493" s="114">
        <v>470</v>
      </c>
      <c r="N493" s="114">
        <v>2470</v>
      </c>
      <c r="O493" s="114">
        <v>151</v>
      </c>
      <c r="P493" s="311">
        <f>SUM(C493:O493)</f>
        <v>120365</v>
      </c>
      <c r="Q493" s="114">
        <v>1403</v>
      </c>
      <c r="R493" s="114">
        <v>2766</v>
      </c>
      <c r="S493" s="114">
        <v>2020</v>
      </c>
      <c r="T493" s="114">
        <v>3192</v>
      </c>
      <c r="U493" s="114">
        <v>1132</v>
      </c>
      <c r="V493" s="114">
        <v>859</v>
      </c>
      <c r="W493" s="114">
        <v>305</v>
      </c>
      <c r="X493" s="114">
        <v>990</v>
      </c>
      <c r="Y493" s="114">
        <v>252</v>
      </c>
      <c r="Z493" s="114">
        <v>164</v>
      </c>
      <c r="AA493" s="261"/>
      <c r="AB493" s="286">
        <f>SUM(Q493:AA493)</f>
        <v>13083</v>
      </c>
      <c r="AC493" s="287">
        <f>P493+AB493</f>
        <v>133448</v>
      </c>
      <c r="AD493" s="263"/>
      <c r="AE493" s="263"/>
      <c r="AF493" s="263"/>
      <c r="AG493" s="263"/>
      <c r="AH493" s="479"/>
      <c r="AI493" s="479"/>
      <c r="AJ493" s="479"/>
      <c r="AK493" s="479"/>
    </row>
    <row r="494" spans="1:37" ht="36" customHeight="1" x14ac:dyDescent="0.4">
      <c r="A494" s="477"/>
      <c r="B494" s="304" t="s">
        <v>285</v>
      </c>
      <c r="C494" s="469">
        <f>C491+D491+E491+F491+C492+D492+E492+F492</f>
        <v>36725.5245</v>
      </c>
      <c r="D494" s="470"/>
      <c r="E494" s="470"/>
      <c r="F494" s="471"/>
      <c r="G494" s="466">
        <f>G491+H491+I491+J491+K491+G492+H492+I492+J492+K492</f>
        <v>38846</v>
      </c>
      <c r="H494" s="467"/>
      <c r="I494" s="467"/>
      <c r="J494" s="467"/>
      <c r="K494" s="468"/>
      <c r="L494" s="469">
        <f>L491+M491+N491+L492+M492+N492</f>
        <v>2686.7</v>
      </c>
      <c r="M494" s="470"/>
      <c r="N494" s="471"/>
      <c r="O494" s="114"/>
      <c r="P494" s="286"/>
      <c r="Q494" s="469">
        <f>Q491+R491+S491+Q492+R492+S492</f>
        <v>5795.72</v>
      </c>
      <c r="R494" s="470"/>
      <c r="S494" s="471"/>
      <c r="T494" s="114"/>
      <c r="U494" s="114"/>
      <c r="V494" s="114"/>
      <c r="W494" s="114"/>
      <c r="X494" s="114"/>
      <c r="Y494" s="114"/>
      <c r="Z494" s="114"/>
      <c r="AA494" s="261"/>
      <c r="AB494" s="286"/>
      <c r="AC494" s="287"/>
      <c r="AD494" s="263"/>
      <c r="AE494" s="263"/>
      <c r="AF494" s="263"/>
      <c r="AG494" s="263"/>
      <c r="AH494" s="479"/>
      <c r="AI494" s="479"/>
      <c r="AJ494" s="479"/>
      <c r="AK494" s="479"/>
    </row>
    <row r="495" spans="1:37" ht="36" customHeight="1" x14ac:dyDescent="0.4">
      <c r="A495" s="477"/>
      <c r="B495" s="304" t="s">
        <v>247</v>
      </c>
      <c r="C495" s="469">
        <f>C493+D493+E493+F493</f>
        <v>50201</v>
      </c>
      <c r="D495" s="470"/>
      <c r="E495" s="470"/>
      <c r="F495" s="471"/>
      <c r="G495" s="466">
        <f>G493+H493+I493+J493+K493</f>
        <v>66971</v>
      </c>
      <c r="H495" s="467"/>
      <c r="I495" s="467"/>
      <c r="J495" s="467"/>
      <c r="K495" s="468"/>
      <c r="L495" s="469">
        <f>L493+M493+N493</f>
        <v>3042</v>
      </c>
      <c r="M495" s="470"/>
      <c r="N495" s="471"/>
      <c r="O495" s="114"/>
      <c r="P495" s="286"/>
      <c r="Q495" s="469">
        <f>Q493+R493+S493</f>
        <v>6189</v>
      </c>
      <c r="R495" s="470"/>
      <c r="S495" s="471"/>
      <c r="T495" s="114"/>
      <c r="U495" s="114"/>
      <c r="V495" s="114"/>
      <c r="W495" s="114"/>
      <c r="X495" s="114"/>
      <c r="Y495" s="114"/>
      <c r="Z495" s="114"/>
      <c r="AA495" s="261"/>
      <c r="AB495" s="286"/>
      <c r="AC495" s="287"/>
      <c r="AD495" s="263"/>
      <c r="AE495" s="263"/>
      <c r="AF495" s="263"/>
      <c r="AG495" s="263"/>
      <c r="AH495" s="479"/>
      <c r="AI495" s="479"/>
      <c r="AJ495" s="479"/>
      <c r="AK495" s="479"/>
    </row>
    <row r="496" spans="1:37" ht="36" customHeight="1" x14ac:dyDescent="0.4">
      <c r="A496" s="477"/>
      <c r="B496" s="297" t="s">
        <v>262</v>
      </c>
      <c r="C496" s="472">
        <f>C494/C495</f>
        <v>0.73156958028724528</v>
      </c>
      <c r="D496" s="473"/>
      <c r="E496" s="473"/>
      <c r="F496" s="474"/>
      <c r="G496" s="472">
        <f>G494/G495</f>
        <v>0.58004210777799348</v>
      </c>
      <c r="H496" s="475"/>
      <c r="I496" s="475"/>
      <c r="J496" s="475"/>
      <c r="K496" s="476"/>
      <c r="L496" s="472">
        <f>L494/L495</f>
        <v>0.88320184089414855</v>
      </c>
      <c r="M496" s="473"/>
      <c r="N496" s="474"/>
      <c r="O496" s="280">
        <f>(O491+O492)/O493</f>
        <v>1</v>
      </c>
      <c r="P496" s="290">
        <f>(P491+P492)/P493</f>
        <v>0.65142877497611429</v>
      </c>
      <c r="Q496" s="472">
        <f>Q494/Q495</f>
        <v>0.93645500080788502</v>
      </c>
      <c r="R496" s="473"/>
      <c r="S496" s="474"/>
      <c r="T496" s="280">
        <f t="shared" ref="T496:Z496" si="83">(T491+T492)/T493</f>
        <v>0.96101503759398499</v>
      </c>
      <c r="U496" s="280">
        <f t="shared" si="83"/>
        <v>2.0865724381625443</v>
      </c>
      <c r="V496" s="280">
        <f t="shared" si="83"/>
        <v>0.90686845168800934</v>
      </c>
      <c r="W496" s="280">
        <f t="shared" si="83"/>
        <v>1.0360655737704918</v>
      </c>
      <c r="X496" s="280">
        <f t="shared" si="83"/>
        <v>0.90747474747474743</v>
      </c>
      <c r="Y496" s="280">
        <f t="shared" si="83"/>
        <v>1</v>
      </c>
      <c r="Z496" s="280">
        <f t="shared" si="83"/>
        <v>0.78048780487804881</v>
      </c>
      <c r="AA496" s="265"/>
      <c r="AB496" s="290">
        <f>(AB491+AB492)/AB493</f>
        <v>1.0394160360773523</v>
      </c>
      <c r="AC496" s="291">
        <f>(AC491+AC492)/AC493</f>
        <v>0.68946634269528206</v>
      </c>
      <c r="AD496" s="281">
        <f>AD491/$AG$173</f>
        <v>0.76190476190476186</v>
      </c>
      <c r="AE496" s="281">
        <f>AE491/$AG$173</f>
        <v>4.7619047619047616E-2</v>
      </c>
      <c r="AF496" s="281">
        <f>AF491/$AG$173</f>
        <v>0.2857142857142857</v>
      </c>
      <c r="AG496" s="305">
        <f>AG491/$AG$173</f>
        <v>1.0952380952380953</v>
      </c>
      <c r="AH496" s="480"/>
      <c r="AI496" s="480"/>
      <c r="AJ496" s="480"/>
      <c r="AK496" s="480"/>
    </row>
    <row r="497" spans="1:37" ht="36" customHeight="1" x14ac:dyDescent="0.4">
      <c r="A497" s="477" t="s">
        <v>339</v>
      </c>
      <c r="B497" s="292" t="s">
        <v>269</v>
      </c>
      <c r="C497" s="306">
        <v>8192</v>
      </c>
      <c r="D497" s="306">
        <v>26932</v>
      </c>
      <c r="E497" s="306">
        <v>903</v>
      </c>
      <c r="F497" s="306">
        <v>864</v>
      </c>
      <c r="G497" s="306">
        <v>1659</v>
      </c>
      <c r="H497" s="306">
        <v>4406</v>
      </c>
      <c r="I497" s="306">
        <v>2388</v>
      </c>
      <c r="J497" s="310">
        <v>9189</v>
      </c>
      <c r="K497" s="310">
        <v>20843</v>
      </c>
      <c r="L497" s="307">
        <v>38</v>
      </c>
      <c r="M497" s="306">
        <v>320</v>
      </c>
      <c r="N497" s="307">
        <v>2326</v>
      </c>
      <c r="O497" s="306">
        <v>151</v>
      </c>
      <c r="P497" s="311">
        <f>SUM(C497:O497)</f>
        <v>78211</v>
      </c>
      <c r="Q497" s="306">
        <v>1250</v>
      </c>
      <c r="R497" s="306">
        <v>2508</v>
      </c>
      <c r="S497" s="306">
        <v>1979</v>
      </c>
      <c r="T497" s="306">
        <v>3013</v>
      </c>
      <c r="U497" s="306">
        <v>2344</v>
      </c>
      <c r="V497" s="306">
        <v>774</v>
      </c>
      <c r="W497" s="306">
        <v>320</v>
      </c>
      <c r="X497" s="306">
        <v>755</v>
      </c>
      <c r="Y497" s="309">
        <v>246</v>
      </c>
      <c r="Z497" s="309">
        <v>128</v>
      </c>
      <c r="AA497" s="261"/>
      <c r="AB497" s="286">
        <f>SUM(Q497:AA497)</f>
        <v>13317</v>
      </c>
      <c r="AC497" s="287">
        <f>P497+AB497</f>
        <v>91528</v>
      </c>
      <c r="AD497" s="278">
        <v>17</v>
      </c>
      <c r="AE497" s="278">
        <v>1</v>
      </c>
      <c r="AF497" s="278">
        <v>5</v>
      </c>
      <c r="AG497" s="279">
        <f>SUM(AD497:AF497)</f>
        <v>23</v>
      </c>
      <c r="AH497" s="478">
        <v>2195</v>
      </c>
      <c r="AI497" s="478">
        <v>3112</v>
      </c>
      <c r="AJ497" s="478">
        <v>950</v>
      </c>
      <c r="AK497" s="478">
        <f>SUM(AH497:AJ502)</f>
        <v>6257</v>
      </c>
    </row>
    <row r="498" spans="1:37" ht="36" customHeight="1" x14ac:dyDescent="0.4">
      <c r="A498" s="477"/>
      <c r="B498" s="304" t="s">
        <v>265</v>
      </c>
      <c r="C498" s="258">
        <v>36.863999999999997</v>
      </c>
      <c r="D498" s="258">
        <v>121.19399999999999</v>
      </c>
      <c r="E498" s="258">
        <v>4.0634999999999994</v>
      </c>
      <c r="F498" s="258">
        <v>3.8879999999999999</v>
      </c>
      <c r="G498" s="258">
        <v>0</v>
      </c>
      <c r="H498" s="258">
        <v>0</v>
      </c>
      <c r="I498" s="258">
        <v>0</v>
      </c>
      <c r="J498" s="258">
        <v>0</v>
      </c>
      <c r="K498" s="258">
        <v>0</v>
      </c>
      <c r="L498" s="258">
        <v>51</v>
      </c>
      <c r="M498" s="258">
        <v>1.44</v>
      </c>
      <c r="N498" s="258">
        <v>10.466999999999999</v>
      </c>
      <c r="O498" s="258">
        <v>0</v>
      </c>
      <c r="P498" s="311">
        <f>SUM(C498:O498)</f>
        <v>228.91649999999998</v>
      </c>
      <c r="Q498" s="258">
        <v>33.5</v>
      </c>
      <c r="R498" s="258">
        <v>0</v>
      </c>
      <c r="S498" s="258">
        <v>0</v>
      </c>
      <c r="T498" s="258">
        <v>30.13</v>
      </c>
      <c r="U498" s="258">
        <v>0</v>
      </c>
      <c r="V498" s="258">
        <v>0</v>
      </c>
      <c r="W498" s="258">
        <v>0</v>
      </c>
      <c r="X498" s="258">
        <v>151</v>
      </c>
      <c r="Y498" s="258">
        <v>0</v>
      </c>
      <c r="Z498" s="258">
        <v>0</v>
      </c>
      <c r="AA498" s="261"/>
      <c r="AB498" s="286">
        <f>SUM(Q498:AA498)</f>
        <v>214.63</v>
      </c>
      <c r="AC498" s="287">
        <f>P498+AB498</f>
        <v>443.54649999999998</v>
      </c>
      <c r="AD498" s="278"/>
      <c r="AE498" s="278"/>
      <c r="AF498" s="278"/>
      <c r="AG498" s="279"/>
      <c r="AH498" s="479"/>
      <c r="AI498" s="479"/>
      <c r="AJ498" s="479"/>
      <c r="AK498" s="479"/>
    </row>
    <row r="499" spans="1:37" ht="36" customHeight="1" x14ac:dyDescent="0.4">
      <c r="A499" s="477"/>
      <c r="B499" s="304" t="s">
        <v>284</v>
      </c>
      <c r="C499" s="114">
        <v>9252</v>
      </c>
      <c r="D499" s="114">
        <v>37456</v>
      </c>
      <c r="E499" s="114">
        <v>1947</v>
      </c>
      <c r="F499" s="114">
        <v>1546</v>
      </c>
      <c r="G499" s="114">
        <v>1710</v>
      </c>
      <c r="H499" s="114">
        <v>763</v>
      </c>
      <c r="I499" s="114">
        <v>2553</v>
      </c>
      <c r="J499" s="114">
        <v>9369</v>
      </c>
      <c r="K499" s="114">
        <v>52576</v>
      </c>
      <c r="L499" s="114">
        <v>102</v>
      </c>
      <c r="M499" s="114">
        <v>470</v>
      </c>
      <c r="N499" s="114">
        <v>2470</v>
      </c>
      <c r="O499" s="114">
        <v>151</v>
      </c>
      <c r="P499" s="311">
        <f>SUM(C499:O499)</f>
        <v>120365</v>
      </c>
      <c r="Q499" s="114">
        <v>1403</v>
      </c>
      <c r="R499" s="114">
        <v>2766</v>
      </c>
      <c r="S499" s="114">
        <v>2020</v>
      </c>
      <c r="T499" s="114">
        <v>3192</v>
      </c>
      <c r="U499" s="114">
        <v>1132</v>
      </c>
      <c r="V499" s="114">
        <v>859</v>
      </c>
      <c r="W499" s="114">
        <v>305</v>
      </c>
      <c r="X499" s="114">
        <v>990</v>
      </c>
      <c r="Y499" s="114">
        <v>252</v>
      </c>
      <c r="Z499" s="114">
        <v>164</v>
      </c>
      <c r="AA499" s="261"/>
      <c r="AB499" s="286">
        <f>SUM(Q499:AA499)</f>
        <v>13083</v>
      </c>
      <c r="AC499" s="287">
        <f>P499+AB499</f>
        <v>133448</v>
      </c>
      <c r="AD499" s="263"/>
      <c r="AE499" s="263"/>
      <c r="AF499" s="263"/>
      <c r="AG499" s="263"/>
      <c r="AH499" s="479"/>
      <c r="AI499" s="479"/>
      <c r="AJ499" s="479"/>
      <c r="AK499" s="479"/>
    </row>
    <row r="500" spans="1:37" ht="36" customHeight="1" x14ac:dyDescent="0.4">
      <c r="A500" s="477"/>
      <c r="B500" s="304" t="s">
        <v>285</v>
      </c>
      <c r="C500" s="469">
        <f>C497+D497+E497+F497+C498+D498+E498+F498</f>
        <v>37057.0095</v>
      </c>
      <c r="D500" s="470"/>
      <c r="E500" s="470"/>
      <c r="F500" s="471"/>
      <c r="G500" s="466">
        <f>G497+H497+I497+J497+K497+G498+H498+I498+J498+K498</f>
        <v>38485</v>
      </c>
      <c r="H500" s="467"/>
      <c r="I500" s="467"/>
      <c r="J500" s="467"/>
      <c r="K500" s="468"/>
      <c r="L500" s="469">
        <f>L497+M497+N497+L498+M498+N498</f>
        <v>2746.9070000000002</v>
      </c>
      <c r="M500" s="470"/>
      <c r="N500" s="471"/>
      <c r="O500" s="114"/>
      <c r="P500" s="286"/>
      <c r="Q500" s="469">
        <f>Q497+R497+S497+Q498+R498+S498</f>
        <v>5770.5</v>
      </c>
      <c r="R500" s="470"/>
      <c r="S500" s="471"/>
      <c r="T500" s="114"/>
      <c r="U500" s="114"/>
      <c r="V500" s="114"/>
      <c r="W500" s="114"/>
      <c r="X500" s="114"/>
      <c r="Y500" s="114"/>
      <c r="Z500" s="114"/>
      <c r="AA500" s="261"/>
      <c r="AB500" s="286"/>
      <c r="AC500" s="287"/>
      <c r="AD500" s="263"/>
      <c r="AE500" s="263"/>
      <c r="AF500" s="263"/>
      <c r="AG500" s="263"/>
      <c r="AH500" s="479"/>
      <c r="AI500" s="479"/>
      <c r="AJ500" s="479"/>
      <c r="AK500" s="479"/>
    </row>
    <row r="501" spans="1:37" ht="36" customHeight="1" x14ac:dyDescent="0.4">
      <c r="A501" s="477"/>
      <c r="B501" s="304" t="s">
        <v>247</v>
      </c>
      <c r="C501" s="469">
        <f>C499+D499+E499+F499</f>
        <v>50201</v>
      </c>
      <c r="D501" s="470"/>
      <c r="E501" s="470"/>
      <c r="F501" s="471"/>
      <c r="G501" s="466">
        <f>G499+H499+I499+J499+K499</f>
        <v>66971</v>
      </c>
      <c r="H501" s="467"/>
      <c r="I501" s="467"/>
      <c r="J501" s="467"/>
      <c r="K501" s="468"/>
      <c r="L501" s="469">
        <f>L499+M499+N499</f>
        <v>3042</v>
      </c>
      <c r="M501" s="470"/>
      <c r="N501" s="471"/>
      <c r="O501" s="114"/>
      <c r="P501" s="286"/>
      <c r="Q501" s="469">
        <f>Q499+R499+S499</f>
        <v>6189</v>
      </c>
      <c r="R501" s="470"/>
      <c r="S501" s="471"/>
      <c r="T501" s="114"/>
      <c r="U501" s="114"/>
      <c r="V501" s="114"/>
      <c r="W501" s="114"/>
      <c r="X501" s="114"/>
      <c r="Y501" s="114"/>
      <c r="Z501" s="114"/>
      <c r="AA501" s="261"/>
      <c r="AB501" s="286"/>
      <c r="AC501" s="287"/>
      <c r="AD501" s="263"/>
      <c r="AE501" s="263"/>
      <c r="AF501" s="263"/>
      <c r="AG501" s="263"/>
      <c r="AH501" s="479"/>
      <c r="AI501" s="479"/>
      <c r="AJ501" s="479"/>
      <c r="AK501" s="479"/>
    </row>
    <row r="502" spans="1:37" ht="36" customHeight="1" x14ac:dyDescent="0.4">
      <c r="A502" s="477"/>
      <c r="B502" s="297" t="s">
        <v>262</v>
      </c>
      <c r="C502" s="472">
        <f>C500/C501</f>
        <v>0.73817273560287644</v>
      </c>
      <c r="D502" s="473"/>
      <c r="E502" s="473"/>
      <c r="F502" s="474"/>
      <c r="G502" s="472">
        <f>G500/G501</f>
        <v>0.57465171492138389</v>
      </c>
      <c r="H502" s="475"/>
      <c r="I502" s="475"/>
      <c r="J502" s="475"/>
      <c r="K502" s="476"/>
      <c r="L502" s="472">
        <f>L500/L501</f>
        <v>0.90299375410913874</v>
      </c>
      <c r="M502" s="473"/>
      <c r="N502" s="474"/>
      <c r="O502" s="280">
        <f>(O497+O498)/O499</f>
        <v>1</v>
      </c>
      <c r="P502" s="290">
        <f>(P497+P498)/P499</f>
        <v>0.65168376604494671</v>
      </c>
      <c r="Q502" s="472">
        <f>Q500/Q501</f>
        <v>0.93238002908385842</v>
      </c>
      <c r="R502" s="473"/>
      <c r="S502" s="474"/>
      <c r="T502" s="280">
        <f t="shared" ref="T502:Z502" si="84">(T497+T498)/T499</f>
        <v>0.95336152882205516</v>
      </c>
      <c r="U502" s="280">
        <f t="shared" si="84"/>
        <v>2.0706713780918728</v>
      </c>
      <c r="V502" s="280">
        <f t="shared" si="84"/>
        <v>0.9010477299185099</v>
      </c>
      <c r="W502" s="280">
        <f t="shared" si="84"/>
        <v>1.0491803278688525</v>
      </c>
      <c r="X502" s="280">
        <f t="shared" si="84"/>
        <v>0.91515151515151516</v>
      </c>
      <c r="Y502" s="280">
        <f t="shared" si="84"/>
        <v>0.97619047619047616</v>
      </c>
      <c r="Z502" s="280">
        <f t="shared" si="84"/>
        <v>0.78048780487804881</v>
      </c>
      <c r="AA502" s="265"/>
      <c r="AB502" s="290">
        <f>(AB497+AB498)/AB499</f>
        <v>1.0342910647405028</v>
      </c>
      <c r="AC502" s="291">
        <f>(AC497+AC498)/AC499</f>
        <v>0.68919389200287751</v>
      </c>
      <c r="AD502" s="281">
        <f>AD497/$AG$173</f>
        <v>0.80952380952380953</v>
      </c>
      <c r="AE502" s="281">
        <f>AE497/$AG$173</f>
        <v>4.7619047619047616E-2</v>
      </c>
      <c r="AF502" s="281">
        <f>AF497/$AG$173</f>
        <v>0.23809523809523808</v>
      </c>
      <c r="AG502" s="305">
        <f>AG497/$AG$173</f>
        <v>1.0952380952380953</v>
      </c>
      <c r="AH502" s="480"/>
      <c r="AI502" s="480"/>
      <c r="AJ502" s="480"/>
      <c r="AK502" s="480"/>
    </row>
    <row r="503" spans="1:37" ht="36" customHeight="1" x14ac:dyDescent="0.4">
      <c r="A503" s="477" t="s">
        <v>340</v>
      </c>
      <c r="B503" s="292" t="s">
        <v>269</v>
      </c>
      <c r="C503" s="306">
        <v>7522</v>
      </c>
      <c r="D503" s="306">
        <v>24808</v>
      </c>
      <c r="E503" s="306">
        <v>915</v>
      </c>
      <c r="F503" s="306">
        <v>857</v>
      </c>
      <c r="G503" s="306">
        <v>1654</v>
      </c>
      <c r="H503" s="306">
        <v>4378</v>
      </c>
      <c r="I503" s="306">
        <v>2391</v>
      </c>
      <c r="J503" s="310">
        <v>6768</v>
      </c>
      <c r="K503" s="310">
        <v>26272</v>
      </c>
      <c r="L503" s="307">
        <v>281</v>
      </c>
      <c r="M503" s="306">
        <v>322</v>
      </c>
      <c r="N503" s="307">
        <v>2339</v>
      </c>
      <c r="O503" s="306">
        <v>151</v>
      </c>
      <c r="P503" s="311">
        <v>78658</v>
      </c>
      <c r="Q503" s="306">
        <v>1298</v>
      </c>
      <c r="R503" s="306">
        <v>2500</v>
      </c>
      <c r="S503" s="306">
        <v>1968</v>
      </c>
      <c r="T503" s="306">
        <v>2981</v>
      </c>
      <c r="U503" s="306">
        <v>2316</v>
      </c>
      <c r="V503" s="306">
        <v>773</v>
      </c>
      <c r="W503" s="306">
        <v>330</v>
      </c>
      <c r="X503" s="306">
        <v>757</v>
      </c>
      <c r="Y503" s="309">
        <v>244</v>
      </c>
      <c r="Z503" s="309">
        <v>128</v>
      </c>
      <c r="AA503" s="261"/>
      <c r="AB503" s="286">
        <f>SUM(Q503:AA503)</f>
        <v>13295</v>
      </c>
      <c r="AC503" s="287">
        <f>P503+AB503</f>
        <v>91953</v>
      </c>
      <c r="AD503" s="278">
        <v>15</v>
      </c>
      <c r="AE503" s="278">
        <v>2</v>
      </c>
      <c r="AF503" s="278">
        <v>6</v>
      </c>
      <c r="AG503" s="279">
        <f>SUM(AD503:AF503)</f>
        <v>23</v>
      </c>
      <c r="AH503" s="478">
        <v>1628</v>
      </c>
      <c r="AI503" s="478">
        <v>7337</v>
      </c>
      <c r="AJ503" s="478">
        <v>5987</v>
      </c>
      <c r="AK503" s="478">
        <f>SUM(AH503:AJ508)</f>
        <v>14952</v>
      </c>
    </row>
    <row r="504" spans="1:37" ht="36" customHeight="1" x14ac:dyDescent="0.4">
      <c r="A504" s="477"/>
      <c r="B504" s="304" t="s">
        <v>265</v>
      </c>
      <c r="C504" s="258">
        <v>33.848999999999997</v>
      </c>
      <c r="D504" s="258">
        <v>111.636</v>
      </c>
      <c r="E504" s="258">
        <v>4.1174999999999997</v>
      </c>
      <c r="F504" s="258">
        <v>3.8564999999999996</v>
      </c>
      <c r="G504" s="258">
        <v>0</v>
      </c>
      <c r="H504" s="258">
        <v>0</v>
      </c>
      <c r="I504" s="258">
        <v>0</v>
      </c>
      <c r="J504" s="258">
        <v>0</v>
      </c>
      <c r="K504" s="258">
        <v>0</v>
      </c>
      <c r="L504" s="258">
        <v>135</v>
      </c>
      <c r="M504" s="258">
        <v>1.4489999999999998</v>
      </c>
      <c r="N504" s="258">
        <v>10.525499999999999</v>
      </c>
      <c r="O504" s="258">
        <v>0</v>
      </c>
      <c r="P504" s="311">
        <v>300.43350000000004</v>
      </c>
      <c r="Q504" s="258">
        <v>33.980000000000004</v>
      </c>
      <c r="R504" s="258">
        <v>0</v>
      </c>
      <c r="S504" s="258">
        <v>0</v>
      </c>
      <c r="T504" s="258">
        <v>29.810000000000002</v>
      </c>
      <c r="U504" s="258">
        <v>0</v>
      </c>
      <c r="V504" s="258">
        <v>0</v>
      </c>
      <c r="W504" s="258">
        <v>0</v>
      </c>
      <c r="X504" s="258">
        <v>151.4</v>
      </c>
      <c r="Y504" s="258">
        <v>0</v>
      </c>
      <c r="Z504" s="258">
        <v>0</v>
      </c>
      <c r="AA504" s="261"/>
      <c r="AB504" s="286">
        <f>SUM(Q504:AA504)</f>
        <v>215.19</v>
      </c>
      <c r="AC504" s="287">
        <f>P504+AB504</f>
        <v>515.62350000000004</v>
      </c>
      <c r="AD504" s="278"/>
      <c r="AE504" s="278"/>
      <c r="AF504" s="278"/>
      <c r="AG504" s="279"/>
      <c r="AH504" s="479"/>
      <c r="AI504" s="479"/>
      <c r="AJ504" s="479"/>
      <c r="AK504" s="479"/>
    </row>
    <row r="505" spans="1:37" ht="36" customHeight="1" x14ac:dyDescent="0.4">
      <c r="A505" s="477"/>
      <c r="B505" s="304" t="s">
        <v>284</v>
      </c>
      <c r="C505" s="114">
        <v>9252</v>
      </c>
      <c r="D505" s="114">
        <v>37456</v>
      </c>
      <c r="E505" s="114">
        <v>1947</v>
      </c>
      <c r="F505" s="114">
        <v>1546</v>
      </c>
      <c r="G505" s="114">
        <v>1710</v>
      </c>
      <c r="H505" s="114">
        <v>763</v>
      </c>
      <c r="I505" s="114">
        <v>2553</v>
      </c>
      <c r="J505" s="114">
        <v>9369</v>
      </c>
      <c r="K505" s="114">
        <v>52576</v>
      </c>
      <c r="L505" s="114">
        <v>102</v>
      </c>
      <c r="M505" s="114">
        <v>470</v>
      </c>
      <c r="N505" s="114">
        <v>2470</v>
      </c>
      <c r="O505" s="114">
        <v>151</v>
      </c>
      <c r="P505" s="311">
        <v>120365</v>
      </c>
      <c r="Q505" s="114">
        <v>1403</v>
      </c>
      <c r="R505" s="114">
        <v>2766</v>
      </c>
      <c r="S505" s="114">
        <v>2020</v>
      </c>
      <c r="T505" s="114">
        <v>3192</v>
      </c>
      <c r="U505" s="114">
        <v>1132</v>
      </c>
      <c r="V505" s="114">
        <v>859</v>
      </c>
      <c r="W505" s="114">
        <v>305</v>
      </c>
      <c r="X505" s="114">
        <v>990</v>
      </c>
      <c r="Y505" s="114">
        <v>252</v>
      </c>
      <c r="Z505" s="114">
        <v>164</v>
      </c>
      <c r="AA505" s="261"/>
      <c r="AB505" s="286">
        <f>SUM(Q505:AA505)</f>
        <v>13083</v>
      </c>
      <c r="AC505" s="287">
        <f>P505+AB505</f>
        <v>133448</v>
      </c>
      <c r="AD505" s="263"/>
      <c r="AE505" s="263"/>
      <c r="AF505" s="263"/>
      <c r="AG505" s="263"/>
      <c r="AH505" s="479"/>
      <c r="AI505" s="479"/>
      <c r="AJ505" s="479"/>
      <c r="AK505" s="479"/>
    </row>
    <row r="506" spans="1:37" ht="36" customHeight="1" x14ac:dyDescent="0.4">
      <c r="A506" s="477"/>
      <c r="B506" s="304" t="s">
        <v>285</v>
      </c>
      <c r="C506" s="469">
        <f>C503+D503+E503+F503+C504+D504+E504+F504</f>
        <v>34255.459000000003</v>
      </c>
      <c r="D506" s="470"/>
      <c r="E506" s="470"/>
      <c r="F506" s="471"/>
      <c r="G506" s="466">
        <f>G503+H503+I503+J503+K503+G504+H504+I504+J504+K504</f>
        <v>41463</v>
      </c>
      <c r="H506" s="467"/>
      <c r="I506" s="467"/>
      <c r="J506" s="467"/>
      <c r="K506" s="468"/>
      <c r="L506" s="469">
        <f>L503+M503+N503+L504+M504+N504</f>
        <v>3088.9745000000003</v>
      </c>
      <c r="M506" s="470"/>
      <c r="N506" s="471"/>
      <c r="O506" s="114"/>
      <c r="P506" s="286"/>
      <c r="Q506" s="469">
        <f>Q503+R503+S503+Q504+R504+S504</f>
        <v>5799.98</v>
      </c>
      <c r="R506" s="470"/>
      <c r="S506" s="471"/>
      <c r="T506" s="114"/>
      <c r="U506" s="114"/>
      <c r="V506" s="114"/>
      <c r="W506" s="114"/>
      <c r="X506" s="114"/>
      <c r="Y506" s="114"/>
      <c r="Z506" s="114"/>
      <c r="AA506" s="261"/>
      <c r="AB506" s="286"/>
      <c r="AC506" s="287"/>
      <c r="AD506" s="263"/>
      <c r="AE506" s="263"/>
      <c r="AF506" s="263"/>
      <c r="AG506" s="263"/>
      <c r="AH506" s="479"/>
      <c r="AI506" s="479"/>
      <c r="AJ506" s="479"/>
      <c r="AK506" s="479"/>
    </row>
    <row r="507" spans="1:37" ht="36" customHeight="1" x14ac:dyDescent="0.4">
      <c r="A507" s="477"/>
      <c r="B507" s="304" t="s">
        <v>247</v>
      </c>
      <c r="C507" s="469">
        <f>C505+D505+E505+F505</f>
        <v>50201</v>
      </c>
      <c r="D507" s="470"/>
      <c r="E507" s="470"/>
      <c r="F507" s="471"/>
      <c r="G507" s="466">
        <f>G505+H505+I505+J505+K505</f>
        <v>66971</v>
      </c>
      <c r="H507" s="467"/>
      <c r="I507" s="467"/>
      <c r="J507" s="467"/>
      <c r="K507" s="468"/>
      <c r="L507" s="469">
        <f>L505+M505+N505</f>
        <v>3042</v>
      </c>
      <c r="M507" s="470"/>
      <c r="N507" s="471"/>
      <c r="O507" s="114"/>
      <c r="P507" s="286"/>
      <c r="Q507" s="469">
        <f>Q505+R505+S505</f>
        <v>6189</v>
      </c>
      <c r="R507" s="470"/>
      <c r="S507" s="471"/>
      <c r="T507" s="114"/>
      <c r="U507" s="114"/>
      <c r="V507" s="114"/>
      <c r="W507" s="114"/>
      <c r="X507" s="114"/>
      <c r="Y507" s="114"/>
      <c r="Z507" s="114"/>
      <c r="AA507" s="261"/>
      <c r="AB507" s="286"/>
      <c r="AC507" s="287"/>
      <c r="AD507" s="263"/>
      <c r="AE507" s="263"/>
      <c r="AF507" s="263"/>
      <c r="AG507" s="263"/>
      <c r="AH507" s="479"/>
      <c r="AI507" s="479"/>
      <c r="AJ507" s="479"/>
      <c r="AK507" s="479"/>
    </row>
    <row r="508" spans="1:37" ht="36" customHeight="1" x14ac:dyDescent="0.4">
      <c r="A508" s="477"/>
      <c r="B508" s="297" t="s">
        <v>262</v>
      </c>
      <c r="C508" s="472">
        <f>C506/C507</f>
        <v>0.68236606840501191</v>
      </c>
      <c r="D508" s="473"/>
      <c r="E508" s="473"/>
      <c r="F508" s="474"/>
      <c r="G508" s="472">
        <f>G506/G507</f>
        <v>0.61911872302937088</v>
      </c>
      <c r="H508" s="475"/>
      <c r="I508" s="475"/>
      <c r="J508" s="475"/>
      <c r="K508" s="476"/>
      <c r="L508" s="472">
        <f>L506/L507</f>
        <v>1.0154419789612099</v>
      </c>
      <c r="M508" s="473"/>
      <c r="N508" s="474"/>
      <c r="O508" s="280">
        <f>(O503+O504)/O505</f>
        <v>1</v>
      </c>
      <c r="P508" s="290">
        <f>(P503+P504)/P505</f>
        <v>0.65599163793461557</v>
      </c>
      <c r="Q508" s="472">
        <f>Q506/Q507</f>
        <v>0.937143318791404</v>
      </c>
      <c r="R508" s="473"/>
      <c r="S508" s="474"/>
      <c r="T508" s="280">
        <f t="shared" ref="T508:Z508" si="85">(T503+T504)/T505</f>
        <v>0.94323621553884707</v>
      </c>
      <c r="U508" s="280">
        <f t="shared" si="85"/>
        <v>2.0459363957597172</v>
      </c>
      <c r="V508" s="280">
        <f t="shared" si="85"/>
        <v>0.89988358556461001</v>
      </c>
      <c r="W508" s="280">
        <f t="shared" si="85"/>
        <v>1.0819672131147542</v>
      </c>
      <c r="X508" s="280">
        <f t="shared" si="85"/>
        <v>0.9175757575757576</v>
      </c>
      <c r="Y508" s="280">
        <f t="shared" si="85"/>
        <v>0.96825396825396826</v>
      </c>
      <c r="Z508" s="280">
        <f t="shared" si="85"/>
        <v>0.78048780487804881</v>
      </c>
      <c r="AA508" s="265"/>
      <c r="AB508" s="290">
        <f>(AB503+AB504)/AB505</f>
        <v>1.0326522968738057</v>
      </c>
      <c r="AC508" s="291">
        <f>(AC503+AC504)/AC505</f>
        <v>0.69291876611114445</v>
      </c>
      <c r="AD508" s="281">
        <f>AD503/$AG$173</f>
        <v>0.7142857142857143</v>
      </c>
      <c r="AE508" s="281">
        <f>AE503/$AG$173</f>
        <v>9.5238095238095233E-2</v>
      </c>
      <c r="AF508" s="281">
        <f>AF503/$AG$173</f>
        <v>0.2857142857142857</v>
      </c>
      <c r="AG508" s="305">
        <f>AG503/$AG$173</f>
        <v>1.0952380952380953</v>
      </c>
      <c r="AH508" s="480"/>
      <c r="AI508" s="480"/>
      <c r="AJ508" s="480"/>
      <c r="AK508" s="480"/>
    </row>
    <row r="509" spans="1:37" ht="36" customHeight="1" x14ac:dyDescent="0.4">
      <c r="A509" s="477" t="s">
        <v>341</v>
      </c>
      <c r="B509" s="292" t="s">
        <v>269</v>
      </c>
      <c r="C509" s="306">
        <v>5287</v>
      </c>
      <c r="D509" s="306">
        <v>16787</v>
      </c>
      <c r="E509" s="306">
        <v>898</v>
      </c>
      <c r="F509" s="306">
        <v>857</v>
      </c>
      <c r="G509" s="306">
        <v>1554</v>
      </c>
      <c r="H509" s="306">
        <v>4364</v>
      </c>
      <c r="I509" s="306">
        <v>2286</v>
      </c>
      <c r="J509" s="310">
        <v>1636</v>
      </c>
      <c r="K509" s="310">
        <v>32012</v>
      </c>
      <c r="L509" s="307">
        <v>292</v>
      </c>
      <c r="M509" s="306">
        <v>319</v>
      </c>
      <c r="N509" s="307">
        <v>2177</v>
      </c>
      <c r="O509" s="306">
        <v>149</v>
      </c>
      <c r="P509" s="311">
        <v>68618</v>
      </c>
      <c r="Q509" s="306">
        <v>1265</v>
      </c>
      <c r="R509" s="306">
        <v>2504</v>
      </c>
      <c r="S509" s="306">
        <v>1981</v>
      </c>
      <c r="T509" s="306">
        <v>2978</v>
      </c>
      <c r="U509" s="306">
        <v>2323</v>
      </c>
      <c r="V509" s="306">
        <v>776</v>
      </c>
      <c r="W509" s="306">
        <v>335</v>
      </c>
      <c r="X509" s="306">
        <v>774</v>
      </c>
      <c r="Y509" s="309">
        <v>241</v>
      </c>
      <c r="Z509" s="309">
        <v>128</v>
      </c>
      <c r="AA509" s="261"/>
      <c r="AB509" s="286">
        <f>SUM(Q509:AA509)</f>
        <v>13305</v>
      </c>
      <c r="AC509" s="287">
        <f>P509+AB509</f>
        <v>81923</v>
      </c>
      <c r="AD509" s="278">
        <v>15</v>
      </c>
      <c r="AE509" s="278">
        <v>1</v>
      </c>
      <c r="AF509" s="278">
        <v>7</v>
      </c>
      <c r="AG509" s="279">
        <f>SUM(AD509:AF509)</f>
        <v>23</v>
      </c>
      <c r="AH509" s="478">
        <v>2549</v>
      </c>
      <c r="AI509" s="478">
        <v>8759</v>
      </c>
      <c r="AJ509" s="478">
        <v>17493</v>
      </c>
      <c r="AK509" s="478">
        <f>SUM(AH509:AJ514)</f>
        <v>28801</v>
      </c>
    </row>
    <row r="510" spans="1:37" ht="36" customHeight="1" x14ac:dyDescent="0.4">
      <c r="A510" s="477"/>
      <c r="B510" s="304" t="s">
        <v>265</v>
      </c>
      <c r="C510" s="258">
        <v>23.791499999999999</v>
      </c>
      <c r="D510" s="258">
        <v>75.541499999999999</v>
      </c>
      <c r="E510" s="258">
        <v>4.0409999999999995</v>
      </c>
      <c r="F510" s="258">
        <v>3.8564999999999996</v>
      </c>
      <c r="G510" s="258">
        <v>0</v>
      </c>
      <c r="H510" s="258">
        <v>0</v>
      </c>
      <c r="I510" s="258">
        <v>0</v>
      </c>
      <c r="J510" s="258">
        <v>0</v>
      </c>
      <c r="K510" s="258">
        <v>0</v>
      </c>
      <c r="L510" s="258">
        <v>117</v>
      </c>
      <c r="M510" s="258">
        <v>1.4355</v>
      </c>
      <c r="N510" s="258">
        <v>9.7965</v>
      </c>
      <c r="O510" s="258">
        <v>0</v>
      </c>
      <c r="P510" s="311">
        <v>235.46250000000001</v>
      </c>
      <c r="Q510" s="258">
        <v>33.65</v>
      </c>
      <c r="R510" s="258">
        <v>0</v>
      </c>
      <c r="S510" s="258">
        <v>0</v>
      </c>
      <c r="T510" s="258">
        <v>29.78</v>
      </c>
      <c r="U510" s="258">
        <v>0</v>
      </c>
      <c r="V510" s="258">
        <v>0</v>
      </c>
      <c r="W510" s="258">
        <v>0</v>
      </c>
      <c r="X510" s="258">
        <v>154.80000000000001</v>
      </c>
      <c r="Y510" s="258">
        <v>0</v>
      </c>
      <c r="Z510" s="258">
        <v>0</v>
      </c>
      <c r="AA510" s="261"/>
      <c r="AB510" s="286">
        <f>SUM(Q510:AA510)</f>
        <v>218.23000000000002</v>
      </c>
      <c r="AC510" s="287">
        <f>P510+AB510</f>
        <v>453.6925</v>
      </c>
      <c r="AD510" s="278"/>
      <c r="AE510" s="278"/>
      <c r="AF510" s="278"/>
      <c r="AG510" s="279"/>
      <c r="AH510" s="479"/>
      <c r="AI510" s="479"/>
      <c r="AJ510" s="479"/>
      <c r="AK510" s="479"/>
    </row>
    <row r="511" spans="1:37" ht="36" customHeight="1" x14ac:dyDescent="0.4">
      <c r="A511" s="477"/>
      <c r="B511" s="304" t="s">
        <v>284</v>
      </c>
      <c r="C511" s="114">
        <v>9252</v>
      </c>
      <c r="D511" s="114">
        <v>37456</v>
      </c>
      <c r="E511" s="114">
        <v>1947</v>
      </c>
      <c r="F511" s="114">
        <v>1546</v>
      </c>
      <c r="G511" s="114">
        <v>1710</v>
      </c>
      <c r="H511" s="114">
        <v>763</v>
      </c>
      <c r="I511" s="114">
        <v>2553</v>
      </c>
      <c r="J511" s="114">
        <v>9369</v>
      </c>
      <c r="K511" s="114">
        <v>52576</v>
      </c>
      <c r="L511" s="114">
        <v>102</v>
      </c>
      <c r="M511" s="114">
        <v>470</v>
      </c>
      <c r="N511" s="114">
        <v>2470</v>
      </c>
      <c r="O511" s="114">
        <v>151</v>
      </c>
      <c r="P511" s="311">
        <v>120365</v>
      </c>
      <c r="Q511" s="114">
        <v>1403</v>
      </c>
      <c r="R511" s="114">
        <v>2766</v>
      </c>
      <c r="S511" s="114">
        <v>2020</v>
      </c>
      <c r="T511" s="114">
        <v>3192</v>
      </c>
      <c r="U511" s="114">
        <v>1132</v>
      </c>
      <c r="V511" s="114">
        <v>859</v>
      </c>
      <c r="W511" s="114">
        <v>305</v>
      </c>
      <c r="X511" s="114">
        <v>990</v>
      </c>
      <c r="Y511" s="114">
        <v>252</v>
      </c>
      <c r="Z511" s="114">
        <v>164</v>
      </c>
      <c r="AA511" s="261"/>
      <c r="AB511" s="286">
        <f>SUM(Q511:AA511)</f>
        <v>13083</v>
      </c>
      <c r="AC511" s="287">
        <f>P511+AB511</f>
        <v>133448</v>
      </c>
      <c r="AD511" s="263"/>
      <c r="AE511" s="263"/>
      <c r="AF511" s="263"/>
      <c r="AG511" s="263"/>
      <c r="AH511" s="479"/>
      <c r="AI511" s="479"/>
      <c r="AJ511" s="479"/>
      <c r="AK511" s="479"/>
    </row>
    <row r="512" spans="1:37" ht="36" customHeight="1" x14ac:dyDescent="0.4">
      <c r="A512" s="477"/>
      <c r="B512" s="304" t="s">
        <v>285</v>
      </c>
      <c r="C512" s="469">
        <f>C509+D509+E509+F509+C510+D510+E510+F510</f>
        <v>23936.230500000001</v>
      </c>
      <c r="D512" s="470"/>
      <c r="E512" s="470"/>
      <c r="F512" s="471"/>
      <c r="G512" s="466">
        <f>G509+H509+I509+J509+K509+G510+H510+I510+J510+K510</f>
        <v>41852</v>
      </c>
      <c r="H512" s="467"/>
      <c r="I512" s="467"/>
      <c r="J512" s="467"/>
      <c r="K512" s="468"/>
      <c r="L512" s="469">
        <f>L509+M509+N509+L510+M510+N510</f>
        <v>2916.232</v>
      </c>
      <c r="M512" s="470"/>
      <c r="N512" s="471"/>
      <c r="O512" s="114"/>
      <c r="P512" s="286"/>
      <c r="Q512" s="469">
        <f>Q509+R509+S509+Q510+R510+S510</f>
        <v>5783.65</v>
      </c>
      <c r="R512" s="470"/>
      <c r="S512" s="471"/>
      <c r="T512" s="114"/>
      <c r="U512" s="114"/>
      <c r="V512" s="114"/>
      <c r="W512" s="114"/>
      <c r="X512" s="114"/>
      <c r="Y512" s="114"/>
      <c r="Z512" s="114"/>
      <c r="AA512" s="261"/>
      <c r="AB512" s="286"/>
      <c r="AC512" s="287"/>
      <c r="AD512" s="263"/>
      <c r="AE512" s="263"/>
      <c r="AF512" s="263"/>
      <c r="AG512" s="263"/>
      <c r="AH512" s="479"/>
      <c r="AI512" s="479"/>
      <c r="AJ512" s="479"/>
      <c r="AK512" s="479"/>
    </row>
    <row r="513" spans="1:37" ht="36" customHeight="1" x14ac:dyDescent="0.4">
      <c r="A513" s="477"/>
      <c r="B513" s="304" t="s">
        <v>247</v>
      </c>
      <c r="C513" s="469">
        <f>C511+D511+E511+F511</f>
        <v>50201</v>
      </c>
      <c r="D513" s="470"/>
      <c r="E513" s="470"/>
      <c r="F513" s="471"/>
      <c r="G513" s="466">
        <f>G511+H511+I511+J511+K511</f>
        <v>66971</v>
      </c>
      <c r="H513" s="467"/>
      <c r="I513" s="467"/>
      <c r="J513" s="467"/>
      <c r="K513" s="468"/>
      <c r="L513" s="469">
        <f>L511+M511+N511</f>
        <v>3042</v>
      </c>
      <c r="M513" s="470"/>
      <c r="N513" s="471"/>
      <c r="O513" s="114"/>
      <c r="P513" s="286"/>
      <c r="Q513" s="469">
        <f>Q511+R511+S511</f>
        <v>6189</v>
      </c>
      <c r="R513" s="470"/>
      <c r="S513" s="471"/>
      <c r="T513" s="114"/>
      <c r="U513" s="114"/>
      <c r="V513" s="114"/>
      <c r="W513" s="114"/>
      <c r="X513" s="114"/>
      <c r="Y513" s="114"/>
      <c r="Z513" s="114"/>
      <c r="AA513" s="261"/>
      <c r="AB513" s="286"/>
      <c r="AC513" s="287"/>
      <c r="AD513" s="263"/>
      <c r="AE513" s="263"/>
      <c r="AF513" s="263"/>
      <c r="AG513" s="263"/>
      <c r="AH513" s="479"/>
      <c r="AI513" s="479"/>
      <c r="AJ513" s="479"/>
      <c r="AK513" s="479"/>
    </row>
    <row r="514" spans="1:37" ht="36" customHeight="1" x14ac:dyDescent="0.4">
      <c r="A514" s="477"/>
      <c r="B514" s="297" t="s">
        <v>262</v>
      </c>
      <c r="C514" s="472">
        <f>C512/C513</f>
        <v>0.47680784247325753</v>
      </c>
      <c r="D514" s="473"/>
      <c r="E514" s="473"/>
      <c r="F514" s="474"/>
      <c r="G514" s="472">
        <f>G512/G513</f>
        <v>0.62492720729868156</v>
      </c>
      <c r="H514" s="475"/>
      <c r="I514" s="475"/>
      <c r="J514" s="475"/>
      <c r="K514" s="476"/>
      <c r="L514" s="472">
        <f>L512/L513</f>
        <v>0.95865614727153192</v>
      </c>
      <c r="M514" s="473"/>
      <c r="N514" s="474"/>
      <c r="O514" s="280">
        <f>(O509+O510)/O511</f>
        <v>0.98675496688741726</v>
      </c>
      <c r="P514" s="290">
        <f>(P509+P510)/P511</f>
        <v>0.57203890250488099</v>
      </c>
      <c r="Q514" s="472">
        <f>Q512/Q513</f>
        <v>0.93450476652124737</v>
      </c>
      <c r="R514" s="473"/>
      <c r="S514" s="474"/>
      <c r="T514" s="280">
        <f t="shared" ref="T514:Z514" si="86">(T509+T510)/T511</f>
        <v>0.94228696741854645</v>
      </c>
      <c r="U514" s="280">
        <f t="shared" si="86"/>
        <v>2.0521201413427561</v>
      </c>
      <c r="V514" s="280">
        <f t="shared" si="86"/>
        <v>0.90337601862630967</v>
      </c>
      <c r="W514" s="280">
        <f t="shared" si="86"/>
        <v>1.098360655737705</v>
      </c>
      <c r="X514" s="280">
        <f t="shared" si="86"/>
        <v>0.93818181818181812</v>
      </c>
      <c r="Y514" s="280">
        <f t="shared" si="86"/>
        <v>0.95634920634920639</v>
      </c>
      <c r="Z514" s="280">
        <f t="shared" si="86"/>
        <v>0.78048780487804881</v>
      </c>
      <c r="AA514" s="265"/>
      <c r="AB514" s="290">
        <f>(AB509+AB510)/AB511</f>
        <v>1.033649010165864</v>
      </c>
      <c r="AC514" s="291">
        <f>(AC509+AC510)/AC511</f>
        <v>0.6172943206342546</v>
      </c>
      <c r="AD514" s="281">
        <f>AD509/$AG$173</f>
        <v>0.7142857142857143</v>
      </c>
      <c r="AE514" s="281">
        <f>AE509/$AG$173</f>
        <v>4.7619047619047616E-2</v>
      </c>
      <c r="AF514" s="281">
        <f>AF509/$AG$173</f>
        <v>0.33333333333333331</v>
      </c>
      <c r="AG514" s="305">
        <f>AG509/$AG$173</f>
        <v>1.0952380952380953</v>
      </c>
      <c r="AH514" s="480"/>
      <c r="AI514" s="480"/>
      <c r="AJ514" s="480"/>
      <c r="AK514" s="480"/>
    </row>
    <row r="515" spans="1:37" ht="36" customHeight="1" x14ac:dyDescent="0.4">
      <c r="A515" s="477" t="s">
        <v>342</v>
      </c>
      <c r="B515" s="292" t="s">
        <v>269</v>
      </c>
      <c r="C515" s="306">
        <v>3613</v>
      </c>
      <c r="D515" s="306">
        <v>9335</v>
      </c>
      <c r="E515" s="306">
        <v>844</v>
      </c>
      <c r="F515" s="306">
        <v>889</v>
      </c>
      <c r="G515" s="306">
        <v>1134</v>
      </c>
      <c r="H515" s="306">
        <v>4322</v>
      </c>
      <c r="I515" s="306">
        <v>2098</v>
      </c>
      <c r="J515" s="310">
        <v>1617</v>
      </c>
      <c r="K515" s="310">
        <v>33024</v>
      </c>
      <c r="L515" s="307">
        <v>320</v>
      </c>
      <c r="M515" s="306">
        <v>324</v>
      </c>
      <c r="N515" s="307">
        <v>2140</v>
      </c>
      <c r="O515" s="306">
        <v>75</v>
      </c>
      <c r="P515" s="311">
        <v>59735</v>
      </c>
      <c r="Q515" s="306">
        <v>1260</v>
      </c>
      <c r="R515" s="306">
        <v>2519</v>
      </c>
      <c r="S515" s="306">
        <v>1993</v>
      </c>
      <c r="T515" s="306">
        <v>2991</v>
      </c>
      <c r="U515" s="306">
        <v>2325</v>
      </c>
      <c r="V515" s="306">
        <v>780</v>
      </c>
      <c r="W515" s="306">
        <v>340</v>
      </c>
      <c r="X515" s="306">
        <v>779</v>
      </c>
      <c r="Y515" s="309">
        <v>237</v>
      </c>
      <c r="Z515" s="309">
        <v>128</v>
      </c>
      <c r="AA515" s="261"/>
      <c r="AB515" s="286">
        <f>SUM(Q515:AA515)</f>
        <v>13352</v>
      </c>
      <c r="AC515" s="287">
        <f>P515+AB515</f>
        <v>73087</v>
      </c>
      <c r="AD515" s="278">
        <v>12</v>
      </c>
      <c r="AE515" s="278">
        <v>2</v>
      </c>
      <c r="AF515" s="278">
        <v>9</v>
      </c>
      <c r="AG515" s="279">
        <f>SUM(AD515:AF515)</f>
        <v>23</v>
      </c>
      <c r="AH515" s="478">
        <v>2337</v>
      </c>
      <c r="AI515" s="478">
        <v>3086</v>
      </c>
      <c r="AJ515" s="478">
        <v>11701</v>
      </c>
      <c r="AK515" s="478">
        <f>SUM(AH515:AJ520)</f>
        <v>17124</v>
      </c>
    </row>
    <row r="516" spans="1:37" ht="36" customHeight="1" x14ac:dyDescent="0.4">
      <c r="A516" s="477"/>
      <c r="B516" s="304" t="s">
        <v>265</v>
      </c>
      <c r="C516" s="258">
        <v>23.791499999999999</v>
      </c>
      <c r="D516" s="258">
        <v>75.541499999999999</v>
      </c>
      <c r="E516" s="258">
        <v>4.0409999999999995</v>
      </c>
      <c r="F516" s="258">
        <v>3.8564999999999996</v>
      </c>
      <c r="G516" s="258">
        <v>0</v>
      </c>
      <c r="H516" s="258">
        <v>0</v>
      </c>
      <c r="I516" s="258">
        <v>0</v>
      </c>
      <c r="J516" s="258">
        <v>0</v>
      </c>
      <c r="K516" s="258">
        <v>0</v>
      </c>
      <c r="L516" s="258">
        <v>117</v>
      </c>
      <c r="M516" s="258">
        <v>1.4355</v>
      </c>
      <c r="N516" s="258">
        <v>9.7965</v>
      </c>
      <c r="O516" s="258">
        <v>0</v>
      </c>
      <c r="P516" s="311">
        <v>235.46250000000001</v>
      </c>
      <c r="Q516" s="258">
        <v>33.65</v>
      </c>
      <c r="R516" s="258">
        <v>0</v>
      </c>
      <c r="S516" s="258">
        <v>0</v>
      </c>
      <c r="T516" s="258">
        <v>29.78</v>
      </c>
      <c r="U516" s="258">
        <v>0</v>
      </c>
      <c r="V516" s="258">
        <v>0</v>
      </c>
      <c r="W516" s="258">
        <v>0</v>
      </c>
      <c r="X516" s="258">
        <v>154.80000000000001</v>
      </c>
      <c r="Y516" s="258">
        <v>0</v>
      </c>
      <c r="Z516" s="258">
        <v>0</v>
      </c>
      <c r="AA516" s="261"/>
      <c r="AB516" s="286">
        <f>SUM(Q516:AA516)</f>
        <v>218.23000000000002</v>
      </c>
      <c r="AC516" s="287">
        <f>P516+AB516</f>
        <v>453.6925</v>
      </c>
      <c r="AD516" s="278"/>
      <c r="AE516" s="278"/>
      <c r="AF516" s="278"/>
      <c r="AG516" s="279"/>
      <c r="AH516" s="479"/>
      <c r="AI516" s="479"/>
      <c r="AJ516" s="479"/>
      <c r="AK516" s="479"/>
    </row>
    <row r="517" spans="1:37" ht="36" customHeight="1" x14ac:dyDescent="0.4">
      <c r="A517" s="477"/>
      <c r="B517" s="304" t="s">
        <v>284</v>
      </c>
      <c r="C517" s="114">
        <v>9252</v>
      </c>
      <c r="D517" s="114">
        <v>37456</v>
      </c>
      <c r="E517" s="114">
        <v>1947</v>
      </c>
      <c r="F517" s="114">
        <v>1546</v>
      </c>
      <c r="G517" s="114">
        <v>1710</v>
      </c>
      <c r="H517" s="114">
        <v>763</v>
      </c>
      <c r="I517" s="114">
        <v>2553</v>
      </c>
      <c r="J517" s="114">
        <v>9369</v>
      </c>
      <c r="K517" s="114">
        <v>52576</v>
      </c>
      <c r="L517" s="114">
        <v>102</v>
      </c>
      <c r="M517" s="114">
        <v>470</v>
      </c>
      <c r="N517" s="114">
        <v>2470</v>
      </c>
      <c r="O517" s="114">
        <v>151</v>
      </c>
      <c r="P517" s="311">
        <v>120365</v>
      </c>
      <c r="Q517" s="114">
        <v>1403</v>
      </c>
      <c r="R517" s="114">
        <v>2766</v>
      </c>
      <c r="S517" s="114">
        <v>2020</v>
      </c>
      <c r="T517" s="114">
        <v>3192</v>
      </c>
      <c r="U517" s="114">
        <v>1132</v>
      </c>
      <c r="V517" s="114">
        <v>859</v>
      </c>
      <c r="W517" s="114">
        <v>305</v>
      </c>
      <c r="X517" s="114">
        <v>990</v>
      </c>
      <c r="Y517" s="114">
        <v>252</v>
      </c>
      <c r="Z517" s="114">
        <v>164</v>
      </c>
      <c r="AA517" s="261"/>
      <c r="AB517" s="286">
        <f>SUM(Q517:AA517)</f>
        <v>13083</v>
      </c>
      <c r="AC517" s="287">
        <f>P517+AB517</f>
        <v>133448</v>
      </c>
      <c r="AD517" s="263"/>
      <c r="AE517" s="263"/>
      <c r="AF517" s="263"/>
      <c r="AG517" s="263"/>
      <c r="AH517" s="479"/>
      <c r="AI517" s="479"/>
      <c r="AJ517" s="479"/>
      <c r="AK517" s="479"/>
    </row>
    <row r="518" spans="1:37" ht="36" customHeight="1" x14ac:dyDescent="0.4">
      <c r="A518" s="477"/>
      <c r="B518" s="304" t="s">
        <v>285</v>
      </c>
      <c r="C518" s="469">
        <f>C515+D515+E515+F515+C516+D516+E516+F516</f>
        <v>14788.230499999998</v>
      </c>
      <c r="D518" s="470"/>
      <c r="E518" s="470"/>
      <c r="F518" s="471"/>
      <c r="G518" s="466">
        <f>G515+H515+I515+J515+K515+G516+H516+I516+J516+K516</f>
        <v>42195</v>
      </c>
      <c r="H518" s="467"/>
      <c r="I518" s="467"/>
      <c r="J518" s="467"/>
      <c r="K518" s="468"/>
      <c r="L518" s="469">
        <f>L515+M515+N515+L516+M516+N516</f>
        <v>2912.232</v>
      </c>
      <c r="M518" s="470"/>
      <c r="N518" s="471"/>
      <c r="O518" s="114"/>
      <c r="P518" s="286"/>
      <c r="Q518" s="469">
        <f>Q515+R515+S515+Q516+R516+S516</f>
        <v>5805.65</v>
      </c>
      <c r="R518" s="470"/>
      <c r="S518" s="471"/>
      <c r="T518" s="114"/>
      <c r="U518" s="114"/>
      <c r="V518" s="114"/>
      <c r="W518" s="114"/>
      <c r="X518" s="114"/>
      <c r="Y518" s="114"/>
      <c r="Z518" s="114"/>
      <c r="AA518" s="261"/>
      <c r="AB518" s="286"/>
      <c r="AC518" s="287"/>
      <c r="AD518" s="263"/>
      <c r="AE518" s="263"/>
      <c r="AF518" s="263"/>
      <c r="AG518" s="263"/>
      <c r="AH518" s="479"/>
      <c r="AI518" s="479"/>
      <c r="AJ518" s="479"/>
      <c r="AK518" s="479"/>
    </row>
    <row r="519" spans="1:37" ht="36" customHeight="1" x14ac:dyDescent="0.4">
      <c r="A519" s="477"/>
      <c r="B519" s="304" t="s">
        <v>247</v>
      </c>
      <c r="C519" s="469">
        <f>C517+D517+E517+F517</f>
        <v>50201</v>
      </c>
      <c r="D519" s="470"/>
      <c r="E519" s="470"/>
      <c r="F519" s="471"/>
      <c r="G519" s="466">
        <f>G517+H517+I517+J517+K517</f>
        <v>66971</v>
      </c>
      <c r="H519" s="467"/>
      <c r="I519" s="467"/>
      <c r="J519" s="467"/>
      <c r="K519" s="468"/>
      <c r="L519" s="469">
        <f>L517+M517+N517</f>
        <v>3042</v>
      </c>
      <c r="M519" s="470"/>
      <c r="N519" s="471"/>
      <c r="O519" s="114"/>
      <c r="P519" s="286"/>
      <c r="Q519" s="469">
        <f>Q517+R517+S517</f>
        <v>6189</v>
      </c>
      <c r="R519" s="470"/>
      <c r="S519" s="471"/>
      <c r="T519" s="114"/>
      <c r="U519" s="114"/>
      <c r="V519" s="114"/>
      <c r="W519" s="114"/>
      <c r="X519" s="114"/>
      <c r="Y519" s="114"/>
      <c r="Z519" s="114"/>
      <c r="AA519" s="261"/>
      <c r="AB519" s="286"/>
      <c r="AC519" s="287"/>
      <c r="AD519" s="263"/>
      <c r="AE519" s="263"/>
      <c r="AF519" s="263"/>
      <c r="AG519" s="263"/>
      <c r="AH519" s="479"/>
      <c r="AI519" s="479"/>
      <c r="AJ519" s="479"/>
      <c r="AK519" s="479"/>
    </row>
    <row r="520" spans="1:37" ht="36" customHeight="1" x14ac:dyDescent="0.4">
      <c r="A520" s="477"/>
      <c r="B520" s="297" t="s">
        <v>262</v>
      </c>
      <c r="C520" s="472">
        <f>C518/C519</f>
        <v>0.29458039680484449</v>
      </c>
      <c r="D520" s="473"/>
      <c r="E520" s="473"/>
      <c r="F520" s="474"/>
      <c r="G520" s="472">
        <f>G518/G519</f>
        <v>0.63004882710426902</v>
      </c>
      <c r="H520" s="475"/>
      <c r="I520" s="475"/>
      <c r="J520" s="475"/>
      <c r="K520" s="476"/>
      <c r="L520" s="472">
        <f>L518/L519</f>
        <v>0.95734122287968437</v>
      </c>
      <c r="M520" s="473"/>
      <c r="N520" s="474"/>
      <c r="O520" s="280">
        <f>(O515+O516)/O517</f>
        <v>0.49668874172185429</v>
      </c>
      <c r="P520" s="290">
        <f>(P515+P516)/P517</f>
        <v>0.49823837909691354</v>
      </c>
      <c r="Q520" s="472">
        <f>Q518/Q519</f>
        <v>0.93805946033284859</v>
      </c>
      <c r="R520" s="473"/>
      <c r="S520" s="474"/>
      <c r="T520" s="280">
        <f t="shared" ref="T520:Z520" si="87">(T515+T516)/T517</f>
        <v>0.94635964912280712</v>
      </c>
      <c r="U520" s="280">
        <f t="shared" si="87"/>
        <v>2.0538869257950529</v>
      </c>
      <c r="V520" s="280">
        <f t="shared" si="87"/>
        <v>0.90803259604190922</v>
      </c>
      <c r="W520" s="280">
        <f t="shared" si="87"/>
        <v>1.1147540983606556</v>
      </c>
      <c r="X520" s="280">
        <f t="shared" si="87"/>
        <v>0.9432323232323232</v>
      </c>
      <c r="Y520" s="280">
        <f t="shared" si="87"/>
        <v>0.94047619047619047</v>
      </c>
      <c r="Z520" s="280">
        <f t="shared" si="87"/>
        <v>0.78048780487804881</v>
      </c>
      <c r="AA520" s="265"/>
      <c r="AB520" s="290">
        <f>(AB515+AB516)/AB517</f>
        <v>1.0372414583811052</v>
      </c>
      <c r="AC520" s="291">
        <f>(AC515+AC516)/AC517</f>
        <v>0.55108126386307776</v>
      </c>
      <c r="AD520" s="281">
        <f>AD515/$AG$173</f>
        <v>0.5714285714285714</v>
      </c>
      <c r="AE520" s="281">
        <f>AE515/$AG$173</f>
        <v>9.5238095238095233E-2</v>
      </c>
      <c r="AF520" s="281">
        <f>AF515/$AG$173</f>
        <v>0.42857142857142855</v>
      </c>
      <c r="AG520" s="305">
        <f>AG515/$AG$173</f>
        <v>1.0952380952380953</v>
      </c>
      <c r="AH520" s="480"/>
      <c r="AI520" s="480"/>
      <c r="AJ520" s="480"/>
      <c r="AK520" s="480"/>
    </row>
    <row r="521" spans="1:37" ht="36" customHeight="1" x14ac:dyDescent="0.4">
      <c r="A521" s="477" t="s">
        <v>343</v>
      </c>
      <c r="B521" s="292" t="s">
        <v>269</v>
      </c>
      <c r="C521" s="306">
        <v>3020</v>
      </c>
      <c r="D521" s="306">
        <v>1767</v>
      </c>
      <c r="E521" s="306">
        <v>790</v>
      </c>
      <c r="F521" s="306">
        <v>897</v>
      </c>
      <c r="G521" s="306">
        <v>977</v>
      </c>
      <c r="H521" s="306">
        <v>4305</v>
      </c>
      <c r="I521" s="306">
        <v>2016</v>
      </c>
      <c r="J521" s="310">
        <v>1603</v>
      </c>
      <c r="K521" s="310">
        <v>33922</v>
      </c>
      <c r="L521" s="307">
        <v>320</v>
      </c>
      <c r="M521" s="306">
        <v>326</v>
      </c>
      <c r="N521" s="307">
        <v>2148</v>
      </c>
      <c r="O521" s="306">
        <v>0</v>
      </c>
      <c r="P521" s="311">
        <f>SUM(C521:O521)</f>
        <v>52091</v>
      </c>
      <c r="Q521" s="306">
        <v>1193</v>
      </c>
      <c r="R521" s="306">
        <v>2536</v>
      </c>
      <c r="S521" s="306">
        <v>1993</v>
      </c>
      <c r="T521" s="306">
        <v>3015</v>
      </c>
      <c r="U521" s="306">
        <v>2368</v>
      </c>
      <c r="V521" s="306">
        <v>788</v>
      </c>
      <c r="W521" s="306">
        <v>341</v>
      </c>
      <c r="X521" s="306">
        <v>779</v>
      </c>
      <c r="Y521" s="309">
        <v>235</v>
      </c>
      <c r="Z521" s="309">
        <v>128</v>
      </c>
      <c r="AA521" s="261"/>
      <c r="AB521" s="286">
        <f>SUM(Q521:AA521)</f>
        <v>13376</v>
      </c>
      <c r="AC521" s="287">
        <f>P521+AB521</f>
        <v>65467</v>
      </c>
      <c r="AD521" s="278">
        <v>12</v>
      </c>
      <c r="AE521" s="278">
        <v>2</v>
      </c>
      <c r="AF521" s="278">
        <v>8</v>
      </c>
      <c r="AG521" s="279">
        <f>SUM(AD521:AF521)</f>
        <v>22</v>
      </c>
      <c r="AH521" s="478">
        <v>2384</v>
      </c>
      <c r="AI521" s="478">
        <v>2475</v>
      </c>
      <c r="AJ521" s="478">
        <v>9579</v>
      </c>
      <c r="AK521" s="478">
        <f>SUM(AH521:AJ526)</f>
        <v>14438</v>
      </c>
    </row>
    <row r="522" spans="1:37" ht="36" customHeight="1" x14ac:dyDescent="0.4">
      <c r="A522" s="477"/>
      <c r="B522" s="304" t="s">
        <v>265</v>
      </c>
      <c r="C522" s="258">
        <v>13.59</v>
      </c>
      <c r="D522" s="258">
        <v>7.9514999999999993</v>
      </c>
      <c r="E522" s="258">
        <v>3.5549999999999997</v>
      </c>
      <c r="F522" s="258">
        <v>4.0364999999999993</v>
      </c>
      <c r="G522" s="258">
        <v>0</v>
      </c>
      <c r="H522" s="258">
        <v>0</v>
      </c>
      <c r="I522" s="258">
        <v>0</v>
      </c>
      <c r="J522" s="258">
        <v>0</v>
      </c>
      <c r="K522" s="258">
        <v>0</v>
      </c>
      <c r="L522" s="258">
        <v>182</v>
      </c>
      <c r="M522" s="258">
        <v>1.4669999999999999</v>
      </c>
      <c r="N522" s="258">
        <v>9.6659999999999986</v>
      </c>
      <c r="O522" s="258">
        <v>0</v>
      </c>
      <c r="P522" s="311">
        <f>SUM(C522:O522)</f>
        <v>222.26600000000002</v>
      </c>
      <c r="Q522" s="258">
        <v>32.93</v>
      </c>
      <c r="R522" s="258">
        <v>0</v>
      </c>
      <c r="S522" s="258">
        <v>0</v>
      </c>
      <c r="T522" s="258">
        <v>30.150000000000002</v>
      </c>
      <c r="U522" s="258">
        <v>0</v>
      </c>
      <c r="V522" s="258">
        <v>0</v>
      </c>
      <c r="W522" s="258">
        <v>0</v>
      </c>
      <c r="X522" s="258">
        <v>155.80000000000001</v>
      </c>
      <c r="Y522" s="258">
        <v>0</v>
      </c>
      <c r="Z522" s="258">
        <v>0</v>
      </c>
      <c r="AA522" s="261"/>
      <c r="AB522" s="286">
        <f>SUM(Q522:AA522)</f>
        <v>218.88</v>
      </c>
      <c r="AC522" s="287">
        <f>P522+AB522</f>
        <v>441.14600000000002</v>
      </c>
      <c r="AD522" s="278"/>
      <c r="AE522" s="278"/>
      <c r="AF522" s="278"/>
      <c r="AG522" s="279"/>
      <c r="AH522" s="479"/>
      <c r="AI522" s="479"/>
      <c r="AJ522" s="479"/>
      <c r="AK522" s="479"/>
    </row>
    <row r="523" spans="1:37" ht="36" customHeight="1" x14ac:dyDescent="0.4">
      <c r="A523" s="477"/>
      <c r="B523" s="304" t="s">
        <v>284</v>
      </c>
      <c r="C523" s="114">
        <v>9252</v>
      </c>
      <c r="D523" s="114">
        <v>37456</v>
      </c>
      <c r="E523" s="114">
        <v>1947</v>
      </c>
      <c r="F523" s="114">
        <v>1546</v>
      </c>
      <c r="G523" s="114">
        <v>1710</v>
      </c>
      <c r="H523" s="114">
        <v>763</v>
      </c>
      <c r="I523" s="114">
        <v>2553</v>
      </c>
      <c r="J523" s="114">
        <v>9369</v>
      </c>
      <c r="K523" s="114">
        <v>52576</v>
      </c>
      <c r="L523" s="114">
        <v>102</v>
      </c>
      <c r="M523" s="114">
        <v>470</v>
      </c>
      <c r="N523" s="114">
        <v>2470</v>
      </c>
      <c r="O523" s="114">
        <v>151</v>
      </c>
      <c r="P523" s="311">
        <f>SUM(C523:O523)</f>
        <v>120365</v>
      </c>
      <c r="Q523" s="114">
        <v>1403</v>
      </c>
      <c r="R523" s="114">
        <v>2766</v>
      </c>
      <c r="S523" s="114">
        <v>2020</v>
      </c>
      <c r="T523" s="114">
        <v>3192</v>
      </c>
      <c r="U523" s="114">
        <v>1132</v>
      </c>
      <c r="V523" s="114">
        <v>859</v>
      </c>
      <c r="W523" s="114">
        <v>305</v>
      </c>
      <c r="X523" s="114">
        <v>990</v>
      </c>
      <c r="Y523" s="114">
        <v>252</v>
      </c>
      <c r="Z523" s="114">
        <v>164</v>
      </c>
      <c r="AA523" s="261"/>
      <c r="AB523" s="286">
        <f>SUM(Q523:AA523)</f>
        <v>13083</v>
      </c>
      <c r="AC523" s="287">
        <f>P523+AB523</f>
        <v>133448</v>
      </c>
      <c r="AD523" s="263"/>
      <c r="AE523" s="263"/>
      <c r="AF523" s="263"/>
      <c r="AG523" s="263"/>
      <c r="AH523" s="479"/>
      <c r="AI523" s="479"/>
      <c r="AJ523" s="479"/>
      <c r="AK523" s="479"/>
    </row>
    <row r="524" spans="1:37" ht="36" customHeight="1" x14ac:dyDescent="0.4">
      <c r="A524" s="477"/>
      <c r="B524" s="304" t="s">
        <v>285</v>
      </c>
      <c r="C524" s="469">
        <f>C521+D521+E521+F521+C522+D522+E522+F522</f>
        <v>6503.1330000000007</v>
      </c>
      <c r="D524" s="470"/>
      <c r="E524" s="470"/>
      <c r="F524" s="471"/>
      <c r="G524" s="466">
        <f>G521+H521+I521+J521+K521+G522+H522+I522+J522+K522</f>
        <v>42823</v>
      </c>
      <c r="H524" s="467"/>
      <c r="I524" s="467"/>
      <c r="J524" s="467"/>
      <c r="K524" s="468"/>
      <c r="L524" s="469">
        <f>L521+M521+N521+L522+M522+N522</f>
        <v>2987.1330000000003</v>
      </c>
      <c r="M524" s="470"/>
      <c r="N524" s="471"/>
      <c r="O524" s="114"/>
      <c r="P524" s="286"/>
      <c r="Q524" s="469">
        <f>Q521+R521+S521+Q522+R522+S522</f>
        <v>5754.93</v>
      </c>
      <c r="R524" s="470"/>
      <c r="S524" s="471"/>
      <c r="T524" s="114"/>
      <c r="U524" s="114"/>
      <c r="V524" s="114"/>
      <c r="W524" s="114"/>
      <c r="X524" s="114"/>
      <c r="Y524" s="114"/>
      <c r="Z524" s="114"/>
      <c r="AA524" s="261"/>
      <c r="AB524" s="286"/>
      <c r="AC524" s="287"/>
      <c r="AD524" s="263"/>
      <c r="AE524" s="263"/>
      <c r="AF524" s="263"/>
      <c r="AG524" s="263"/>
      <c r="AH524" s="479"/>
      <c r="AI524" s="479"/>
      <c r="AJ524" s="479"/>
      <c r="AK524" s="479"/>
    </row>
    <row r="525" spans="1:37" ht="36" customHeight="1" x14ac:dyDescent="0.4">
      <c r="A525" s="477"/>
      <c r="B525" s="304" t="s">
        <v>247</v>
      </c>
      <c r="C525" s="469">
        <f>C523+D523+E523+F523</f>
        <v>50201</v>
      </c>
      <c r="D525" s="470"/>
      <c r="E525" s="470"/>
      <c r="F525" s="471"/>
      <c r="G525" s="466">
        <f>G523+H523+I523+J523+K523</f>
        <v>66971</v>
      </c>
      <c r="H525" s="467"/>
      <c r="I525" s="467"/>
      <c r="J525" s="467"/>
      <c r="K525" s="468"/>
      <c r="L525" s="469">
        <f>L523+M523+N523</f>
        <v>3042</v>
      </c>
      <c r="M525" s="470"/>
      <c r="N525" s="471"/>
      <c r="O525" s="114"/>
      <c r="P525" s="286"/>
      <c r="Q525" s="469">
        <f>Q523+R523+S523</f>
        <v>6189</v>
      </c>
      <c r="R525" s="470"/>
      <c r="S525" s="471"/>
      <c r="T525" s="114"/>
      <c r="U525" s="114"/>
      <c r="V525" s="114"/>
      <c r="W525" s="114"/>
      <c r="X525" s="114"/>
      <c r="Y525" s="114"/>
      <c r="Z525" s="114"/>
      <c r="AA525" s="261"/>
      <c r="AB525" s="286"/>
      <c r="AC525" s="287"/>
      <c r="AD525" s="263"/>
      <c r="AE525" s="263"/>
      <c r="AF525" s="263"/>
      <c r="AG525" s="263"/>
      <c r="AH525" s="479"/>
      <c r="AI525" s="479"/>
      <c r="AJ525" s="479"/>
      <c r="AK525" s="479"/>
    </row>
    <row r="526" spans="1:37" ht="36" customHeight="1" x14ac:dyDescent="0.4">
      <c r="A526" s="477"/>
      <c r="B526" s="297" t="s">
        <v>262</v>
      </c>
      <c r="C526" s="472">
        <f>C524/C525</f>
        <v>0.12954190155574591</v>
      </c>
      <c r="D526" s="473"/>
      <c r="E526" s="473"/>
      <c r="F526" s="474"/>
      <c r="G526" s="472">
        <f>G524/G525</f>
        <v>0.63942602021770623</v>
      </c>
      <c r="H526" s="475"/>
      <c r="I526" s="475"/>
      <c r="J526" s="475"/>
      <c r="K526" s="476"/>
      <c r="L526" s="472">
        <f>L524/L525</f>
        <v>0.98196351084812628</v>
      </c>
      <c r="M526" s="473"/>
      <c r="N526" s="474"/>
      <c r="O526" s="280">
        <f>(O521+O522)/O523</f>
        <v>0</v>
      </c>
      <c r="P526" s="290">
        <f>(P521+P522)/P523</f>
        <v>0.43462190836206543</v>
      </c>
      <c r="Q526" s="472">
        <f>Q524/Q525</f>
        <v>0.9298642753271934</v>
      </c>
      <c r="R526" s="473"/>
      <c r="S526" s="474"/>
      <c r="T526" s="280">
        <f t="shared" ref="T526:Z526" si="88">(T521+T522)/T523</f>
        <v>0.95399436090225564</v>
      </c>
      <c r="U526" s="280">
        <f t="shared" si="88"/>
        <v>2.0918727915194348</v>
      </c>
      <c r="V526" s="280">
        <f t="shared" si="88"/>
        <v>0.91734575087310821</v>
      </c>
      <c r="W526" s="280">
        <f t="shared" si="88"/>
        <v>1.118032786885246</v>
      </c>
      <c r="X526" s="280">
        <f t="shared" si="88"/>
        <v>0.94424242424242422</v>
      </c>
      <c r="Y526" s="280">
        <f t="shared" si="88"/>
        <v>0.93253968253968256</v>
      </c>
      <c r="Z526" s="280">
        <f t="shared" si="88"/>
        <v>0.78048780487804881</v>
      </c>
      <c r="AA526" s="265"/>
      <c r="AB526" s="290">
        <f>(AB521+AB522)/AB523</f>
        <v>1.0391255828173966</v>
      </c>
      <c r="AC526" s="291">
        <f>(AC521+AC522)/AC523</f>
        <v>0.49388635273664644</v>
      </c>
      <c r="AD526" s="281">
        <f>AD521/$AG$173</f>
        <v>0.5714285714285714</v>
      </c>
      <c r="AE526" s="281">
        <f>AE521/$AG$173</f>
        <v>9.5238095238095233E-2</v>
      </c>
      <c r="AF526" s="281">
        <f>AF521/$AG$173</f>
        <v>0.38095238095238093</v>
      </c>
      <c r="AG526" s="305">
        <f>AG521/$AG$173</f>
        <v>1.0476190476190477</v>
      </c>
      <c r="AH526" s="480"/>
      <c r="AI526" s="480"/>
      <c r="AJ526" s="480"/>
      <c r="AK526" s="480"/>
    </row>
    <row r="527" spans="1:37" ht="36" customHeight="1" x14ac:dyDescent="0.4">
      <c r="A527" s="477" t="s">
        <v>344</v>
      </c>
      <c r="B527" s="292" t="s">
        <v>269</v>
      </c>
      <c r="C527" s="306">
        <v>3630</v>
      </c>
      <c r="D527" s="306">
        <v>1292</v>
      </c>
      <c r="E527" s="306">
        <v>51</v>
      </c>
      <c r="F527" s="306">
        <v>736</v>
      </c>
      <c r="G527" s="306">
        <v>1118</v>
      </c>
      <c r="H527" s="306">
        <v>4279</v>
      </c>
      <c r="I527" s="306">
        <v>1979</v>
      </c>
      <c r="J527" s="310">
        <v>1584</v>
      </c>
      <c r="K527" s="310">
        <v>34475</v>
      </c>
      <c r="L527" s="307">
        <v>358</v>
      </c>
      <c r="M527" s="306">
        <v>324</v>
      </c>
      <c r="N527" s="307">
        <v>1447</v>
      </c>
      <c r="O527" s="306">
        <v>0</v>
      </c>
      <c r="P527" s="311">
        <f>SUM(C527:O527)</f>
        <v>51273</v>
      </c>
      <c r="Q527" s="306">
        <v>1202</v>
      </c>
      <c r="R527" s="306">
        <v>2492</v>
      </c>
      <c r="S527" s="306">
        <v>2011</v>
      </c>
      <c r="T527" s="306">
        <v>3051</v>
      </c>
      <c r="U527" s="306">
        <v>2388</v>
      </c>
      <c r="V527" s="306">
        <v>787</v>
      </c>
      <c r="W527" s="306">
        <v>336</v>
      </c>
      <c r="X527" s="306">
        <v>780</v>
      </c>
      <c r="Y527" s="309">
        <v>238</v>
      </c>
      <c r="Z527" s="309">
        <v>128</v>
      </c>
      <c r="AA527" s="261"/>
      <c r="AB527" s="286">
        <f>SUM(Q527:AA527)</f>
        <v>13413</v>
      </c>
      <c r="AC527" s="287">
        <f>P527+AB527</f>
        <v>64686</v>
      </c>
      <c r="AD527" s="278">
        <v>11</v>
      </c>
      <c r="AE527" s="278">
        <v>2</v>
      </c>
      <c r="AF527" s="278">
        <v>9</v>
      </c>
      <c r="AG527" s="279">
        <f>SUM(AD527:AF527)</f>
        <v>22</v>
      </c>
      <c r="AH527" s="478">
        <v>1896</v>
      </c>
      <c r="AI527" s="478">
        <v>4693</v>
      </c>
      <c r="AJ527" s="478">
        <v>2840</v>
      </c>
      <c r="AK527" s="478">
        <f>SUM(AH527:AJ532)</f>
        <v>9429</v>
      </c>
    </row>
    <row r="528" spans="1:37" ht="36" customHeight="1" x14ac:dyDescent="0.4">
      <c r="A528" s="477"/>
      <c r="B528" s="304" t="s">
        <v>265</v>
      </c>
      <c r="C528" s="258">
        <v>13.59</v>
      </c>
      <c r="D528" s="258">
        <v>7.9514999999999993</v>
      </c>
      <c r="E528" s="258">
        <v>3.5549999999999997</v>
      </c>
      <c r="F528" s="258">
        <v>4.0364999999999993</v>
      </c>
      <c r="G528" s="258">
        <v>0</v>
      </c>
      <c r="H528" s="258">
        <v>0</v>
      </c>
      <c r="I528" s="258">
        <v>0</v>
      </c>
      <c r="J528" s="258">
        <v>0</v>
      </c>
      <c r="K528" s="258">
        <v>0</v>
      </c>
      <c r="L528" s="258">
        <v>182</v>
      </c>
      <c r="M528" s="258">
        <v>1.4669999999999999</v>
      </c>
      <c r="N528" s="258">
        <v>9.6659999999999986</v>
      </c>
      <c r="O528" s="258">
        <v>0</v>
      </c>
      <c r="P528" s="311">
        <f>SUM(C528:O528)</f>
        <v>222.26600000000002</v>
      </c>
      <c r="Q528" s="258">
        <v>32.93</v>
      </c>
      <c r="R528" s="258">
        <v>0</v>
      </c>
      <c r="S528" s="258">
        <v>0</v>
      </c>
      <c r="T528" s="258">
        <v>30.150000000000002</v>
      </c>
      <c r="U528" s="258">
        <v>0</v>
      </c>
      <c r="V528" s="258">
        <v>0</v>
      </c>
      <c r="W528" s="258">
        <v>0</v>
      </c>
      <c r="X528" s="258">
        <v>155.80000000000001</v>
      </c>
      <c r="Y528" s="258">
        <v>0</v>
      </c>
      <c r="Z528" s="258">
        <v>0</v>
      </c>
      <c r="AA528" s="261"/>
      <c r="AB528" s="286">
        <f>SUM(Q528:AA528)</f>
        <v>218.88</v>
      </c>
      <c r="AC528" s="287">
        <f>P528+AB528</f>
        <v>441.14600000000002</v>
      </c>
      <c r="AD528" s="278"/>
      <c r="AE528" s="278"/>
      <c r="AF528" s="278"/>
      <c r="AG528" s="279"/>
      <c r="AH528" s="479"/>
      <c r="AI528" s="479"/>
      <c r="AJ528" s="479"/>
      <c r="AK528" s="479"/>
    </row>
    <row r="529" spans="1:37" ht="36" customHeight="1" x14ac:dyDescent="0.4">
      <c r="A529" s="477"/>
      <c r="B529" s="304" t="s">
        <v>284</v>
      </c>
      <c r="C529" s="114">
        <v>9252</v>
      </c>
      <c r="D529" s="114">
        <v>37456</v>
      </c>
      <c r="E529" s="114">
        <v>1947</v>
      </c>
      <c r="F529" s="114">
        <v>1546</v>
      </c>
      <c r="G529" s="114">
        <v>1710</v>
      </c>
      <c r="H529" s="114">
        <v>763</v>
      </c>
      <c r="I529" s="114">
        <v>2553</v>
      </c>
      <c r="J529" s="114">
        <v>9369</v>
      </c>
      <c r="K529" s="114">
        <v>52576</v>
      </c>
      <c r="L529" s="114">
        <v>102</v>
      </c>
      <c r="M529" s="114">
        <v>470</v>
      </c>
      <c r="N529" s="114">
        <v>2470</v>
      </c>
      <c r="O529" s="114">
        <v>151</v>
      </c>
      <c r="P529" s="311">
        <f>SUM(C529:O529)</f>
        <v>120365</v>
      </c>
      <c r="Q529" s="114">
        <v>1403</v>
      </c>
      <c r="R529" s="114">
        <v>2766</v>
      </c>
      <c r="S529" s="114">
        <v>2020</v>
      </c>
      <c r="T529" s="114">
        <v>3192</v>
      </c>
      <c r="U529" s="114">
        <v>1132</v>
      </c>
      <c r="V529" s="114">
        <v>859</v>
      </c>
      <c r="W529" s="114">
        <v>305</v>
      </c>
      <c r="X529" s="114">
        <v>990</v>
      </c>
      <c r="Y529" s="114">
        <v>252</v>
      </c>
      <c r="Z529" s="114">
        <v>164</v>
      </c>
      <c r="AA529" s="261"/>
      <c r="AB529" s="286">
        <f>SUM(Q529:AA529)</f>
        <v>13083</v>
      </c>
      <c r="AC529" s="287">
        <f>P529+AB529</f>
        <v>133448</v>
      </c>
      <c r="AD529" s="263"/>
      <c r="AE529" s="263"/>
      <c r="AF529" s="263"/>
      <c r="AG529" s="263"/>
      <c r="AH529" s="479"/>
      <c r="AI529" s="479"/>
      <c r="AJ529" s="479"/>
      <c r="AK529" s="479"/>
    </row>
    <row r="530" spans="1:37" ht="36" customHeight="1" x14ac:dyDescent="0.4">
      <c r="A530" s="477"/>
      <c r="B530" s="304" t="s">
        <v>285</v>
      </c>
      <c r="C530" s="469">
        <f>C527+D527+E527+F527+C528+D528+E528+F528</f>
        <v>5738.1330000000007</v>
      </c>
      <c r="D530" s="470"/>
      <c r="E530" s="470"/>
      <c r="F530" s="471"/>
      <c r="G530" s="466">
        <f>G527+H527+I527+J527+K527+G528+H528+I528+J528+K528</f>
        <v>43435</v>
      </c>
      <c r="H530" s="467"/>
      <c r="I530" s="467"/>
      <c r="J530" s="467"/>
      <c r="K530" s="468"/>
      <c r="L530" s="469">
        <f>L527+M527+N527+L528+M528+N528</f>
        <v>2322.1330000000003</v>
      </c>
      <c r="M530" s="470"/>
      <c r="N530" s="471"/>
      <c r="O530" s="114"/>
      <c r="P530" s="286"/>
      <c r="Q530" s="469">
        <f>Q527+R527+S527+Q528+R528+S528</f>
        <v>5737.93</v>
      </c>
      <c r="R530" s="470"/>
      <c r="S530" s="471"/>
      <c r="T530" s="114"/>
      <c r="U530" s="114"/>
      <c r="V530" s="114"/>
      <c r="W530" s="114"/>
      <c r="X530" s="114"/>
      <c r="Y530" s="114"/>
      <c r="Z530" s="114"/>
      <c r="AA530" s="261"/>
      <c r="AB530" s="286"/>
      <c r="AC530" s="287"/>
      <c r="AD530" s="263"/>
      <c r="AE530" s="263"/>
      <c r="AF530" s="263"/>
      <c r="AG530" s="263"/>
      <c r="AH530" s="479"/>
      <c r="AI530" s="479"/>
      <c r="AJ530" s="479"/>
      <c r="AK530" s="479"/>
    </row>
    <row r="531" spans="1:37" ht="36" customHeight="1" x14ac:dyDescent="0.4">
      <c r="A531" s="477"/>
      <c r="B531" s="304" t="s">
        <v>247</v>
      </c>
      <c r="C531" s="469">
        <f>C529+D529+E529+F529</f>
        <v>50201</v>
      </c>
      <c r="D531" s="470"/>
      <c r="E531" s="470"/>
      <c r="F531" s="471"/>
      <c r="G531" s="466">
        <f>G529+H529+I529+J529+K529</f>
        <v>66971</v>
      </c>
      <c r="H531" s="467"/>
      <c r="I531" s="467"/>
      <c r="J531" s="467"/>
      <c r="K531" s="468"/>
      <c r="L531" s="469">
        <f>L529+M529+N529</f>
        <v>3042</v>
      </c>
      <c r="M531" s="470"/>
      <c r="N531" s="471"/>
      <c r="O531" s="114"/>
      <c r="P531" s="286"/>
      <c r="Q531" s="469">
        <f>Q529+R529+S529</f>
        <v>6189</v>
      </c>
      <c r="R531" s="470"/>
      <c r="S531" s="471"/>
      <c r="T531" s="114"/>
      <c r="U531" s="114"/>
      <c r="V531" s="114"/>
      <c r="W531" s="114"/>
      <c r="X531" s="114"/>
      <c r="Y531" s="114"/>
      <c r="Z531" s="114"/>
      <c r="AA531" s="261"/>
      <c r="AB531" s="286"/>
      <c r="AC531" s="287"/>
      <c r="AD531" s="263"/>
      <c r="AE531" s="263"/>
      <c r="AF531" s="263"/>
      <c r="AG531" s="263"/>
      <c r="AH531" s="479"/>
      <c r="AI531" s="479"/>
      <c r="AJ531" s="479"/>
      <c r="AK531" s="479"/>
    </row>
    <row r="532" spans="1:37" ht="36" customHeight="1" x14ac:dyDescent="0.4">
      <c r="A532" s="477"/>
      <c r="B532" s="297" t="s">
        <v>262</v>
      </c>
      <c r="C532" s="472">
        <f>C530/C531</f>
        <v>0.11430316129160775</v>
      </c>
      <c r="D532" s="473"/>
      <c r="E532" s="473"/>
      <c r="F532" s="474"/>
      <c r="G532" s="472">
        <f>G530/G531</f>
        <v>0.64856430395245701</v>
      </c>
      <c r="H532" s="475"/>
      <c r="I532" s="475"/>
      <c r="J532" s="475"/>
      <c r="K532" s="476"/>
      <c r="L532" s="472">
        <f>L530/L531</f>
        <v>0.76335733070348466</v>
      </c>
      <c r="M532" s="473"/>
      <c r="N532" s="474"/>
      <c r="O532" s="280">
        <f>(O527+O528)/O529</f>
        <v>0</v>
      </c>
      <c r="P532" s="290">
        <f>(P527+P528)/P529</f>
        <v>0.42782591284841942</v>
      </c>
      <c r="Q532" s="472">
        <f>Q530/Q531</f>
        <v>0.92711746647277438</v>
      </c>
      <c r="R532" s="473"/>
      <c r="S532" s="474"/>
      <c r="T532" s="280">
        <f t="shared" ref="T532:Z532" si="89">(T527+T528)/T529</f>
        <v>0.96527255639097742</v>
      </c>
      <c r="U532" s="280">
        <f t="shared" si="89"/>
        <v>2.1095406360424027</v>
      </c>
      <c r="V532" s="280">
        <f t="shared" si="89"/>
        <v>0.91618160651920844</v>
      </c>
      <c r="W532" s="280">
        <f t="shared" si="89"/>
        <v>1.1016393442622952</v>
      </c>
      <c r="X532" s="280">
        <f t="shared" si="89"/>
        <v>0.94525252525252523</v>
      </c>
      <c r="Y532" s="280">
        <f t="shared" si="89"/>
        <v>0.94444444444444442</v>
      </c>
      <c r="Z532" s="280">
        <f t="shared" si="89"/>
        <v>0.78048780487804881</v>
      </c>
      <c r="AA532" s="265"/>
      <c r="AB532" s="290">
        <f>(AB527+AB528)/AB529</f>
        <v>1.0419536803485439</v>
      </c>
      <c r="AC532" s="291">
        <f>(AC527+AC528)/AC529</f>
        <v>0.48803388585816199</v>
      </c>
      <c r="AD532" s="281">
        <f>AD527/$AG$173</f>
        <v>0.52380952380952384</v>
      </c>
      <c r="AE532" s="281">
        <f>AE527/$AG$173</f>
        <v>9.5238095238095233E-2</v>
      </c>
      <c r="AF532" s="281">
        <f>AF527/$AG$173</f>
        <v>0.42857142857142855</v>
      </c>
      <c r="AG532" s="305">
        <f>AG527/$AG$173</f>
        <v>1.0476190476190477</v>
      </c>
      <c r="AH532" s="480"/>
      <c r="AI532" s="480"/>
      <c r="AJ532" s="480"/>
      <c r="AK532" s="480"/>
    </row>
    <row r="533" spans="1:37" ht="36" customHeight="1" x14ac:dyDescent="0.4">
      <c r="A533" s="477" t="s">
        <v>345</v>
      </c>
      <c r="B533" s="292" t="s">
        <v>269</v>
      </c>
      <c r="C533" s="306">
        <v>3740</v>
      </c>
      <c r="D533" s="306">
        <v>1151</v>
      </c>
      <c r="E533" s="306">
        <v>0</v>
      </c>
      <c r="F533" s="306">
        <v>741</v>
      </c>
      <c r="G533" s="306">
        <v>1269</v>
      </c>
      <c r="H533" s="306">
        <v>4258</v>
      </c>
      <c r="I533" s="306">
        <v>2027</v>
      </c>
      <c r="J533" s="310">
        <v>1576</v>
      </c>
      <c r="K533" s="310">
        <v>35054</v>
      </c>
      <c r="L533" s="307">
        <v>375</v>
      </c>
      <c r="M533" s="306">
        <v>333</v>
      </c>
      <c r="N533" s="307">
        <v>1479</v>
      </c>
      <c r="O533" s="306">
        <v>0</v>
      </c>
      <c r="P533" s="311">
        <f>SUM(C533:O533)</f>
        <v>52003</v>
      </c>
      <c r="Q533" s="306">
        <v>1206</v>
      </c>
      <c r="R533" s="306">
        <v>2497</v>
      </c>
      <c r="S533" s="306">
        <v>2009</v>
      </c>
      <c r="T533" s="306">
        <v>3024</v>
      </c>
      <c r="U533" s="306">
        <v>2378</v>
      </c>
      <c r="V533" s="306">
        <v>802</v>
      </c>
      <c r="W533" s="306">
        <v>338</v>
      </c>
      <c r="X533" s="306">
        <v>782</v>
      </c>
      <c r="Y533" s="309">
        <v>238</v>
      </c>
      <c r="Z533" s="309">
        <v>128</v>
      </c>
      <c r="AA533" s="261"/>
      <c r="AB533" s="286">
        <f>SUM(Q533:AA533)</f>
        <v>13402</v>
      </c>
      <c r="AC533" s="287">
        <f>P533+AB533</f>
        <v>65405</v>
      </c>
      <c r="AD533" s="278">
        <v>11</v>
      </c>
      <c r="AE533" s="278">
        <v>2</v>
      </c>
      <c r="AF533" s="278">
        <v>8</v>
      </c>
      <c r="AG533" s="279">
        <f>SUM(AD533:AF533)</f>
        <v>21</v>
      </c>
      <c r="AH533" s="478">
        <v>2155</v>
      </c>
      <c r="AI533" s="478">
        <v>2065</v>
      </c>
      <c r="AJ533" s="478">
        <v>946</v>
      </c>
      <c r="AK533" s="478">
        <f>SUM(AH533:AJ538)</f>
        <v>5166</v>
      </c>
    </row>
    <row r="534" spans="1:37" ht="36" customHeight="1" x14ac:dyDescent="0.4">
      <c r="A534" s="477"/>
      <c r="B534" s="304" t="s">
        <v>265</v>
      </c>
      <c r="C534" s="258">
        <v>16.829999999999998</v>
      </c>
      <c r="D534" s="258">
        <v>5.1795</v>
      </c>
      <c r="E534" s="258">
        <v>0</v>
      </c>
      <c r="F534" s="258">
        <v>3.3344999999999998</v>
      </c>
      <c r="G534" s="258">
        <v>0</v>
      </c>
      <c r="H534" s="258">
        <v>0</v>
      </c>
      <c r="I534" s="258">
        <v>0</v>
      </c>
      <c r="J534" s="258">
        <v>0</v>
      </c>
      <c r="K534" s="258">
        <v>0</v>
      </c>
      <c r="L534" s="258">
        <v>249</v>
      </c>
      <c r="M534" s="258">
        <v>1.4984999999999999</v>
      </c>
      <c r="N534" s="258">
        <v>6.6554999999999991</v>
      </c>
      <c r="O534" s="258">
        <v>0</v>
      </c>
      <c r="P534" s="311">
        <f>SUM(C534:O534)</f>
        <v>282.49799999999999</v>
      </c>
      <c r="Q534" s="258">
        <v>33.06</v>
      </c>
      <c r="R534" s="258">
        <v>0</v>
      </c>
      <c r="S534" s="258">
        <v>0</v>
      </c>
      <c r="T534" s="258">
        <v>30.240000000000002</v>
      </c>
      <c r="U534" s="258">
        <v>0</v>
      </c>
      <c r="V534" s="258">
        <v>0</v>
      </c>
      <c r="W534" s="258">
        <v>0</v>
      </c>
      <c r="X534" s="258">
        <v>156.4</v>
      </c>
      <c r="Y534" s="258">
        <v>0</v>
      </c>
      <c r="Z534" s="258">
        <v>0</v>
      </c>
      <c r="AA534" s="261"/>
      <c r="AB534" s="286">
        <f>SUM(Q534:AA534)</f>
        <v>219.70000000000002</v>
      </c>
      <c r="AC534" s="287">
        <f>P534+AB534</f>
        <v>502.19799999999998</v>
      </c>
      <c r="AD534" s="278"/>
      <c r="AE534" s="278"/>
      <c r="AF534" s="278"/>
      <c r="AG534" s="279"/>
      <c r="AH534" s="479"/>
      <c r="AI534" s="479"/>
      <c r="AJ534" s="479"/>
      <c r="AK534" s="479"/>
    </row>
    <row r="535" spans="1:37" ht="36" customHeight="1" x14ac:dyDescent="0.4">
      <c r="A535" s="477"/>
      <c r="B535" s="304" t="s">
        <v>284</v>
      </c>
      <c r="C535" s="114">
        <v>9252</v>
      </c>
      <c r="D535" s="114">
        <v>37456</v>
      </c>
      <c r="E535" s="114">
        <v>1947</v>
      </c>
      <c r="F535" s="114">
        <v>1546</v>
      </c>
      <c r="G535" s="114">
        <v>1710</v>
      </c>
      <c r="H535" s="114">
        <v>763</v>
      </c>
      <c r="I535" s="114">
        <v>2553</v>
      </c>
      <c r="J535" s="114">
        <v>9369</v>
      </c>
      <c r="K535" s="114">
        <v>52576</v>
      </c>
      <c r="L535" s="114">
        <v>102</v>
      </c>
      <c r="M535" s="114">
        <v>470</v>
      </c>
      <c r="N535" s="114">
        <v>2470</v>
      </c>
      <c r="O535" s="114">
        <v>151</v>
      </c>
      <c r="P535" s="311">
        <f>SUM(C535:O535)</f>
        <v>120365</v>
      </c>
      <c r="Q535" s="114">
        <v>1403</v>
      </c>
      <c r="R535" s="114">
        <v>2766</v>
      </c>
      <c r="S535" s="114">
        <v>2020</v>
      </c>
      <c r="T535" s="114">
        <v>3192</v>
      </c>
      <c r="U535" s="114">
        <v>1132</v>
      </c>
      <c r="V535" s="114">
        <v>859</v>
      </c>
      <c r="W535" s="114">
        <v>305</v>
      </c>
      <c r="X535" s="114">
        <v>990</v>
      </c>
      <c r="Y535" s="114">
        <v>252</v>
      </c>
      <c r="Z535" s="114">
        <v>164</v>
      </c>
      <c r="AA535" s="261"/>
      <c r="AB535" s="286">
        <f>SUM(Q535:AA535)</f>
        <v>13083</v>
      </c>
      <c r="AC535" s="287">
        <f>P535+AB535</f>
        <v>133448</v>
      </c>
      <c r="AD535" s="263"/>
      <c r="AE535" s="263"/>
      <c r="AF535" s="263"/>
      <c r="AG535" s="263"/>
      <c r="AH535" s="479"/>
      <c r="AI535" s="479"/>
      <c r="AJ535" s="479"/>
      <c r="AK535" s="479"/>
    </row>
    <row r="536" spans="1:37" ht="36" customHeight="1" x14ac:dyDescent="0.4">
      <c r="A536" s="477"/>
      <c r="B536" s="304" t="s">
        <v>285</v>
      </c>
      <c r="C536" s="469">
        <f>C533+D533+E533+F533+C534+D534+E534+F534</f>
        <v>5657.3440000000001</v>
      </c>
      <c r="D536" s="470"/>
      <c r="E536" s="470"/>
      <c r="F536" s="471"/>
      <c r="G536" s="466">
        <f>G533+H533+I533+J533+K533+G534+H534+I534+J534+K534</f>
        <v>44184</v>
      </c>
      <c r="H536" s="467"/>
      <c r="I536" s="467"/>
      <c r="J536" s="467"/>
      <c r="K536" s="468"/>
      <c r="L536" s="469">
        <f>L533+M533+N533+L534+M534+N534</f>
        <v>2444.154</v>
      </c>
      <c r="M536" s="470"/>
      <c r="N536" s="471"/>
      <c r="O536" s="114"/>
      <c r="P536" s="286"/>
      <c r="Q536" s="469">
        <f>Q533+R533+S533+Q534+R534+S534</f>
        <v>5745.06</v>
      </c>
      <c r="R536" s="470"/>
      <c r="S536" s="471"/>
      <c r="T536" s="114"/>
      <c r="U536" s="114"/>
      <c r="V536" s="114"/>
      <c r="W536" s="114"/>
      <c r="X536" s="114"/>
      <c r="Y536" s="114"/>
      <c r="Z536" s="114"/>
      <c r="AA536" s="261"/>
      <c r="AB536" s="286"/>
      <c r="AC536" s="287"/>
      <c r="AD536" s="263"/>
      <c r="AE536" s="263"/>
      <c r="AF536" s="263"/>
      <c r="AG536" s="263"/>
      <c r="AH536" s="479"/>
      <c r="AI536" s="479"/>
      <c r="AJ536" s="479"/>
      <c r="AK536" s="479"/>
    </row>
    <row r="537" spans="1:37" ht="36" customHeight="1" x14ac:dyDescent="0.4">
      <c r="A537" s="477"/>
      <c r="B537" s="304" t="s">
        <v>247</v>
      </c>
      <c r="C537" s="469">
        <f>C535+D535+E535+F535</f>
        <v>50201</v>
      </c>
      <c r="D537" s="470"/>
      <c r="E537" s="470"/>
      <c r="F537" s="471"/>
      <c r="G537" s="466">
        <f>G535+H535+I535+J535+K535</f>
        <v>66971</v>
      </c>
      <c r="H537" s="467"/>
      <c r="I537" s="467"/>
      <c r="J537" s="467"/>
      <c r="K537" s="468"/>
      <c r="L537" s="469">
        <f>L535+M535+N535</f>
        <v>3042</v>
      </c>
      <c r="M537" s="470"/>
      <c r="N537" s="471"/>
      <c r="O537" s="114"/>
      <c r="P537" s="286"/>
      <c r="Q537" s="469">
        <f>Q535+R535+S535</f>
        <v>6189</v>
      </c>
      <c r="R537" s="470"/>
      <c r="S537" s="471"/>
      <c r="T537" s="114"/>
      <c r="U537" s="114"/>
      <c r="V537" s="114"/>
      <c r="W537" s="114"/>
      <c r="X537" s="114"/>
      <c r="Y537" s="114"/>
      <c r="Z537" s="114"/>
      <c r="AA537" s="261"/>
      <c r="AB537" s="286"/>
      <c r="AC537" s="287"/>
      <c r="AD537" s="263"/>
      <c r="AE537" s="263"/>
      <c r="AF537" s="263"/>
      <c r="AG537" s="263"/>
      <c r="AH537" s="479"/>
      <c r="AI537" s="479"/>
      <c r="AJ537" s="479"/>
      <c r="AK537" s="479"/>
    </row>
    <row r="538" spans="1:37" ht="36" customHeight="1" x14ac:dyDescent="0.4">
      <c r="A538" s="477"/>
      <c r="B538" s="297" t="s">
        <v>262</v>
      </c>
      <c r="C538" s="472">
        <f>C536/C537</f>
        <v>0.11269385072010518</v>
      </c>
      <c r="D538" s="473"/>
      <c r="E538" s="473"/>
      <c r="F538" s="474"/>
      <c r="G538" s="472">
        <f>G536/G537</f>
        <v>0.65974824924220932</v>
      </c>
      <c r="H538" s="475"/>
      <c r="I538" s="475"/>
      <c r="J538" s="475"/>
      <c r="K538" s="476"/>
      <c r="L538" s="472">
        <f>L536/L537</f>
        <v>0.80346942800788956</v>
      </c>
      <c r="M538" s="473"/>
      <c r="N538" s="474"/>
      <c r="O538" s="280">
        <f>(O533+O534)/O535</f>
        <v>0</v>
      </c>
      <c r="P538" s="290">
        <f>(P533+P534)/P535</f>
        <v>0.43439121006937231</v>
      </c>
      <c r="Q538" s="472">
        <f>Q536/Q537</f>
        <v>0.92826951042171602</v>
      </c>
      <c r="R538" s="473"/>
      <c r="S538" s="474"/>
      <c r="T538" s="280">
        <f t="shared" ref="T538:Z538" si="90">(T533+T534)/T535</f>
        <v>0.95684210526315783</v>
      </c>
      <c r="U538" s="280">
        <f t="shared" si="90"/>
        <v>2.1007067137809186</v>
      </c>
      <c r="V538" s="280">
        <f t="shared" si="90"/>
        <v>0.93364377182770664</v>
      </c>
      <c r="W538" s="280">
        <f t="shared" si="90"/>
        <v>1.1081967213114754</v>
      </c>
      <c r="X538" s="280">
        <f t="shared" si="90"/>
        <v>0.94787878787878788</v>
      </c>
      <c r="Y538" s="280">
        <f t="shared" si="90"/>
        <v>0.94444444444444442</v>
      </c>
      <c r="Z538" s="280">
        <f t="shared" si="90"/>
        <v>0.78048780487804881</v>
      </c>
      <c r="AA538" s="265"/>
      <c r="AB538" s="290">
        <f>(AB533+AB534)/AB535</f>
        <v>1.0411755713521365</v>
      </c>
      <c r="AC538" s="291">
        <f>(AC533+AC534)/AC535</f>
        <v>0.49387924884599249</v>
      </c>
      <c r="AD538" s="281">
        <f>AD533/$AG$173</f>
        <v>0.52380952380952384</v>
      </c>
      <c r="AE538" s="281">
        <f>AE533/$AG$173</f>
        <v>9.5238095238095233E-2</v>
      </c>
      <c r="AF538" s="281">
        <f>AF533/$AG$173</f>
        <v>0.38095238095238093</v>
      </c>
      <c r="AG538" s="305">
        <f>AG533/$AG$173</f>
        <v>1</v>
      </c>
      <c r="AH538" s="480"/>
      <c r="AI538" s="480"/>
      <c r="AJ538" s="480"/>
      <c r="AK538" s="480"/>
    </row>
  </sheetData>
  <mergeCells count="1559">
    <mergeCell ref="A2:AH2"/>
    <mergeCell ref="AF3:AG3"/>
    <mergeCell ref="A4:B4"/>
    <mergeCell ref="C4:N4"/>
    <mergeCell ref="P4:Y4"/>
    <mergeCell ref="AA4:AD4"/>
    <mergeCell ref="AH4:AH7"/>
    <mergeCell ref="AG5:AG7"/>
    <mergeCell ref="A8:A11"/>
    <mergeCell ref="AH8:AH11"/>
    <mergeCell ref="AI8:AI11"/>
    <mergeCell ref="AJ8:AJ11"/>
    <mergeCell ref="AK8:AK11"/>
    <mergeCell ref="A12:A16"/>
    <mergeCell ref="AH12:AH16"/>
    <mergeCell ref="AI12:AI16"/>
    <mergeCell ref="AJ12:AJ16"/>
    <mergeCell ref="AK12:AK16"/>
    <mergeCell ref="AK5:AK7"/>
    <mergeCell ref="A6:B6"/>
    <mergeCell ref="AD6:AD7"/>
    <mergeCell ref="AE6:AE7"/>
    <mergeCell ref="AF6:AF7"/>
    <mergeCell ref="A7:B7"/>
    <mergeCell ref="AI4:AI7"/>
    <mergeCell ref="AJ4:AJ7"/>
    <mergeCell ref="A5:B5"/>
    <mergeCell ref="C5:I5"/>
    <mergeCell ref="L5:N5"/>
    <mergeCell ref="P5:P7"/>
    <mergeCell ref="Q5:V5"/>
    <mergeCell ref="W5:Z5"/>
    <mergeCell ref="AB5:AB7"/>
    <mergeCell ref="AC5:AC7"/>
    <mergeCell ref="C16:F16"/>
    <mergeCell ref="G16:I16"/>
    <mergeCell ref="L16:N16"/>
    <mergeCell ref="Q16:S16"/>
    <mergeCell ref="A17:A21"/>
    <mergeCell ref="AH17:AH21"/>
    <mergeCell ref="Q20:S20"/>
    <mergeCell ref="C21:F21"/>
    <mergeCell ref="G21:I21"/>
    <mergeCell ref="L21:N21"/>
    <mergeCell ref="C14:F14"/>
    <mergeCell ref="G14:I14"/>
    <mergeCell ref="L14:N14"/>
    <mergeCell ref="Q14:S14"/>
    <mergeCell ref="C15:F15"/>
    <mergeCell ref="G15:I15"/>
    <mergeCell ref="L15:N15"/>
    <mergeCell ref="Q15:S15"/>
    <mergeCell ref="C25:F25"/>
    <mergeCell ref="G25:I25"/>
    <mergeCell ref="L25:N25"/>
    <mergeCell ref="Q25:S25"/>
    <mergeCell ref="C26:F26"/>
    <mergeCell ref="G26:I26"/>
    <mergeCell ref="L26:N26"/>
    <mergeCell ref="Q26:S26"/>
    <mergeCell ref="Q21:S21"/>
    <mergeCell ref="A22:A26"/>
    <mergeCell ref="AH22:AH26"/>
    <mergeCell ref="AI22:AI26"/>
    <mergeCell ref="AJ22:AJ26"/>
    <mergeCell ref="AK22:AK26"/>
    <mergeCell ref="C24:F24"/>
    <mergeCell ref="G24:I24"/>
    <mergeCell ref="L24:N24"/>
    <mergeCell ref="Q24:S24"/>
    <mergeCell ref="AI17:AI21"/>
    <mergeCell ref="AJ17:AJ21"/>
    <mergeCell ref="AK17:AK21"/>
    <mergeCell ref="C19:F19"/>
    <mergeCell ref="G19:I19"/>
    <mergeCell ref="L19:N19"/>
    <mergeCell ref="Q19:S19"/>
    <mergeCell ref="C20:F20"/>
    <mergeCell ref="G20:I20"/>
    <mergeCell ref="L20:N20"/>
    <mergeCell ref="G30:I30"/>
    <mergeCell ref="L30:N30"/>
    <mergeCell ref="Q30:S30"/>
    <mergeCell ref="C31:F31"/>
    <mergeCell ref="G31:I31"/>
    <mergeCell ref="L31:N31"/>
    <mergeCell ref="Q31:S31"/>
    <mergeCell ref="A27:A31"/>
    <mergeCell ref="AH27:AH31"/>
    <mergeCell ref="AI27:AI31"/>
    <mergeCell ref="AJ27:AJ31"/>
    <mergeCell ref="AK27:AK31"/>
    <mergeCell ref="C29:F29"/>
    <mergeCell ref="G29:I29"/>
    <mergeCell ref="L29:N29"/>
    <mergeCell ref="Q29:S29"/>
    <mergeCell ref="C30:F30"/>
    <mergeCell ref="G35:I35"/>
    <mergeCell ref="L35:N35"/>
    <mergeCell ref="Q35:S35"/>
    <mergeCell ref="C36:F36"/>
    <mergeCell ref="G36:I36"/>
    <mergeCell ref="L36:N36"/>
    <mergeCell ref="Q36:S36"/>
    <mergeCell ref="A32:A36"/>
    <mergeCell ref="AH32:AH36"/>
    <mergeCell ref="AI32:AI36"/>
    <mergeCell ref="AJ32:AJ36"/>
    <mergeCell ref="AK32:AK36"/>
    <mergeCell ref="C34:F34"/>
    <mergeCell ref="G34:I34"/>
    <mergeCell ref="L34:N34"/>
    <mergeCell ref="Q34:S34"/>
    <mergeCell ref="C35:F35"/>
    <mergeCell ref="G40:I40"/>
    <mergeCell ref="L40:N40"/>
    <mergeCell ref="Q40:S40"/>
    <mergeCell ref="C41:F41"/>
    <mergeCell ref="G41:I41"/>
    <mergeCell ref="L41:N41"/>
    <mergeCell ref="Q41:S41"/>
    <mergeCell ref="A37:A41"/>
    <mergeCell ref="AH37:AH41"/>
    <mergeCell ref="AI37:AI41"/>
    <mergeCell ref="AJ37:AJ41"/>
    <mergeCell ref="AK37:AK41"/>
    <mergeCell ref="C39:F39"/>
    <mergeCell ref="G39:I39"/>
    <mergeCell ref="L39:N39"/>
    <mergeCell ref="Q39:S39"/>
    <mergeCell ref="C40:F40"/>
    <mergeCell ref="G45:I45"/>
    <mergeCell ref="L45:N45"/>
    <mergeCell ref="Q45:S45"/>
    <mergeCell ref="C46:F46"/>
    <mergeCell ref="G46:I46"/>
    <mergeCell ref="L46:N46"/>
    <mergeCell ref="Q46:S46"/>
    <mergeCell ref="A42:A46"/>
    <mergeCell ref="AH42:AH46"/>
    <mergeCell ref="AI42:AI46"/>
    <mergeCell ref="AJ42:AJ46"/>
    <mergeCell ref="AK42:AK46"/>
    <mergeCell ref="C44:F44"/>
    <mergeCell ref="G44:I44"/>
    <mergeCell ref="L44:N44"/>
    <mergeCell ref="Q44:S44"/>
    <mergeCell ref="C45:F45"/>
    <mergeCell ref="G50:I50"/>
    <mergeCell ref="L50:N50"/>
    <mergeCell ref="Q50:S50"/>
    <mergeCell ref="C51:F51"/>
    <mergeCell ref="G51:I51"/>
    <mergeCell ref="L51:N51"/>
    <mergeCell ref="Q51:S51"/>
    <mergeCell ref="A47:A51"/>
    <mergeCell ref="AH47:AH51"/>
    <mergeCell ref="AI47:AI51"/>
    <mergeCell ref="AJ47:AJ51"/>
    <mergeCell ref="AK47:AK51"/>
    <mergeCell ref="C49:F49"/>
    <mergeCell ref="G49:I49"/>
    <mergeCell ref="L49:N49"/>
    <mergeCell ref="Q49:S49"/>
    <mergeCell ref="C50:F50"/>
    <mergeCell ref="G55:I55"/>
    <mergeCell ref="L55:N55"/>
    <mergeCell ref="Q55:S55"/>
    <mergeCell ref="C56:F56"/>
    <mergeCell ref="G56:I56"/>
    <mergeCell ref="L56:N56"/>
    <mergeCell ref="Q56:S56"/>
    <mergeCell ref="A52:A56"/>
    <mergeCell ref="AH52:AH56"/>
    <mergeCell ref="AI52:AI56"/>
    <mergeCell ref="AJ52:AJ56"/>
    <mergeCell ref="AK52:AK56"/>
    <mergeCell ref="C54:F54"/>
    <mergeCell ref="G54:I54"/>
    <mergeCell ref="L54:N54"/>
    <mergeCell ref="Q54:S54"/>
    <mergeCell ref="C55:F55"/>
    <mergeCell ref="G60:I60"/>
    <mergeCell ref="L60:N60"/>
    <mergeCell ref="Q60:S60"/>
    <mergeCell ref="C61:F61"/>
    <mergeCell ref="G61:I61"/>
    <mergeCell ref="L61:N61"/>
    <mergeCell ref="Q61:S61"/>
    <mergeCell ref="A57:A61"/>
    <mergeCell ref="AH57:AH61"/>
    <mergeCell ref="AI57:AI61"/>
    <mergeCell ref="AJ57:AJ61"/>
    <mergeCell ref="AK57:AK61"/>
    <mergeCell ref="C59:F59"/>
    <mergeCell ref="G59:I59"/>
    <mergeCell ref="L59:N59"/>
    <mergeCell ref="Q59:S59"/>
    <mergeCell ref="C60:F60"/>
    <mergeCell ref="G65:I65"/>
    <mergeCell ref="L65:N65"/>
    <mergeCell ref="Q65:S65"/>
    <mergeCell ref="C66:F66"/>
    <mergeCell ref="G66:I66"/>
    <mergeCell ref="L66:N66"/>
    <mergeCell ref="Q66:S66"/>
    <mergeCell ref="A62:A66"/>
    <mergeCell ref="AH62:AH66"/>
    <mergeCell ref="AI62:AI66"/>
    <mergeCell ref="AJ62:AJ66"/>
    <mergeCell ref="AK62:AK66"/>
    <mergeCell ref="C64:F64"/>
    <mergeCell ref="G64:I64"/>
    <mergeCell ref="L64:N64"/>
    <mergeCell ref="Q64:S64"/>
    <mergeCell ref="C65:F65"/>
    <mergeCell ref="G70:I70"/>
    <mergeCell ref="L70:N70"/>
    <mergeCell ref="Q70:S70"/>
    <mergeCell ref="C71:F71"/>
    <mergeCell ref="G71:I71"/>
    <mergeCell ref="L71:N71"/>
    <mergeCell ref="Q71:S71"/>
    <mergeCell ref="A67:A71"/>
    <mergeCell ref="AH67:AH71"/>
    <mergeCell ref="AI67:AI71"/>
    <mergeCell ref="AJ67:AJ71"/>
    <mergeCell ref="AK67:AK71"/>
    <mergeCell ref="C69:F69"/>
    <mergeCell ref="G69:I69"/>
    <mergeCell ref="L69:N69"/>
    <mergeCell ref="Q69:S69"/>
    <mergeCell ref="C70:F70"/>
    <mergeCell ref="G75:I75"/>
    <mergeCell ref="L75:N75"/>
    <mergeCell ref="Q75:S75"/>
    <mergeCell ref="C76:F76"/>
    <mergeCell ref="G76:I76"/>
    <mergeCell ref="L76:N76"/>
    <mergeCell ref="Q76:S76"/>
    <mergeCell ref="A72:A76"/>
    <mergeCell ref="AH72:AH76"/>
    <mergeCell ref="AI72:AI76"/>
    <mergeCell ref="AJ72:AJ76"/>
    <mergeCell ref="AK72:AK76"/>
    <mergeCell ref="C74:F74"/>
    <mergeCell ref="G74:I74"/>
    <mergeCell ref="L74:N74"/>
    <mergeCell ref="Q74:S74"/>
    <mergeCell ref="C75:F75"/>
    <mergeCell ref="G81:I81"/>
    <mergeCell ref="L81:N81"/>
    <mergeCell ref="Q81:S81"/>
    <mergeCell ref="C82:F82"/>
    <mergeCell ref="G82:I82"/>
    <mergeCell ref="L82:N82"/>
    <mergeCell ref="Q82:S82"/>
    <mergeCell ref="A77:A82"/>
    <mergeCell ref="AH77:AH82"/>
    <mergeCell ref="AI77:AI82"/>
    <mergeCell ref="AJ77:AJ82"/>
    <mergeCell ref="AK77:AK82"/>
    <mergeCell ref="C80:F80"/>
    <mergeCell ref="G80:I80"/>
    <mergeCell ref="L80:N80"/>
    <mergeCell ref="Q80:S80"/>
    <mergeCell ref="C81:F81"/>
    <mergeCell ref="G87:I87"/>
    <mergeCell ref="L87:N87"/>
    <mergeCell ref="Q87:S87"/>
    <mergeCell ref="C88:F88"/>
    <mergeCell ref="G88:I88"/>
    <mergeCell ref="L88:N88"/>
    <mergeCell ref="Q88:S88"/>
    <mergeCell ref="A83:A88"/>
    <mergeCell ref="AH83:AH88"/>
    <mergeCell ref="AI83:AI88"/>
    <mergeCell ref="AJ83:AJ88"/>
    <mergeCell ref="AK83:AK88"/>
    <mergeCell ref="C86:F86"/>
    <mergeCell ref="G86:I86"/>
    <mergeCell ref="L86:N86"/>
    <mergeCell ref="Q86:S86"/>
    <mergeCell ref="C87:F87"/>
    <mergeCell ref="G93:I93"/>
    <mergeCell ref="L93:N93"/>
    <mergeCell ref="Q93:S93"/>
    <mergeCell ref="C94:F94"/>
    <mergeCell ref="G94:I94"/>
    <mergeCell ref="L94:N94"/>
    <mergeCell ref="Q94:S94"/>
    <mergeCell ref="A89:A94"/>
    <mergeCell ref="AH89:AH94"/>
    <mergeCell ref="AI89:AI94"/>
    <mergeCell ref="AJ89:AJ94"/>
    <mergeCell ref="AK89:AK94"/>
    <mergeCell ref="C92:F92"/>
    <mergeCell ref="G92:I92"/>
    <mergeCell ref="L92:N92"/>
    <mergeCell ref="Q92:S92"/>
    <mergeCell ref="C93:F93"/>
    <mergeCell ref="G99:I99"/>
    <mergeCell ref="L99:N99"/>
    <mergeCell ref="Q99:S99"/>
    <mergeCell ref="C100:F100"/>
    <mergeCell ref="G100:I100"/>
    <mergeCell ref="L100:N100"/>
    <mergeCell ref="Q100:S100"/>
    <mergeCell ref="A95:A100"/>
    <mergeCell ref="AH95:AH100"/>
    <mergeCell ref="AI95:AI100"/>
    <mergeCell ref="AJ95:AJ100"/>
    <mergeCell ref="AK95:AK100"/>
    <mergeCell ref="C98:F98"/>
    <mergeCell ref="G98:I98"/>
    <mergeCell ref="L98:N98"/>
    <mergeCell ref="Q98:S98"/>
    <mergeCell ref="C99:F99"/>
    <mergeCell ref="G105:I105"/>
    <mergeCell ref="L105:N105"/>
    <mergeCell ref="Q105:S105"/>
    <mergeCell ref="C106:F106"/>
    <mergeCell ref="G106:I106"/>
    <mergeCell ref="L106:N106"/>
    <mergeCell ref="Q106:S106"/>
    <mergeCell ref="A101:A106"/>
    <mergeCell ref="AH101:AH106"/>
    <mergeCell ref="AI101:AI106"/>
    <mergeCell ref="AJ101:AJ106"/>
    <mergeCell ref="AK101:AK106"/>
    <mergeCell ref="C104:F104"/>
    <mergeCell ref="G104:I104"/>
    <mergeCell ref="L104:N104"/>
    <mergeCell ref="Q104:S104"/>
    <mergeCell ref="C105:F105"/>
    <mergeCell ref="G111:I111"/>
    <mergeCell ref="L111:N111"/>
    <mergeCell ref="Q111:S111"/>
    <mergeCell ref="C112:F112"/>
    <mergeCell ref="G112:I112"/>
    <mergeCell ref="L112:N112"/>
    <mergeCell ref="Q112:S112"/>
    <mergeCell ref="A107:A112"/>
    <mergeCell ref="AH107:AH112"/>
    <mergeCell ref="AI107:AI112"/>
    <mergeCell ref="AJ107:AJ112"/>
    <mergeCell ref="AK107:AK112"/>
    <mergeCell ref="C110:F110"/>
    <mergeCell ref="G110:I110"/>
    <mergeCell ref="L110:N110"/>
    <mergeCell ref="Q110:S110"/>
    <mergeCell ref="C111:F111"/>
    <mergeCell ref="G117:I117"/>
    <mergeCell ref="L117:N117"/>
    <mergeCell ref="Q117:S117"/>
    <mergeCell ref="C118:F118"/>
    <mergeCell ref="G118:I118"/>
    <mergeCell ref="L118:N118"/>
    <mergeCell ref="Q118:S118"/>
    <mergeCell ref="A113:A118"/>
    <mergeCell ref="AH113:AH118"/>
    <mergeCell ref="AI113:AI118"/>
    <mergeCell ref="AJ113:AJ118"/>
    <mergeCell ref="AK113:AK118"/>
    <mergeCell ref="C116:F116"/>
    <mergeCell ref="G116:I116"/>
    <mergeCell ref="L116:N116"/>
    <mergeCell ref="Q116:S116"/>
    <mergeCell ref="C117:F117"/>
    <mergeCell ref="G123:I123"/>
    <mergeCell ref="L123:N123"/>
    <mergeCell ref="Q123:S123"/>
    <mergeCell ref="C124:F124"/>
    <mergeCell ref="G124:I124"/>
    <mergeCell ref="L124:N124"/>
    <mergeCell ref="Q124:S124"/>
    <mergeCell ref="A119:A124"/>
    <mergeCell ref="AH119:AH124"/>
    <mergeCell ref="AI119:AI124"/>
    <mergeCell ref="AJ119:AJ124"/>
    <mergeCell ref="AK119:AK124"/>
    <mergeCell ref="C122:F122"/>
    <mergeCell ref="G122:I122"/>
    <mergeCell ref="L122:N122"/>
    <mergeCell ref="Q122:S122"/>
    <mergeCell ref="C123:F123"/>
    <mergeCell ref="G129:I129"/>
    <mergeCell ref="L129:N129"/>
    <mergeCell ref="Q129:S129"/>
    <mergeCell ref="C130:F130"/>
    <mergeCell ref="G130:I130"/>
    <mergeCell ref="L130:N130"/>
    <mergeCell ref="Q130:S130"/>
    <mergeCell ref="A125:A130"/>
    <mergeCell ref="AH125:AH130"/>
    <mergeCell ref="AI125:AI130"/>
    <mergeCell ref="AJ125:AJ130"/>
    <mergeCell ref="AK125:AK130"/>
    <mergeCell ref="C128:F128"/>
    <mergeCell ref="G128:I128"/>
    <mergeCell ref="L128:N128"/>
    <mergeCell ref="Q128:S128"/>
    <mergeCell ref="C129:F129"/>
    <mergeCell ref="G135:I135"/>
    <mergeCell ref="L135:N135"/>
    <mergeCell ref="Q135:S135"/>
    <mergeCell ref="C136:F136"/>
    <mergeCell ref="G136:I136"/>
    <mergeCell ref="L136:N136"/>
    <mergeCell ref="Q136:S136"/>
    <mergeCell ref="A131:A136"/>
    <mergeCell ref="AH131:AH136"/>
    <mergeCell ref="AI131:AI136"/>
    <mergeCell ref="AJ131:AJ136"/>
    <mergeCell ref="AK131:AK136"/>
    <mergeCell ref="C134:F134"/>
    <mergeCell ref="G134:I134"/>
    <mergeCell ref="L134:N134"/>
    <mergeCell ref="Q134:S134"/>
    <mergeCell ref="C135:F135"/>
    <mergeCell ref="G141:I141"/>
    <mergeCell ref="L141:N141"/>
    <mergeCell ref="Q141:S141"/>
    <mergeCell ref="C142:F142"/>
    <mergeCell ref="G142:I142"/>
    <mergeCell ref="L142:N142"/>
    <mergeCell ref="Q142:S142"/>
    <mergeCell ref="A137:A142"/>
    <mergeCell ref="AH137:AH142"/>
    <mergeCell ref="AI137:AI142"/>
    <mergeCell ref="AJ137:AJ142"/>
    <mergeCell ref="AK137:AK142"/>
    <mergeCell ref="C140:F140"/>
    <mergeCell ref="G140:I140"/>
    <mergeCell ref="L140:N140"/>
    <mergeCell ref="Q140:S140"/>
    <mergeCell ref="C141:F141"/>
    <mergeCell ref="G147:I147"/>
    <mergeCell ref="L147:N147"/>
    <mergeCell ref="Q147:S147"/>
    <mergeCell ref="C148:F148"/>
    <mergeCell ref="G148:I148"/>
    <mergeCell ref="L148:N148"/>
    <mergeCell ref="Q148:S148"/>
    <mergeCell ref="A143:A148"/>
    <mergeCell ref="AH143:AH148"/>
    <mergeCell ref="AI143:AI148"/>
    <mergeCell ref="AJ143:AJ148"/>
    <mergeCell ref="AK143:AK148"/>
    <mergeCell ref="C146:F146"/>
    <mergeCell ref="G146:I146"/>
    <mergeCell ref="L146:N146"/>
    <mergeCell ref="Q146:S146"/>
    <mergeCell ref="C147:F147"/>
    <mergeCell ref="G153:I153"/>
    <mergeCell ref="L153:N153"/>
    <mergeCell ref="Q153:S153"/>
    <mergeCell ref="C154:F154"/>
    <mergeCell ref="G154:I154"/>
    <mergeCell ref="L154:N154"/>
    <mergeCell ref="Q154:S154"/>
    <mergeCell ref="A149:A154"/>
    <mergeCell ref="AH149:AH154"/>
    <mergeCell ref="AI149:AI154"/>
    <mergeCell ref="AJ149:AJ154"/>
    <mergeCell ref="AK149:AK154"/>
    <mergeCell ref="C152:F152"/>
    <mergeCell ref="G152:I152"/>
    <mergeCell ref="L152:N152"/>
    <mergeCell ref="Q152:S152"/>
    <mergeCell ref="C153:F153"/>
    <mergeCell ref="G159:I159"/>
    <mergeCell ref="L159:N159"/>
    <mergeCell ref="Q159:S159"/>
    <mergeCell ref="C160:F160"/>
    <mergeCell ref="G160:I160"/>
    <mergeCell ref="L160:N160"/>
    <mergeCell ref="Q160:S160"/>
    <mergeCell ref="A155:A160"/>
    <mergeCell ref="AH155:AH160"/>
    <mergeCell ref="AI155:AI160"/>
    <mergeCell ref="AJ155:AJ160"/>
    <mergeCell ref="AK155:AK160"/>
    <mergeCell ref="C158:F158"/>
    <mergeCell ref="G158:I158"/>
    <mergeCell ref="L158:N158"/>
    <mergeCell ref="Q158:S158"/>
    <mergeCell ref="C159:F159"/>
    <mergeCell ref="G165:I165"/>
    <mergeCell ref="L165:N165"/>
    <mergeCell ref="Q165:S165"/>
    <mergeCell ref="C166:F166"/>
    <mergeCell ref="G166:I166"/>
    <mergeCell ref="L166:N166"/>
    <mergeCell ref="Q166:S166"/>
    <mergeCell ref="A161:A166"/>
    <mergeCell ref="AH161:AH166"/>
    <mergeCell ref="AI161:AI166"/>
    <mergeCell ref="AJ161:AJ166"/>
    <mergeCell ref="AK161:AK166"/>
    <mergeCell ref="C164:F164"/>
    <mergeCell ref="G164:I164"/>
    <mergeCell ref="L164:N164"/>
    <mergeCell ref="Q164:S164"/>
    <mergeCell ref="C165:F165"/>
    <mergeCell ref="G171:I171"/>
    <mergeCell ref="L171:N171"/>
    <mergeCell ref="Q171:S171"/>
    <mergeCell ref="C172:F172"/>
    <mergeCell ref="G172:I172"/>
    <mergeCell ref="L172:N172"/>
    <mergeCell ref="Q172:S172"/>
    <mergeCell ref="A167:A172"/>
    <mergeCell ref="AH167:AH172"/>
    <mergeCell ref="AI167:AI172"/>
    <mergeCell ref="AJ167:AJ172"/>
    <mergeCell ref="AK167:AK172"/>
    <mergeCell ref="C170:F170"/>
    <mergeCell ref="G170:I170"/>
    <mergeCell ref="L170:N170"/>
    <mergeCell ref="Q170:S170"/>
    <mergeCell ref="C171:F171"/>
    <mergeCell ref="G177:I177"/>
    <mergeCell ref="L177:N177"/>
    <mergeCell ref="Q177:S177"/>
    <mergeCell ref="C178:F178"/>
    <mergeCell ref="G178:I178"/>
    <mergeCell ref="L178:N178"/>
    <mergeCell ref="Q178:S178"/>
    <mergeCell ref="A173:A178"/>
    <mergeCell ref="AH173:AH178"/>
    <mergeCell ref="AI173:AI178"/>
    <mergeCell ref="AJ173:AJ178"/>
    <mergeCell ref="AK173:AK178"/>
    <mergeCell ref="C176:F176"/>
    <mergeCell ref="G176:I176"/>
    <mergeCell ref="L176:N176"/>
    <mergeCell ref="Q176:S176"/>
    <mergeCell ref="C177:F177"/>
    <mergeCell ref="G183:I183"/>
    <mergeCell ref="L183:N183"/>
    <mergeCell ref="Q183:S183"/>
    <mergeCell ref="C184:F184"/>
    <mergeCell ref="G184:I184"/>
    <mergeCell ref="L184:N184"/>
    <mergeCell ref="Q184:S184"/>
    <mergeCell ref="A179:A184"/>
    <mergeCell ref="AH179:AH184"/>
    <mergeCell ref="AI179:AI184"/>
    <mergeCell ref="AJ179:AJ184"/>
    <mergeCell ref="AK179:AK184"/>
    <mergeCell ref="C182:F182"/>
    <mergeCell ref="G182:I182"/>
    <mergeCell ref="L182:N182"/>
    <mergeCell ref="Q182:S182"/>
    <mergeCell ref="C183:F183"/>
    <mergeCell ref="G189:I189"/>
    <mergeCell ref="L189:N189"/>
    <mergeCell ref="Q189:S189"/>
    <mergeCell ref="C190:F190"/>
    <mergeCell ref="G190:I190"/>
    <mergeCell ref="L190:N190"/>
    <mergeCell ref="Q190:S190"/>
    <mergeCell ref="A185:A190"/>
    <mergeCell ref="AH185:AH190"/>
    <mergeCell ref="AI185:AI190"/>
    <mergeCell ref="AJ185:AJ190"/>
    <mergeCell ref="AK185:AK190"/>
    <mergeCell ref="C188:F188"/>
    <mergeCell ref="G188:I188"/>
    <mergeCell ref="L188:N188"/>
    <mergeCell ref="Q188:S188"/>
    <mergeCell ref="C189:F189"/>
    <mergeCell ref="G195:I195"/>
    <mergeCell ref="L195:N195"/>
    <mergeCell ref="Q195:S195"/>
    <mergeCell ref="C196:F196"/>
    <mergeCell ref="G196:I196"/>
    <mergeCell ref="L196:N196"/>
    <mergeCell ref="Q196:S196"/>
    <mergeCell ref="A191:A196"/>
    <mergeCell ref="AH191:AH196"/>
    <mergeCell ref="AI191:AI196"/>
    <mergeCell ref="AJ191:AJ196"/>
    <mergeCell ref="AK191:AK196"/>
    <mergeCell ref="C194:F194"/>
    <mergeCell ref="G194:I194"/>
    <mergeCell ref="L194:N194"/>
    <mergeCell ref="Q194:S194"/>
    <mergeCell ref="C195:F195"/>
    <mergeCell ref="G201:I201"/>
    <mergeCell ref="L201:N201"/>
    <mergeCell ref="Q201:S201"/>
    <mergeCell ref="C202:F202"/>
    <mergeCell ref="G202:I202"/>
    <mergeCell ref="L202:N202"/>
    <mergeCell ref="Q202:S202"/>
    <mergeCell ref="A197:A202"/>
    <mergeCell ref="AH197:AH202"/>
    <mergeCell ref="AI197:AI202"/>
    <mergeCell ref="AJ197:AJ202"/>
    <mergeCell ref="AK197:AK202"/>
    <mergeCell ref="C200:F200"/>
    <mergeCell ref="G200:I200"/>
    <mergeCell ref="L200:N200"/>
    <mergeCell ref="Q200:S200"/>
    <mergeCell ref="C201:F201"/>
    <mergeCell ref="G207:I207"/>
    <mergeCell ref="L207:N207"/>
    <mergeCell ref="Q207:S207"/>
    <mergeCell ref="C208:F208"/>
    <mergeCell ref="G208:I208"/>
    <mergeCell ref="L208:N208"/>
    <mergeCell ref="Q208:S208"/>
    <mergeCell ref="A203:A208"/>
    <mergeCell ref="AH203:AH208"/>
    <mergeCell ref="AI203:AI208"/>
    <mergeCell ref="AJ203:AJ208"/>
    <mergeCell ref="AK203:AK208"/>
    <mergeCell ref="C206:F206"/>
    <mergeCell ref="G206:I206"/>
    <mergeCell ref="L206:N206"/>
    <mergeCell ref="Q206:S206"/>
    <mergeCell ref="C207:F207"/>
    <mergeCell ref="G213:I213"/>
    <mergeCell ref="L213:N213"/>
    <mergeCell ref="Q213:S213"/>
    <mergeCell ref="C214:F214"/>
    <mergeCell ref="G214:I214"/>
    <mergeCell ref="L214:N214"/>
    <mergeCell ref="Q214:S214"/>
    <mergeCell ref="A209:A214"/>
    <mergeCell ref="AH209:AH214"/>
    <mergeCell ref="AI209:AI214"/>
    <mergeCell ref="AJ209:AJ214"/>
    <mergeCell ref="AK209:AK214"/>
    <mergeCell ref="C212:F212"/>
    <mergeCell ref="G212:I212"/>
    <mergeCell ref="L212:N212"/>
    <mergeCell ref="Q212:S212"/>
    <mergeCell ref="C213:F213"/>
    <mergeCell ref="G219:I219"/>
    <mergeCell ref="L219:N219"/>
    <mergeCell ref="Q219:S219"/>
    <mergeCell ref="C220:F220"/>
    <mergeCell ref="G220:I220"/>
    <mergeCell ref="L220:N220"/>
    <mergeCell ref="Q220:S220"/>
    <mergeCell ref="A215:A220"/>
    <mergeCell ref="AH215:AH220"/>
    <mergeCell ref="AI215:AI220"/>
    <mergeCell ref="AJ215:AJ220"/>
    <mergeCell ref="AK215:AK220"/>
    <mergeCell ref="C218:F218"/>
    <mergeCell ref="G218:I218"/>
    <mergeCell ref="L218:N218"/>
    <mergeCell ref="Q218:S218"/>
    <mergeCell ref="C219:F219"/>
    <mergeCell ref="G225:I225"/>
    <mergeCell ref="L225:N225"/>
    <mergeCell ref="Q225:S225"/>
    <mergeCell ref="C226:F226"/>
    <mergeCell ref="G226:I226"/>
    <mergeCell ref="L226:N226"/>
    <mergeCell ref="Q226:S226"/>
    <mergeCell ref="A221:A226"/>
    <mergeCell ref="AH221:AH226"/>
    <mergeCell ref="AI221:AI226"/>
    <mergeCell ref="AJ221:AJ226"/>
    <mergeCell ref="AK221:AK226"/>
    <mergeCell ref="C224:F224"/>
    <mergeCell ref="G224:I224"/>
    <mergeCell ref="L224:N224"/>
    <mergeCell ref="Q224:S224"/>
    <mergeCell ref="C225:F225"/>
    <mergeCell ref="G231:I231"/>
    <mergeCell ref="L231:N231"/>
    <mergeCell ref="Q231:S231"/>
    <mergeCell ref="C232:F232"/>
    <mergeCell ref="G232:I232"/>
    <mergeCell ref="L232:N232"/>
    <mergeCell ref="Q232:S232"/>
    <mergeCell ref="A227:A232"/>
    <mergeCell ref="AH227:AH232"/>
    <mergeCell ref="AI227:AI232"/>
    <mergeCell ref="AJ227:AJ232"/>
    <mergeCell ref="AK227:AK232"/>
    <mergeCell ref="C230:F230"/>
    <mergeCell ref="G230:I230"/>
    <mergeCell ref="L230:N230"/>
    <mergeCell ref="Q230:S230"/>
    <mergeCell ref="C231:F231"/>
    <mergeCell ref="G237:I237"/>
    <mergeCell ref="L237:N237"/>
    <mergeCell ref="Q237:S237"/>
    <mergeCell ref="C238:F238"/>
    <mergeCell ref="G238:I238"/>
    <mergeCell ref="L238:N238"/>
    <mergeCell ref="Q238:S238"/>
    <mergeCell ref="A233:A238"/>
    <mergeCell ref="AH233:AH238"/>
    <mergeCell ref="AI233:AI238"/>
    <mergeCell ref="AJ233:AJ238"/>
    <mergeCell ref="AK233:AK238"/>
    <mergeCell ref="C236:F236"/>
    <mergeCell ref="G236:I236"/>
    <mergeCell ref="L236:N236"/>
    <mergeCell ref="Q236:S236"/>
    <mergeCell ref="C237:F237"/>
    <mergeCell ref="G243:I243"/>
    <mergeCell ref="L243:N243"/>
    <mergeCell ref="Q243:S243"/>
    <mergeCell ref="C244:F244"/>
    <mergeCell ref="G244:I244"/>
    <mergeCell ref="L244:N244"/>
    <mergeCell ref="Q244:S244"/>
    <mergeCell ref="A239:A244"/>
    <mergeCell ref="AH239:AH244"/>
    <mergeCell ref="AI239:AI244"/>
    <mergeCell ref="AJ239:AJ244"/>
    <mergeCell ref="AK239:AK244"/>
    <mergeCell ref="C242:F242"/>
    <mergeCell ref="G242:I242"/>
    <mergeCell ref="L242:N242"/>
    <mergeCell ref="Q242:S242"/>
    <mergeCell ref="C243:F243"/>
    <mergeCell ref="G249:I249"/>
    <mergeCell ref="L249:N249"/>
    <mergeCell ref="Q249:S249"/>
    <mergeCell ref="C250:F250"/>
    <mergeCell ref="G250:I250"/>
    <mergeCell ref="L250:N250"/>
    <mergeCell ref="Q250:S250"/>
    <mergeCell ref="A245:A250"/>
    <mergeCell ref="AH245:AH250"/>
    <mergeCell ref="AI245:AI250"/>
    <mergeCell ref="AJ245:AJ250"/>
    <mergeCell ref="AK245:AK250"/>
    <mergeCell ref="C248:F248"/>
    <mergeCell ref="G248:I248"/>
    <mergeCell ref="L248:N248"/>
    <mergeCell ref="Q248:S248"/>
    <mergeCell ref="C249:F249"/>
    <mergeCell ref="G255:I255"/>
    <mergeCell ref="L255:N255"/>
    <mergeCell ref="Q255:S255"/>
    <mergeCell ref="C256:F256"/>
    <mergeCell ref="G256:I256"/>
    <mergeCell ref="L256:N256"/>
    <mergeCell ref="Q256:S256"/>
    <mergeCell ref="A251:A256"/>
    <mergeCell ref="AH251:AH256"/>
    <mergeCell ref="AI251:AI256"/>
    <mergeCell ref="AJ251:AJ256"/>
    <mergeCell ref="AK251:AK256"/>
    <mergeCell ref="C254:F254"/>
    <mergeCell ref="G254:I254"/>
    <mergeCell ref="L254:N254"/>
    <mergeCell ref="Q254:S254"/>
    <mergeCell ref="C255:F255"/>
    <mergeCell ref="G261:I261"/>
    <mergeCell ref="L261:N261"/>
    <mergeCell ref="Q261:S261"/>
    <mergeCell ref="C262:F262"/>
    <mergeCell ref="G262:I262"/>
    <mergeCell ref="L262:N262"/>
    <mergeCell ref="Q262:S262"/>
    <mergeCell ref="A257:A262"/>
    <mergeCell ref="AH257:AH262"/>
    <mergeCell ref="AI257:AI262"/>
    <mergeCell ref="AJ257:AJ262"/>
    <mergeCell ref="AK257:AK262"/>
    <mergeCell ref="C260:F260"/>
    <mergeCell ref="G260:I260"/>
    <mergeCell ref="L260:N260"/>
    <mergeCell ref="Q260:S260"/>
    <mergeCell ref="C261:F261"/>
    <mergeCell ref="G267:I267"/>
    <mergeCell ref="L267:N267"/>
    <mergeCell ref="Q267:S267"/>
    <mergeCell ref="C268:F268"/>
    <mergeCell ref="G268:I268"/>
    <mergeCell ref="L268:N268"/>
    <mergeCell ref="Q268:S268"/>
    <mergeCell ref="A263:A268"/>
    <mergeCell ref="AH263:AH268"/>
    <mergeCell ref="AI263:AI268"/>
    <mergeCell ref="AJ263:AJ268"/>
    <mergeCell ref="AK263:AK268"/>
    <mergeCell ref="C266:F266"/>
    <mergeCell ref="G266:I266"/>
    <mergeCell ref="L266:N266"/>
    <mergeCell ref="Q266:S266"/>
    <mergeCell ref="C267:F267"/>
    <mergeCell ref="G273:I273"/>
    <mergeCell ref="L273:N273"/>
    <mergeCell ref="Q273:S273"/>
    <mergeCell ref="C274:F274"/>
    <mergeCell ref="G274:I274"/>
    <mergeCell ref="L274:N274"/>
    <mergeCell ref="Q274:S274"/>
    <mergeCell ref="A269:A274"/>
    <mergeCell ref="AH269:AH274"/>
    <mergeCell ref="AI269:AI274"/>
    <mergeCell ref="AJ269:AJ274"/>
    <mergeCell ref="AK269:AK274"/>
    <mergeCell ref="C272:F272"/>
    <mergeCell ref="G272:I272"/>
    <mergeCell ref="L272:N272"/>
    <mergeCell ref="Q272:S272"/>
    <mergeCell ref="C273:F273"/>
    <mergeCell ref="G279:I279"/>
    <mergeCell ref="L279:N279"/>
    <mergeCell ref="Q279:S279"/>
    <mergeCell ref="C280:F280"/>
    <mergeCell ref="G280:I280"/>
    <mergeCell ref="L280:N280"/>
    <mergeCell ref="Q280:S280"/>
    <mergeCell ref="A275:A280"/>
    <mergeCell ref="AH275:AH280"/>
    <mergeCell ref="AI275:AI280"/>
    <mergeCell ref="AJ275:AJ280"/>
    <mergeCell ref="AK275:AK280"/>
    <mergeCell ref="C278:F278"/>
    <mergeCell ref="G278:I278"/>
    <mergeCell ref="L278:N278"/>
    <mergeCell ref="Q278:S278"/>
    <mergeCell ref="C279:F279"/>
    <mergeCell ref="G285:I285"/>
    <mergeCell ref="L285:N285"/>
    <mergeCell ref="Q285:S285"/>
    <mergeCell ref="C286:F286"/>
    <mergeCell ref="G286:I286"/>
    <mergeCell ref="L286:N286"/>
    <mergeCell ref="Q286:S286"/>
    <mergeCell ref="A281:A286"/>
    <mergeCell ref="AH281:AH286"/>
    <mergeCell ref="AI281:AI286"/>
    <mergeCell ref="AJ281:AJ286"/>
    <mergeCell ref="AK281:AK286"/>
    <mergeCell ref="C284:F284"/>
    <mergeCell ref="G284:I284"/>
    <mergeCell ref="L284:N284"/>
    <mergeCell ref="Q284:S284"/>
    <mergeCell ref="C285:F285"/>
    <mergeCell ref="G291:I291"/>
    <mergeCell ref="L291:N291"/>
    <mergeCell ref="Q291:S291"/>
    <mergeCell ref="C292:F292"/>
    <mergeCell ref="G292:I292"/>
    <mergeCell ref="L292:N292"/>
    <mergeCell ref="Q292:S292"/>
    <mergeCell ref="A287:A292"/>
    <mergeCell ref="AH287:AH292"/>
    <mergeCell ref="AI287:AI292"/>
    <mergeCell ref="AJ287:AJ292"/>
    <mergeCell ref="AK287:AK292"/>
    <mergeCell ref="C290:F290"/>
    <mergeCell ref="G290:I290"/>
    <mergeCell ref="L290:N290"/>
    <mergeCell ref="Q290:S290"/>
    <mergeCell ref="C291:F291"/>
    <mergeCell ref="G297:I297"/>
    <mergeCell ref="L297:N297"/>
    <mergeCell ref="Q297:S297"/>
    <mergeCell ref="C298:F298"/>
    <mergeCell ref="G298:I298"/>
    <mergeCell ref="L298:N298"/>
    <mergeCell ref="Q298:S298"/>
    <mergeCell ref="A293:A298"/>
    <mergeCell ref="AH293:AH298"/>
    <mergeCell ref="AI293:AI298"/>
    <mergeCell ref="AJ293:AJ298"/>
    <mergeCell ref="AK293:AK298"/>
    <mergeCell ref="C296:F296"/>
    <mergeCell ref="G296:I296"/>
    <mergeCell ref="L296:N296"/>
    <mergeCell ref="Q296:S296"/>
    <mergeCell ref="C297:F297"/>
    <mergeCell ref="G303:I303"/>
    <mergeCell ref="L303:N303"/>
    <mergeCell ref="Q303:S303"/>
    <mergeCell ref="C304:F304"/>
    <mergeCell ref="G304:I304"/>
    <mergeCell ref="L304:N304"/>
    <mergeCell ref="Q304:S304"/>
    <mergeCell ref="A299:A304"/>
    <mergeCell ref="AH299:AH304"/>
    <mergeCell ref="AI299:AI304"/>
    <mergeCell ref="AJ299:AJ304"/>
    <mergeCell ref="AK299:AK304"/>
    <mergeCell ref="C302:F302"/>
    <mergeCell ref="G302:I302"/>
    <mergeCell ref="L302:N302"/>
    <mergeCell ref="Q302:S302"/>
    <mergeCell ref="C303:F303"/>
    <mergeCell ref="G309:I309"/>
    <mergeCell ref="L309:N309"/>
    <mergeCell ref="Q309:S309"/>
    <mergeCell ref="C310:F310"/>
    <mergeCell ref="G310:I310"/>
    <mergeCell ref="L310:N310"/>
    <mergeCell ref="Q310:S310"/>
    <mergeCell ref="A305:A310"/>
    <mergeCell ref="AH305:AH310"/>
    <mergeCell ref="AI305:AI310"/>
    <mergeCell ref="AJ305:AJ310"/>
    <mergeCell ref="AK305:AK310"/>
    <mergeCell ref="C308:F308"/>
    <mergeCell ref="G308:I308"/>
    <mergeCell ref="L308:N308"/>
    <mergeCell ref="Q308:S308"/>
    <mergeCell ref="C309:F309"/>
    <mergeCell ref="G315:I315"/>
    <mergeCell ref="L315:N315"/>
    <mergeCell ref="Q315:S315"/>
    <mergeCell ref="C316:F316"/>
    <mergeCell ref="G316:I316"/>
    <mergeCell ref="L316:N316"/>
    <mergeCell ref="Q316:S316"/>
    <mergeCell ref="A311:A316"/>
    <mergeCell ref="AH311:AH316"/>
    <mergeCell ref="AI311:AI316"/>
    <mergeCell ref="AJ311:AJ316"/>
    <mergeCell ref="AK311:AK316"/>
    <mergeCell ref="C314:F314"/>
    <mergeCell ref="G314:I314"/>
    <mergeCell ref="L314:N314"/>
    <mergeCell ref="Q314:S314"/>
    <mergeCell ref="C315:F315"/>
    <mergeCell ref="G321:I321"/>
    <mergeCell ref="L321:N321"/>
    <mergeCell ref="Q321:S321"/>
    <mergeCell ref="C322:F322"/>
    <mergeCell ref="G322:I322"/>
    <mergeCell ref="L322:N322"/>
    <mergeCell ref="Q322:S322"/>
    <mergeCell ref="A317:A322"/>
    <mergeCell ref="AH317:AH322"/>
    <mergeCell ref="AI317:AI322"/>
    <mergeCell ref="AJ317:AJ322"/>
    <mergeCell ref="AK317:AK322"/>
    <mergeCell ref="C320:F320"/>
    <mergeCell ref="G320:I320"/>
    <mergeCell ref="L320:N320"/>
    <mergeCell ref="Q320:S320"/>
    <mergeCell ref="C321:F321"/>
    <mergeCell ref="G327:I327"/>
    <mergeCell ref="L327:N327"/>
    <mergeCell ref="Q327:S327"/>
    <mergeCell ref="C328:F328"/>
    <mergeCell ref="G328:I328"/>
    <mergeCell ref="L328:N328"/>
    <mergeCell ref="Q328:S328"/>
    <mergeCell ref="A323:A328"/>
    <mergeCell ref="AH323:AH328"/>
    <mergeCell ref="AI323:AI328"/>
    <mergeCell ref="AJ323:AJ328"/>
    <mergeCell ref="AK323:AK328"/>
    <mergeCell ref="C326:F326"/>
    <mergeCell ref="G326:I326"/>
    <mergeCell ref="L326:N326"/>
    <mergeCell ref="Q326:S326"/>
    <mergeCell ref="C327:F327"/>
    <mergeCell ref="G333:I333"/>
    <mergeCell ref="L333:N333"/>
    <mergeCell ref="Q333:S333"/>
    <mergeCell ref="C334:F334"/>
    <mergeCell ref="G334:I334"/>
    <mergeCell ref="L334:N334"/>
    <mergeCell ref="Q334:S334"/>
    <mergeCell ref="A329:A334"/>
    <mergeCell ref="AH329:AH334"/>
    <mergeCell ref="AI329:AI334"/>
    <mergeCell ref="AJ329:AJ334"/>
    <mergeCell ref="AK329:AK334"/>
    <mergeCell ref="C332:F332"/>
    <mergeCell ref="G332:I332"/>
    <mergeCell ref="L332:N332"/>
    <mergeCell ref="Q332:S332"/>
    <mergeCell ref="C333:F333"/>
    <mergeCell ref="G339:I339"/>
    <mergeCell ref="L339:N339"/>
    <mergeCell ref="Q339:S339"/>
    <mergeCell ref="C340:F340"/>
    <mergeCell ref="G340:I340"/>
    <mergeCell ref="L340:N340"/>
    <mergeCell ref="Q340:S340"/>
    <mergeCell ref="A335:A340"/>
    <mergeCell ref="AH335:AH340"/>
    <mergeCell ref="AI335:AI340"/>
    <mergeCell ref="AJ335:AJ340"/>
    <mergeCell ref="AK335:AK340"/>
    <mergeCell ref="C338:F338"/>
    <mergeCell ref="G338:I338"/>
    <mergeCell ref="L338:N338"/>
    <mergeCell ref="Q338:S338"/>
    <mergeCell ref="C339:F339"/>
    <mergeCell ref="G345:I345"/>
    <mergeCell ref="L345:N345"/>
    <mergeCell ref="Q345:S345"/>
    <mergeCell ref="C346:F346"/>
    <mergeCell ref="G346:I346"/>
    <mergeCell ref="L346:N346"/>
    <mergeCell ref="Q346:S346"/>
    <mergeCell ref="A341:A346"/>
    <mergeCell ref="AH341:AH346"/>
    <mergeCell ref="AI341:AI346"/>
    <mergeCell ref="AJ341:AJ346"/>
    <mergeCell ref="AK341:AK346"/>
    <mergeCell ref="C344:F344"/>
    <mergeCell ref="G344:I344"/>
    <mergeCell ref="L344:N344"/>
    <mergeCell ref="Q344:S344"/>
    <mergeCell ref="C345:F345"/>
    <mergeCell ref="G351:I351"/>
    <mergeCell ref="L351:N351"/>
    <mergeCell ref="Q351:S351"/>
    <mergeCell ref="C352:F352"/>
    <mergeCell ref="G352:I352"/>
    <mergeCell ref="L352:N352"/>
    <mergeCell ref="Q352:S352"/>
    <mergeCell ref="A347:A352"/>
    <mergeCell ref="AH347:AH352"/>
    <mergeCell ref="AI347:AI352"/>
    <mergeCell ref="AJ347:AJ352"/>
    <mergeCell ref="AK347:AK352"/>
    <mergeCell ref="C350:F350"/>
    <mergeCell ref="G350:I350"/>
    <mergeCell ref="L350:N350"/>
    <mergeCell ref="Q350:S350"/>
    <mergeCell ref="C351:F351"/>
    <mergeCell ref="G357:I357"/>
    <mergeCell ref="L357:N357"/>
    <mergeCell ref="Q357:S357"/>
    <mergeCell ref="C358:F358"/>
    <mergeCell ref="G358:I358"/>
    <mergeCell ref="L358:N358"/>
    <mergeCell ref="Q358:S358"/>
    <mergeCell ref="A353:A358"/>
    <mergeCell ref="AH353:AH358"/>
    <mergeCell ref="AI353:AI358"/>
    <mergeCell ref="AJ353:AJ358"/>
    <mergeCell ref="AK353:AK358"/>
    <mergeCell ref="C356:F356"/>
    <mergeCell ref="G356:I356"/>
    <mergeCell ref="L356:N356"/>
    <mergeCell ref="Q356:S356"/>
    <mergeCell ref="C357:F357"/>
    <mergeCell ref="G363:I363"/>
    <mergeCell ref="L363:N363"/>
    <mergeCell ref="Q363:S363"/>
    <mergeCell ref="C364:F364"/>
    <mergeCell ref="G364:I364"/>
    <mergeCell ref="L364:N364"/>
    <mergeCell ref="Q364:S364"/>
    <mergeCell ref="A359:A364"/>
    <mergeCell ref="AH359:AH364"/>
    <mergeCell ref="AI359:AI364"/>
    <mergeCell ref="AJ359:AJ364"/>
    <mergeCell ref="AK359:AK364"/>
    <mergeCell ref="C362:F362"/>
    <mergeCell ref="G362:I362"/>
    <mergeCell ref="L362:N362"/>
    <mergeCell ref="Q362:S362"/>
    <mergeCell ref="C363:F363"/>
    <mergeCell ref="G369:I369"/>
    <mergeCell ref="L369:N369"/>
    <mergeCell ref="Q369:S369"/>
    <mergeCell ref="C370:F370"/>
    <mergeCell ref="G370:I370"/>
    <mergeCell ref="L370:N370"/>
    <mergeCell ref="Q370:S370"/>
    <mergeCell ref="A365:A370"/>
    <mergeCell ref="AH365:AH370"/>
    <mergeCell ref="AI365:AI370"/>
    <mergeCell ref="AJ365:AJ370"/>
    <mergeCell ref="AK365:AK370"/>
    <mergeCell ref="C368:F368"/>
    <mergeCell ref="G368:I368"/>
    <mergeCell ref="L368:N368"/>
    <mergeCell ref="Q368:S368"/>
    <mergeCell ref="C369:F369"/>
    <mergeCell ref="G375:I375"/>
    <mergeCell ref="L375:N375"/>
    <mergeCell ref="Q375:S375"/>
    <mergeCell ref="C376:F376"/>
    <mergeCell ref="G376:I376"/>
    <mergeCell ref="L376:N376"/>
    <mergeCell ref="Q376:S376"/>
    <mergeCell ref="A371:A376"/>
    <mergeCell ref="AH371:AH376"/>
    <mergeCell ref="AI371:AI376"/>
    <mergeCell ref="AJ371:AJ376"/>
    <mergeCell ref="AK371:AK376"/>
    <mergeCell ref="C374:F374"/>
    <mergeCell ref="G374:I374"/>
    <mergeCell ref="L374:N374"/>
    <mergeCell ref="Q374:S374"/>
    <mergeCell ref="C375:F375"/>
    <mergeCell ref="G381:I381"/>
    <mergeCell ref="L381:N381"/>
    <mergeCell ref="Q381:S381"/>
    <mergeCell ref="C382:F382"/>
    <mergeCell ref="G382:I382"/>
    <mergeCell ref="L382:N382"/>
    <mergeCell ref="Q382:S382"/>
    <mergeCell ref="A377:A382"/>
    <mergeCell ref="AH377:AH382"/>
    <mergeCell ref="AI377:AI382"/>
    <mergeCell ref="AJ377:AJ382"/>
    <mergeCell ref="AK377:AK382"/>
    <mergeCell ref="C380:F380"/>
    <mergeCell ref="G380:I380"/>
    <mergeCell ref="L380:N380"/>
    <mergeCell ref="Q380:S380"/>
    <mergeCell ref="C381:F381"/>
    <mergeCell ref="G387:I387"/>
    <mergeCell ref="L387:N387"/>
    <mergeCell ref="Q387:S387"/>
    <mergeCell ref="C388:F388"/>
    <mergeCell ref="G388:I388"/>
    <mergeCell ref="L388:N388"/>
    <mergeCell ref="Q388:S388"/>
    <mergeCell ref="A383:A388"/>
    <mergeCell ref="AH383:AH388"/>
    <mergeCell ref="AI383:AI388"/>
    <mergeCell ref="AJ383:AJ388"/>
    <mergeCell ref="AK383:AK388"/>
    <mergeCell ref="C386:F386"/>
    <mergeCell ref="G386:I386"/>
    <mergeCell ref="L386:N386"/>
    <mergeCell ref="Q386:S386"/>
    <mergeCell ref="C387:F387"/>
    <mergeCell ref="G393:I393"/>
    <mergeCell ref="L393:N393"/>
    <mergeCell ref="Q393:S393"/>
    <mergeCell ref="C394:F394"/>
    <mergeCell ref="G394:I394"/>
    <mergeCell ref="L394:N394"/>
    <mergeCell ref="Q394:S394"/>
    <mergeCell ref="A389:A394"/>
    <mergeCell ref="AH389:AH394"/>
    <mergeCell ref="AI389:AI394"/>
    <mergeCell ref="AJ389:AJ394"/>
    <mergeCell ref="AK389:AK394"/>
    <mergeCell ref="C392:F392"/>
    <mergeCell ref="G392:I392"/>
    <mergeCell ref="L392:N392"/>
    <mergeCell ref="Q392:S392"/>
    <mergeCell ref="C393:F393"/>
    <mergeCell ref="G399:I399"/>
    <mergeCell ref="L399:N399"/>
    <mergeCell ref="Q399:S399"/>
    <mergeCell ref="C400:F400"/>
    <mergeCell ref="G400:I400"/>
    <mergeCell ref="L400:N400"/>
    <mergeCell ref="Q400:S400"/>
    <mergeCell ref="A395:A400"/>
    <mergeCell ref="AH395:AH400"/>
    <mergeCell ref="AI395:AI400"/>
    <mergeCell ref="AJ395:AJ400"/>
    <mergeCell ref="AK395:AK400"/>
    <mergeCell ref="C398:F398"/>
    <mergeCell ref="G398:I398"/>
    <mergeCell ref="L398:N398"/>
    <mergeCell ref="Q398:S398"/>
    <mergeCell ref="C399:F399"/>
    <mergeCell ref="G405:I405"/>
    <mergeCell ref="L405:N405"/>
    <mergeCell ref="Q405:S405"/>
    <mergeCell ref="C406:F406"/>
    <mergeCell ref="G406:I406"/>
    <mergeCell ref="L406:N406"/>
    <mergeCell ref="Q406:S406"/>
    <mergeCell ref="A401:A406"/>
    <mergeCell ref="AH401:AH406"/>
    <mergeCell ref="AI401:AI406"/>
    <mergeCell ref="AJ401:AJ406"/>
    <mergeCell ref="AK401:AK406"/>
    <mergeCell ref="C404:F404"/>
    <mergeCell ref="G404:I404"/>
    <mergeCell ref="L404:N404"/>
    <mergeCell ref="Q404:S404"/>
    <mergeCell ref="C405:F405"/>
    <mergeCell ref="G411:I411"/>
    <mergeCell ref="L411:N411"/>
    <mergeCell ref="Q411:S411"/>
    <mergeCell ref="C412:F412"/>
    <mergeCell ref="G412:I412"/>
    <mergeCell ref="L412:N412"/>
    <mergeCell ref="Q412:S412"/>
    <mergeCell ref="A407:A412"/>
    <mergeCell ref="AH407:AH412"/>
    <mergeCell ref="AI407:AI412"/>
    <mergeCell ref="AJ407:AJ412"/>
    <mergeCell ref="AK407:AK412"/>
    <mergeCell ref="C410:F410"/>
    <mergeCell ref="G410:I410"/>
    <mergeCell ref="L410:N410"/>
    <mergeCell ref="Q410:S410"/>
    <mergeCell ref="C411:F411"/>
    <mergeCell ref="G417:I417"/>
    <mergeCell ref="L417:N417"/>
    <mergeCell ref="Q417:S417"/>
    <mergeCell ref="C418:F418"/>
    <mergeCell ref="G418:I418"/>
    <mergeCell ref="L418:N418"/>
    <mergeCell ref="Q418:S418"/>
    <mergeCell ref="A413:A418"/>
    <mergeCell ref="AH413:AH418"/>
    <mergeCell ref="AI413:AI418"/>
    <mergeCell ref="AJ413:AJ418"/>
    <mergeCell ref="AK413:AK418"/>
    <mergeCell ref="C416:F416"/>
    <mergeCell ref="G416:I416"/>
    <mergeCell ref="L416:N416"/>
    <mergeCell ref="Q416:S416"/>
    <mergeCell ref="C417:F417"/>
    <mergeCell ref="G423:I423"/>
    <mergeCell ref="L423:N423"/>
    <mergeCell ref="Q423:S423"/>
    <mergeCell ref="C424:F424"/>
    <mergeCell ref="G424:I424"/>
    <mergeCell ref="L424:N424"/>
    <mergeCell ref="Q424:S424"/>
    <mergeCell ref="A419:A424"/>
    <mergeCell ref="AH419:AH424"/>
    <mergeCell ref="AI419:AI424"/>
    <mergeCell ref="AJ419:AJ424"/>
    <mergeCell ref="AK419:AK424"/>
    <mergeCell ref="C422:F422"/>
    <mergeCell ref="G422:I422"/>
    <mergeCell ref="L422:N422"/>
    <mergeCell ref="Q422:S422"/>
    <mergeCell ref="C423:F423"/>
    <mergeCell ref="G429:I429"/>
    <mergeCell ref="L429:N429"/>
    <mergeCell ref="Q429:S429"/>
    <mergeCell ref="C430:F430"/>
    <mergeCell ref="G430:I430"/>
    <mergeCell ref="L430:N430"/>
    <mergeCell ref="Q430:S430"/>
    <mergeCell ref="A425:A430"/>
    <mergeCell ref="AH425:AH430"/>
    <mergeCell ref="AI425:AI430"/>
    <mergeCell ref="AJ425:AJ430"/>
    <mergeCell ref="AK425:AK430"/>
    <mergeCell ref="C428:F428"/>
    <mergeCell ref="G428:I428"/>
    <mergeCell ref="L428:N428"/>
    <mergeCell ref="Q428:S428"/>
    <mergeCell ref="C429:F429"/>
    <mergeCell ref="G435:I435"/>
    <mergeCell ref="L435:N435"/>
    <mergeCell ref="Q435:S435"/>
    <mergeCell ref="C436:F436"/>
    <mergeCell ref="G436:I436"/>
    <mergeCell ref="L436:N436"/>
    <mergeCell ref="Q436:S436"/>
    <mergeCell ref="A431:A436"/>
    <mergeCell ref="AH431:AH436"/>
    <mergeCell ref="AI431:AI436"/>
    <mergeCell ref="AJ431:AJ436"/>
    <mergeCell ref="AK431:AK436"/>
    <mergeCell ref="C434:F434"/>
    <mergeCell ref="G434:I434"/>
    <mergeCell ref="L434:N434"/>
    <mergeCell ref="Q434:S434"/>
    <mergeCell ref="C435:F435"/>
    <mergeCell ref="G441:I441"/>
    <mergeCell ref="L441:N441"/>
    <mergeCell ref="Q441:S441"/>
    <mergeCell ref="C442:F442"/>
    <mergeCell ref="G442:I442"/>
    <mergeCell ref="L442:N442"/>
    <mergeCell ref="Q442:S442"/>
    <mergeCell ref="A437:A442"/>
    <mergeCell ref="AH437:AH442"/>
    <mergeCell ref="AI437:AI442"/>
    <mergeCell ref="AJ437:AJ442"/>
    <mergeCell ref="AK437:AK442"/>
    <mergeCell ref="C440:F440"/>
    <mergeCell ref="G440:I440"/>
    <mergeCell ref="L440:N440"/>
    <mergeCell ref="Q440:S440"/>
    <mergeCell ref="C441:F441"/>
    <mergeCell ref="G447:I447"/>
    <mergeCell ref="L447:N447"/>
    <mergeCell ref="Q447:S447"/>
    <mergeCell ref="C448:F448"/>
    <mergeCell ref="G448:I448"/>
    <mergeCell ref="L448:N448"/>
    <mergeCell ref="Q448:S448"/>
    <mergeCell ref="A443:A448"/>
    <mergeCell ref="AH443:AH448"/>
    <mergeCell ref="AI443:AI448"/>
    <mergeCell ref="AJ443:AJ448"/>
    <mergeCell ref="AK443:AK448"/>
    <mergeCell ref="C446:F446"/>
    <mergeCell ref="G446:I446"/>
    <mergeCell ref="L446:N446"/>
    <mergeCell ref="Q446:S446"/>
    <mergeCell ref="C447:F447"/>
    <mergeCell ref="G453:I453"/>
    <mergeCell ref="L453:N453"/>
    <mergeCell ref="Q453:S453"/>
    <mergeCell ref="C454:F454"/>
    <mergeCell ref="G454:I454"/>
    <mergeCell ref="L454:N454"/>
    <mergeCell ref="Q454:S454"/>
    <mergeCell ref="A449:A454"/>
    <mergeCell ref="AH449:AH454"/>
    <mergeCell ref="AI449:AI454"/>
    <mergeCell ref="AJ449:AJ454"/>
    <mergeCell ref="AK449:AK454"/>
    <mergeCell ref="C452:F452"/>
    <mergeCell ref="G452:I452"/>
    <mergeCell ref="L452:N452"/>
    <mergeCell ref="Q452:S452"/>
    <mergeCell ref="C453:F453"/>
    <mergeCell ref="G459:I459"/>
    <mergeCell ref="L459:N459"/>
    <mergeCell ref="Q459:S459"/>
    <mergeCell ref="C460:F460"/>
    <mergeCell ref="G460:I460"/>
    <mergeCell ref="L460:N460"/>
    <mergeCell ref="Q460:S460"/>
    <mergeCell ref="A455:A460"/>
    <mergeCell ref="AH455:AH460"/>
    <mergeCell ref="AI455:AI460"/>
    <mergeCell ref="AJ455:AJ460"/>
    <mergeCell ref="AK455:AK460"/>
    <mergeCell ref="C458:F458"/>
    <mergeCell ref="G458:I458"/>
    <mergeCell ref="L458:N458"/>
    <mergeCell ref="Q458:S458"/>
    <mergeCell ref="C459:F459"/>
    <mergeCell ref="G465:I465"/>
    <mergeCell ref="L465:N465"/>
    <mergeCell ref="Q465:S465"/>
    <mergeCell ref="C466:F466"/>
    <mergeCell ref="G466:I466"/>
    <mergeCell ref="L466:N466"/>
    <mergeCell ref="Q466:S466"/>
    <mergeCell ref="A461:A466"/>
    <mergeCell ref="AH461:AH466"/>
    <mergeCell ref="AI461:AI466"/>
    <mergeCell ref="AJ461:AJ466"/>
    <mergeCell ref="AK461:AK466"/>
    <mergeCell ref="C464:F464"/>
    <mergeCell ref="G464:I464"/>
    <mergeCell ref="L464:N464"/>
    <mergeCell ref="Q464:S464"/>
    <mergeCell ref="C465:F465"/>
    <mergeCell ref="G471:I471"/>
    <mergeCell ref="L471:N471"/>
    <mergeCell ref="Q471:S471"/>
    <mergeCell ref="C472:F472"/>
    <mergeCell ref="G472:I472"/>
    <mergeCell ref="L472:N472"/>
    <mergeCell ref="Q472:S472"/>
    <mergeCell ref="A467:A472"/>
    <mergeCell ref="AH467:AH472"/>
    <mergeCell ref="AI467:AI472"/>
    <mergeCell ref="AJ467:AJ472"/>
    <mergeCell ref="AK467:AK472"/>
    <mergeCell ref="C470:F470"/>
    <mergeCell ref="G470:I470"/>
    <mergeCell ref="L470:N470"/>
    <mergeCell ref="Q470:S470"/>
    <mergeCell ref="C471:F471"/>
    <mergeCell ref="G477:I477"/>
    <mergeCell ref="L477:N477"/>
    <mergeCell ref="Q477:S477"/>
    <mergeCell ref="C478:F478"/>
    <mergeCell ref="G478:I478"/>
    <mergeCell ref="L478:N478"/>
    <mergeCell ref="Q478:S478"/>
    <mergeCell ref="A473:A478"/>
    <mergeCell ref="AH473:AH478"/>
    <mergeCell ref="AI473:AI478"/>
    <mergeCell ref="AJ473:AJ478"/>
    <mergeCell ref="AK473:AK478"/>
    <mergeCell ref="C476:F476"/>
    <mergeCell ref="G476:I476"/>
    <mergeCell ref="L476:N476"/>
    <mergeCell ref="Q476:S476"/>
    <mergeCell ref="C477:F477"/>
    <mergeCell ref="G483:I483"/>
    <mergeCell ref="L483:N483"/>
    <mergeCell ref="Q483:S483"/>
    <mergeCell ref="C484:F484"/>
    <mergeCell ref="G484:I484"/>
    <mergeCell ref="L484:N484"/>
    <mergeCell ref="Q484:S484"/>
    <mergeCell ref="A479:A484"/>
    <mergeCell ref="AH479:AH484"/>
    <mergeCell ref="AI479:AI484"/>
    <mergeCell ref="AJ479:AJ484"/>
    <mergeCell ref="AK479:AK484"/>
    <mergeCell ref="C482:F482"/>
    <mergeCell ref="G482:I482"/>
    <mergeCell ref="L482:N482"/>
    <mergeCell ref="Q482:S482"/>
    <mergeCell ref="C483:F483"/>
    <mergeCell ref="G489:I489"/>
    <mergeCell ref="L489:N489"/>
    <mergeCell ref="Q489:S489"/>
    <mergeCell ref="C490:F490"/>
    <mergeCell ref="G490:I490"/>
    <mergeCell ref="L490:N490"/>
    <mergeCell ref="Q490:S490"/>
    <mergeCell ref="A485:A490"/>
    <mergeCell ref="AH485:AH490"/>
    <mergeCell ref="AI485:AI490"/>
    <mergeCell ref="AJ485:AJ490"/>
    <mergeCell ref="AK485:AK490"/>
    <mergeCell ref="C488:F488"/>
    <mergeCell ref="G488:I488"/>
    <mergeCell ref="L488:N488"/>
    <mergeCell ref="Q488:S488"/>
    <mergeCell ref="C489:F489"/>
    <mergeCell ref="G495:K495"/>
    <mergeCell ref="L495:N495"/>
    <mergeCell ref="Q495:S495"/>
    <mergeCell ref="C496:F496"/>
    <mergeCell ref="G496:K496"/>
    <mergeCell ref="L496:N496"/>
    <mergeCell ref="Q496:S496"/>
    <mergeCell ref="A491:A496"/>
    <mergeCell ref="AH491:AH496"/>
    <mergeCell ref="AI491:AI496"/>
    <mergeCell ref="AJ491:AJ496"/>
    <mergeCell ref="AK491:AK496"/>
    <mergeCell ref="C494:F494"/>
    <mergeCell ref="G494:K494"/>
    <mergeCell ref="L494:N494"/>
    <mergeCell ref="Q494:S494"/>
    <mergeCell ref="C495:F495"/>
    <mergeCell ref="G501:K501"/>
    <mergeCell ref="L501:N501"/>
    <mergeCell ref="Q501:S501"/>
    <mergeCell ref="C502:F502"/>
    <mergeCell ref="G502:K502"/>
    <mergeCell ref="L502:N502"/>
    <mergeCell ref="Q502:S502"/>
    <mergeCell ref="A497:A502"/>
    <mergeCell ref="AH497:AH502"/>
    <mergeCell ref="AI497:AI502"/>
    <mergeCell ref="AJ497:AJ502"/>
    <mergeCell ref="AK497:AK502"/>
    <mergeCell ref="C500:F500"/>
    <mergeCell ref="G500:K500"/>
    <mergeCell ref="L500:N500"/>
    <mergeCell ref="Q500:S500"/>
    <mergeCell ref="C501:F501"/>
    <mergeCell ref="G507:K507"/>
    <mergeCell ref="L507:N507"/>
    <mergeCell ref="Q507:S507"/>
    <mergeCell ref="C508:F508"/>
    <mergeCell ref="G508:K508"/>
    <mergeCell ref="L508:N508"/>
    <mergeCell ref="Q508:S508"/>
    <mergeCell ref="A503:A508"/>
    <mergeCell ref="AH503:AH508"/>
    <mergeCell ref="AI503:AI508"/>
    <mergeCell ref="AJ503:AJ508"/>
    <mergeCell ref="AK503:AK508"/>
    <mergeCell ref="C506:F506"/>
    <mergeCell ref="G506:K506"/>
    <mergeCell ref="L506:N506"/>
    <mergeCell ref="Q506:S506"/>
    <mergeCell ref="C507:F507"/>
    <mergeCell ref="G513:K513"/>
    <mergeCell ref="L513:N513"/>
    <mergeCell ref="Q513:S513"/>
    <mergeCell ref="C514:F514"/>
    <mergeCell ref="G514:K514"/>
    <mergeCell ref="L514:N514"/>
    <mergeCell ref="Q514:S514"/>
    <mergeCell ref="A509:A514"/>
    <mergeCell ref="AH509:AH514"/>
    <mergeCell ref="AI509:AI514"/>
    <mergeCell ref="AJ509:AJ514"/>
    <mergeCell ref="AK509:AK514"/>
    <mergeCell ref="C512:F512"/>
    <mergeCell ref="G512:K512"/>
    <mergeCell ref="L512:N512"/>
    <mergeCell ref="Q512:S512"/>
    <mergeCell ref="C513:F513"/>
    <mergeCell ref="G519:K519"/>
    <mergeCell ref="L519:N519"/>
    <mergeCell ref="Q519:S519"/>
    <mergeCell ref="C520:F520"/>
    <mergeCell ref="G520:K520"/>
    <mergeCell ref="L520:N520"/>
    <mergeCell ref="Q520:S520"/>
    <mergeCell ref="A515:A520"/>
    <mergeCell ref="AH515:AH520"/>
    <mergeCell ref="AI515:AI520"/>
    <mergeCell ref="AJ515:AJ520"/>
    <mergeCell ref="AK515:AK520"/>
    <mergeCell ref="C518:F518"/>
    <mergeCell ref="G518:K518"/>
    <mergeCell ref="L518:N518"/>
    <mergeCell ref="Q518:S518"/>
    <mergeCell ref="C519:F519"/>
    <mergeCell ref="G525:K525"/>
    <mergeCell ref="L525:N525"/>
    <mergeCell ref="Q525:S525"/>
    <mergeCell ref="C526:F526"/>
    <mergeCell ref="G526:K526"/>
    <mergeCell ref="L526:N526"/>
    <mergeCell ref="Q526:S526"/>
    <mergeCell ref="A521:A526"/>
    <mergeCell ref="AH521:AH526"/>
    <mergeCell ref="AI521:AI526"/>
    <mergeCell ref="AJ521:AJ526"/>
    <mergeCell ref="AK521:AK526"/>
    <mergeCell ref="C524:F524"/>
    <mergeCell ref="G524:K524"/>
    <mergeCell ref="L524:N524"/>
    <mergeCell ref="Q524:S524"/>
    <mergeCell ref="C525:F525"/>
    <mergeCell ref="G531:K531"/>
    <mergeCell ref="L531:N531"/>
    <mergeCell ref="Q531:S531"/>
    <mergeCell ref="C532:F532"/>
    <mergeCell ref="G532:K532"/>
    <mergeCell ref="L532:N532"/>
    <mergeCell ref="Q532:S532"/>
    <mergeCell ref="A527:A532"/>
    <mergeCell ref="AH527:AH532"/>
    <mergeCell ref="AI527:AI532"/>
    <mergeCell ref="AJ527:AJ532"/>
    <mergeCell ref="AK527:AK532"/>
    <mergeCell ref="C530:F530"/>
    <mergeCell ref="G530:K530"/>
    <mergeCell ref="L530:N530"/>
    <mergeCell ref="Q530:S530"/>
    <mergeCell ref="C531:F531"/>
    <mergeCell ref="G537:K537"/>
    <mergeCell ref="L537:N537"/>
    <mergeCell ref="Q537:S537"/>
    <mergeCell ref="C538:F538"/>
    <mergeCell ref="G538:K538"/>
    <mergeCell ref="L538:N538"/>
    <mergeCell ref="Q538:S538"/>
    <mergeCell ref="A533:A538"/>
    <mergeCell ref="AH533:AH538"/>
    <mergeCell ref="AI533:AI538"/>
    <mergeCell ref="AJ533:AJ538"/>
    <mergeCell ref="AK533:AK538"/>
    <mergeCell ref="C536:F536"/>
    <mergeCell ref="G536:K536"/>
    <mergeCell ref="L536:N536"/>
    <mergeCell ref="Q536:S536"/>
    <mergeCell ref="C537:F537"/>
  </mergeCells>
  <phoneticPr fontId="1" type="noConversion"/>
  <printOptions horizontalCentered="1"/>
  <pageMargins left="0" right="0" top="0.39370078740157483" bottom="0" header="0" footer="0"/>
  <pageSetup paperSize="9" scale="35" orientation="landscape" r:id="rId1"/>
  <headerFooter>
    <oddFooter>&amp;C&amp;"標楷體,標準"P10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6DC7-620F-4BD7-A6B6-BBA49A87E16B}">
  <sheetPr>
    <pageSetUpPr fitToPage="1"/>
  </sheetPr>
  <dimension ref="A2:AT19"/>
  <sheetViews>
    <sheetView topLeftCell="M5" zoomScale="70" zoomScaleNormal="70" workbookViewId="0">
      <pane ySplit="1" topLeftCell="A6" activePane="bottomLeft" state="frozen"/>
      <selection activeCell="A5" sqref="A5"/>
      <selection pane="bottomLeft" activeCell="AD19" sqref="AD19"/>
    </sheetView>
  </sheetViews>
  <sheetFormatPr defaultColWidth="8.90625" defaultRowHeight="15.5" x14ac:dyDescent="0.4"/>
  <cols>
    <col min="1" max="1" width="10.7265625" style="59" customWidth="1"/>
    <col min="2" max="2" width="17.36328125" style="63" customWidth="1"/>
    <col min="3" max="3" width="12.08984375" style="59" customWidth="1"/>
    <col min="4" max="4" width="14.7265625" style="59" bestFit="1" customWidth="1"/>
    <col min="5" max="5" width="12.08984375" style="59" customWidth="1"/>
    <col min="6" max="6" width="14.7265625" style="59" bestFit="1" customWidth="1"/>
    <col min="7" max="13" width="12.08984375" style="59" customWidth="1"/>
    <col min="14" max="14" width="12.08984375" style="63" bestFit="1" customWidth="1"/>
    <col min="15" max="15" width="12.08984375" style="63" customWidth="1"/>
    <col min="16" max="25" width="12.08984375" style="59" customWidth="1"/>
    <col min="26" max="27" width="14.453125" style="63" bestFit="1" customWidth="1"/>
    <col min="28" max="28" width="13.36328125" style="63" bestFit="1" customWidth="1"/>
    <col min="29" max="30" width="13.90625" style="63" bestFit="1" customWidth="1"/>
    <col min="31" max="31" width="11.7265625" style="63" bestFit="1" customWidth="1"/>
    <col min="32" max="33" width="10.453125" style="59" customWidth="1"/>
    <col min="34" max="34" width="12.90625" style="59" bestFit="1" customWidth="1"/>
    <col min="35" max="38" width="10.453125" style="63" customWidth="1"/>
    <col min="39" max="16384" width="8.90625" style="59"/>
  </cols>
  <sheetData>
    <row r="2" spans="1:46" ht="61.15" customHeight="1" x14ac:dyDescent="0.4">
      <c r="A2" s="506" t="s">
        <v>166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  <c r="O2" s="506"/>
      <c r="P2" s="506"/>
      <c r="Q2" s="506"/>
      <c r="R2" s="506"/>
      <c r="S2" s="506"/>
      <c r="T2" s="506"/>
      <c r="U2" s="506"/>
      <c r="V2" s="506"/>
      <c r="W2" s="506"/>
      <c r="X2" s="506"/>
      <c r="Y2" s="506"/>
      <c r="Z2" s="506"/>
      <c r="AA2" s="506"/>
      <c r="AB2" s="506"/>
      <c r="AC2" s="506"/>
      <c r="AD2" s="506"/>
      <c r="AE2" s="506"/>
      <c r="AF2" s="506"/>
      <c r="AG2" s="506"/>
      <c r="AH2" s="506"/>
      <c r="AI2" s="506"/>
      <c r="AJ2" s="242"/>
      <c r="AK2" s="242"/>
      <c r="AL2" s="242"/>
      <c r="AM2" s="58"/>
      <c r="AN2" s="58"/>
      <c r="AO2" s="58"/>
      <c r="AP2" s="58"/>
      <c r="AQ2" s="58"/>
      <c r="AR2" s="58"/>
      <c r="AS2" s="58"/>
      <c r="AT2" s="58"/>
    </row>
    <row r="3" spans="1:46" ht="40.15" customHeight="1" x14ac:dyDescent="0.4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1"/>
      <c r="AG3" s="507" t="s">
        <v>167</v>
      </c>
      <c r="AH3" s="507"/>
      <c r="AI3" s="62" t="s">
        <v>168</v>
      </c>
      <c r="AJ3" s="242"/>
      <c r="AK3" s="242"/>
      <c r="AL3" s="242"/>
      <c r="AM3" s="58"/>
      <c r="AN3" s="58"/>
      <c r="AO3" s="58"/>
      <c r="AP3" s="58"/>
      <c r="AQ3" s="58"/>
      <c r="AR3" s="58"/>
      <c r="AS3" s="58"/>
      <c r="AT3" s="58"/>
    </row>
    <row r="4" spans="1:46" ht="52.15" customHeight="1" x14ac:dyDescent="0.4">
      <c r="A4" s="508" t="s">
        <v>169</v>
      </c>
      <c r="B4" s="508"/>
      <c r="C4" s="508" t="s">
        <v>170</v>
      </c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115"/>
      <c r="P4" s="508" t="s">
        <v>171</v>
      </c>
      <c r="Q4" s="508"/>
      <c r="R4" s="508"/>
      <c r="S4" s="508"/>
      <c r="T4" s="508"/>
      <c r="U4" s="508"/>
      <c r="V4" s="508"/>
      <c r="W4" s="508"/>
      <c r="X4" s="508"/>
      <c r="Y4" s="508"/>
      <c r="Z4" s="508"/>
      <c r="AA4" s="116" t="s">
        <v>172</v>
      </c>
      <c r="AB4" s="509" t="s">
        <v>173</v>
      </c>
      <c r="AC4" s="510"/>
      <c r="AD4" s="510"/>
      <c r="AE4" s="511"/>
      <c r="AF4" s="213"/>
      <c r="AG4" s="213"/>
      <c r="AH4" s="243" t="s">
        <v>174</v>
      </c>
      <c r="AI4" s="241" t="s">
        <v>175</v>
      </c>
      <c r="AJ4" s="241" t="s">
        <v>176</v>
      </c>
      <c r="AK4" s="241" t="s">
        <v>177</v>
      </c>
      <c r="AL4" s="244"/>
    </row>
    <row r="5" spans="1:46" s="251" customFormat="1" ht="51.65" customHeight="1" x14ac:dyDescent="0.4">
      <c r="A5" s="526" t="s">
        <v>178</v>
      </c>
      <c r="B5" s="526"/>
      <c r="C5" s="520" t="s">
        <v>179</v>
      </c>
      <c r="D5" s="527"/>
      <c r="E5" s="527"/>
      <c r="F5" s="527"/>
      <c r="G5" s="527"/>
      <c r="H5" s="527"/>
      <c r="I5" s="521"/>
      <c r="J5" s="520" t="s">
        <v>180</v>
      </c>
      <c r="K5" s="528"/>
      <c r="L5" s="529"/>
      <c r="M5" s="503" t="s">
        <v>181</v>
      </c>
      <c r="N5" s="520" t="s">
        <v>182</v>
      </c>
      <c r="O5" s="527"/>
      <c r="P5" s="527"/>
      <c r="Q5" s="527"/>
      <c r="R5" s="527"/>
      <c r="S5" s="527"/>
      <c r="T5" s="521"/>
      <c r="U5" s="520" t="s">
        <v>180</v>
      </c>
      <c r="V5" s="528"/>
      <c r="W5" s="528"/>
      <c r="X5" s="529"/>
      <c r="Y5" s="503" t="s">
        <v>181</v>
      </c>
      <c r="Z5" s="530" t="s">
        <v>346</v>
      </c>
      <c r="AA5" s="528"/>
      <c r="AB5" s="529"/>
      <c r="AC5" s="503" t="s">
        <v>181</v>
      </c>
      <c r="AD5" s="503" t="s">
        <v>183</v>
      </c>
      <c r="AE5" s="249" t="s">
        <v>184</v>
      </c>
      <c r="AF5" s="249" t="s">
        <v>185</v>
      </c>
      <c r="AG5" s="249" t="s">
        <v>186</v>
      </c>
      <c r="AH5" s="515" t="s">
        <v>187</v>
      </c>
      <c r="AI5" s="518" t="s">
        <v>347</v>
      </c>
      <c r="AJ5" s="518" t="s">
        <v>348</v>
      </c>
      <c r="AK5" s="518" t="s">
        <v>349</v>
      </c>
      <c r="AL5" s="518" t="s">
        <v>174</v>
      </c>
      <c r="AM5" s="250"/>
    </row>
    <row r="6" spans="1:46" s="254" customFormat="1" ht="41.65" customHeight="1" x14ac:dyDescent="0.4">
      <c r="A6" s="520" t="s">
        <v>188</v>
      </c>
      <c r="B6" s="521"/>
      <c r="C6" s="245" t="s">
        <v>189</v>
      </c>
      <c r="D6" s="245" t="s">
        <v>190</v>
      </c>
      <c r="E6" s="245" t="s">
        <v>192</v>
      </c>
      <c r="F6" s="245" t="s">
        <v>193</v>
      </c>
      <c r="G6" s="245" t="s">
        <v>194</v>
      </c>
      <c r="H6" s="245" t="s">
        <v>195</v>
      </c>
      <c r="I6" s="245" t="s">
        <v>196</v>
      </c>
      <c r="J6" s="245" t="s">
        <v>197</v>
      </c>
      <c r="K6" s="245" t="s">
        <v>198</v>
      </c>
      <c r="L6" s="245" t="s">
        <v>199</v>
      </c>
      <c r="M6" s="504"/>
      <c r="N6" s="245" t="s">
        <v>201</v>
      </c>
      <c r="O6" s="245" t="s">
        <v>202</v>
      </c>
      <c r="P6" s="245" t="s">
        <v>203</v>
      </c>
      <c r="Q6" s="245" t="s">
        <v>204</v>
      </c>
      <c r="R6" s="245" t="s">
        <v>350</v>
      </c>
      <c r="S6" s="245" t="s">
        <v>205</v>
      </c>
      <c r="T6" s="245" t="s">
        <v>206</v>
      </c>
      <c r="U6" s="245" t="s">
        <v>207</v>
      </c>
      <c r="V6" s="245" t="s">
        <v>208</v>
      </c>
      <c r="W6" s="245" t="s">
        <v>209</v>
      </c>
      <c r="X6" s="245" t="s">
        <v>210</v>
      </c>
      <c r="Y6" s="504"/>
      <c r="Z6" s="245">
        <v>2</v>
      </c>
      <c r="AA6" s="245">
        <v>3</v>
      </c>
      <c r="AB6" s="245">
        <v>4</v>
      </c>
      <c r="AC6" s="504"/>
      <c r="AD6" s="504"/>
      <c r="AE6" s="522" t="s">
        <v>211</v>
      </c>
      <c r="AF6" s="522" t="s">
        <v>212</v>
      </c>
      <c r="AG6" s="522" t="s">
        <v>213</v>
      </c>
      <c r="AH6" s="515"/>
      <c r="AI6" s="518"/>
      <c r="AJ6" s="518"/>
      <c r="AK6" s="518"/>
      <c r="AL6" s="518"/>
      <c r="AM6" s="253"/>
    </row>
    <row r="7" spans="1:46" s="251" customFormat="1" ht="37.15" customHeight="1" x14ac:dyDescent="0.4">
      <c r="A7" s="524" t="s">
        <v>214</v>
      </c>
      <c r="B7" s="525"/>
      <c r="C7" s="255" t="s">
        <v>215</v>
      </c>
      <c r="D7" s="255" t="s">
        <v>216</v>
      </c>
      <c r="E7" s="255" t="s">
        <v>218</v>
      </c>
      <c r="F7" s="255" t="s">
        <v>219</v>
      </c>
      <c r="G7" s="255" t="s">
        <v>220</v>
      </c>
      <c r="H7" s="255" t="s">
        <v>221</v>
      </c>
      <c r="I7" s="255" t="s">
        <v>222</v>
      </c>
      <c r="J7" s="256" t="s">
        <v>223</v>
      </c>
      <c r="K7" s="255" t="s">
        <v>224</v>
      </c>
      <c r="L7" s="255" t="s">
        <v>225</v>
      </c>
      <c r="M7" s="505"/>
      <c r="N7" s="255" t="s">
        <v>227</v>
      </c>
      <c r="O7" s="255" t="s">
        <v>228</v>
      </c>
      <c r="P7" s="255" t="s">
        <v>229</v>
      </c>
      <c r="Q7" s="255" t="s">
        <v>230</v>
      </c>
      <c r="R7" s="255" t="s">
        <v>351</v>
      </c>
      <c r="S7" s="255" t="s">
        <v>231</v>
      </c>
      <c r="T7" s="255" t="s">
        <v>232</v>
      </c>
      <c r="U7" s="255" t="s">
        <v>233</v>
      </c>
      <c r="V7" s="252" t="s">
        <v>234</v>
      </c>
      <c r="W7" s="212" t="s">
        <v>235</v>
      </c>
      <c r="X7" s="252" t="s">
        <v>236</v>
      </c>
      <c r="Y7" s="505"/>
      <c r="Z7" s="256" t="s">
        <v>352</v>
      </c>
      <c r="AA7" s="312" t="s">
        <v>353</v>
      </c>
      <c r="AB7" s="312" t="s">
        <v>354</v>
      </c>
      <c r="AC7" s="505"/>
      <c r="AD7" s="505"/>
      <c r="AE7" s="523"/>
      <c r="AF7" s="523"/>
      <c r="AG7" s="523"/>
      <c r="AH7" s="516"/>
      <c r="AI7" s="519"/>
      <c r="AJ7" s="519"/>
      <c r="AK7" s="519"/>
      <c r="AL7" s="519"/>
      <c r="AM7" s="250"/>
    </row>
    <row r="8" spans="1:46" ht="36" customHeight="1" x14ac:dyDescent="0.4">
      <c r="A8" s="477" t="s">
        <v>355</v>
      </c>
      <c r="B8" s="292" t="s">
        <v>269</v>
      </c>
      <c r="C8" s="306">
        <v>3802</v>
      </c>
      <c r="D8" s="306">
        <v>1199</v>
      </c>
      <c r="E8" s="306">
        <v>752</v>
      </c>
      <c r="F8" s="306">
        <v>1319</v>
      </c>
      <c r="G8" s="306">
        <v>4236</v>
      </c>
      <c r="H8" s="306">
        <v>2058</v>
      </c>
      <c r="I8" s="310">
        <v>1552</v>
      </c>
      <c r="J8" s="307">
        <v>365</v>
      </c>
      <c r="K8" s="306">
        <v>337</v>
      </c>
      <c r="L8" s="307">
        <v>1496</v>
      </c>
      <c r="M8" s="311">
        <f>SUM(C8:L8)</f>
        <v>17116</v>
      </c>
      <c r="N8" s="306">
        <v>1169</v>
      </c>
      <c r="O8" s="306">
        <v>2510</v>
      </c>
      <c r="P8" s="306">
        <v>1976</v>
      </c>
      <c r="Q8" s="306">
        <v>2990</v>
      </c>
      <c r="R8" s="306">
        <v>79</v>
      </c>
      <c r="S8" s="306">
        <v>2378</v>
      </c>
      <c r="T8" s="306">
        <v>792</v>
      </c>
      <c r="U8" s="306">
        <v>338</v>
      </c>
      <c r="V8" s="306">
        <v>784</v>
      </c>
      <c r="W8" s="309">
        <v>238</v>
      </c>
      <c r="X8" s="309">
        <v>130</v>
      </c>
      <c r="Y8" s="286">
        <f>SUM(N8:X8)</f>
        <v>13384</v>
      </c>
      <c r="Z8" s="307">
        <v>13518</v>
      </c>
      <c r="AA8" s="306">
        <v>16923</v>
      </c>
      <c r="AB8" s="307">
        <v>33901</v>
      </c>
      <c r="AC8" s="286">
        <f>SUM(Z8:AB8)</f>
        <v>64342</v>
      </c>
      <c r="AD8" s="287">
        <f>M8+Y8+AC8</f>
        <v>94842</v>
      </c>
      <c r="AE8" s="278">
        <v>12</v>
      </c>
      <c r="AF8" s="278">
        <v>7</v>
      </c>
      <c r="AG8" s="278">
        <v>5</v>
      </c>
      <c r="AH8" s="279">
        <f>SUM(AE8:AG8)</f>
        <v>24</v>
      </c>
      <c r="AI8" s="478">
        <v>1949</v>
      </c>
      <c r="AJ8" s="478">
        <v>2901</v>
      </c>
      <c r="AK8" s="478">
        <v>2600</v>
      </c>
      <c r="AL8" s="478">
        <f>SUM(AI8:AK13)</f>
        <v>7450</v>
      </c>
    </row>
    <row r="9" spans="1:46" ht="36" customHeight="1" x14ac:dyDescent="0.4">
      <c r="A9" s="477"/>
      <c r="B9" s="304" t="s">
        <v>265</v>
      </c>
      <c r="C9" s="258">
        <v>17.108999999999998</v>
      </c>
      <c r="D9" s="258">
        <v>5.3954999999999993</v>
      </c>
      <c r="E9" s="258">
        <v>3.3839999999999999</v>
      </c>
      <c r="F9" s="258">
        <v>0</v>
      </c>
      <c r="G9" s="258">
        <v>0</v>
      </c>
      <c r="H9" s="258">
        <v>0</v>
      </c>
      <c r="I9" s="258">
        <v>0</v>
      </c>
      <c r="J9" s="258">
        <v>259</v>
      </c>
      <c r="K9" s="258">
        <v>1.5165</v>
      </c>
      <c r="L9" s="258">
        <v>6.7319999999999993</v>
      </c>
      <c r="M9" s="311">
        <f>SUM(C9:L9)</f>
        <v>293.13700000000006</v>
      </c>
      <c r="N9" s="258">
        <v>32.69</v>
      </c>
      <c r="O9" s="258">
        <v>0</v>
      </c>
      <c r="P9" s="258">
        <v>0</v>
      </c>
      <c r="Q9" s="258">
        <v>29.900000000000002</v>
      </c>
      <c r="R9" s="258"/>
      <c r="S9" s="258">
        <v>0</v>
      </c>
      <c r="T9" s="258">
        <v>0</v>
      </c>
      <c r="U9" s="258">
        <v>0</v>
      </c>
      <c r="V9" s="258">
        <v>156.80000000000001</v>
      </c>
      <c r="W9" s="258">
        <v>0</v>
      </c>
      <c r="X9" s="258">
        <v>0</v>
      </c>
      <c r="Y9" s="286">
        <f>SUM(N9:X9)</f>
        <v>219.39000000000001</v>
      </c>
      <c r="Z9" s="258">
        <v>0</v>
      </c>
      <c r="AA9" s="258">
        <v>0</v>
      </c>
      <c r="AB9" s="258">
        <v>0</v>
      </c>
      <c r="AC9" s="286">
        <f t="shared" ref="AC9:AC10" si="0">SUM(Z9:AB9)</f>
        <v>0</v>
      </c>
      <c r="AD9" s="287">
        <f t="shared" ref="AD9" si="1">M9+Y9+AC9</f>
        <v>512.52700000000004</v>
      </c>
      <c r="AE9" s="278"/>
      <c r="AF9" s="278"/>
      <c r="AG9" s="278"/>
      <c r="AH9" s="279"/>
      <c r="AI9" s="479"/>
      <c r="AJ9" s="479"/>
      <c r="AK9" s="479"/>
      <c r="AL9" s="479"/>
    </row>
    <row r="10" spans="1:46" ht="36" customHeight="1" x14ac:dyDescent="0.4">
      <c r="A10" s="477"/>
      <c r="B10" s="304" t="s">
        <v>284</v>
      </c>
      <c r="C10" s="114">
        <v>4541</v>
      </c>
      <c r="D10" s="114">
        <v>1601</v>
      </c>
      <c r="E10" s="114">
        <v>913</v>
      </c>
      <c r="F10" s="114">
        <v>1710</v>
      </c>
      <c r="G10" s="114">
        <v>4268</v>
      </c>
      <c r="H10" s="114">
        <v>2553</v>
      </c>
      <c r="I10" s="114">
        <v>1576</v>
      </c>
      <c r="J10" s="114">
        <v>624</v>
      </c>
      <c r="K10" s="114">
        <v>470</v>
      </c>
      <c r="L10" s="114">
        <v>2470</v>
      </c>
      <c r="M10" s="311">
        <f>SUM(C10:L10)</f>
        <v>20726</v>
      </c>
      <c r="N10" s="114">
        <v>1403</v>
      </c>
      <c r="O10" s="114">
        <v>2766</v>
      </c>
      <c r="P10" s="114">
        <v>2020</v>
      </c>
      <c r="Q10" s="114">
        <v>3192</v>
      </c>
      <c r="R10" s="114">
        <v>81</v>
      </c>
      <c r="S10" s="114">
        <v>2378</v>
      </c>
      <c r="T10" s="114">
        <v>859</v>
      </c>
      <c r="U10" s="114">
        <v>338</v>
      </c>
      <c r="V10" s="114">
        <v>990</v>
      </c>
      <c r="W10" s="114">
        <v>252</v>
      </c>
      <c r="X10" s="114">
        <v>164</v>
      </c>
      <c r="Y10" s="286">
        <f>SUM(N10:X10)</f>
        <v>14443</v>
      </c>
      <c r="Z10" s="114">
        <v>44786</v>
      </c>
      <c r="AA10" s="114">
        <v>25216</v>
      </c>
      <c r="AB10" s="114">
        <v>52576</v>
      </c>
      <c r="AC10" s="286">
        <f t="shared" si="0"/>
        <v>122578</v>
      </c>
      <c r="AD10" s="287">
        <f>M10+Y10+AC10</f>
        <v>157747</v>
      </c>
      <c r="AE10" s="263"/>
      <c r="AF10" s="263"/>
      <c r="AG10" s="263"/>
      <c r="AH10" s="263"/>
      <c r="AI10" s="479"/>
      <c r="AJ10" s="479"/>
      <c r="AK10" s="479"/>
      <c r="AL10" s="479"/>
    </row>
    <row r="11" spans="1:46" ht="36" customHeight="1" x14ac:dyDescent="0.4">
      <c r="A11" s="477"/>
      <c r="B11" s="304" t="s">
        <v>285</v>
      </c>
      <c r="C11" s="466">
        <f>C8+D8+E8+C9+D9+E9</f>
        <v>5778.8885</v>
      </c>
      <c r="D11" s="467"/>
      <c r="E11" s="468"/>
      <c r="F11" s="466">
        <f>F8+G8+H8+I8+F9+G9+H9+I9</f>
        <v>9165</v>
      </c>
      <c r="G11" s="467"/>
      <c r="H11" s="467"/>
      <c r="I11" s="468"/>
      <c r="J11" s="469">
        <f>J8+K8+L8+J9+K9+L9</f>
        <v>2465.2485000000001</v>
      </c>
      <c r="K11" s="470"/>
      <c r="L11" s="471"/>
      <c r="M11" s="286"/>
      <c r="N11" s="469">
        <f>N8+O8+P8+N9+O9+P9</f>
        <v>5687.69</v>
      </c>
      <c r="O11" s="470"/>
      <c r="P11" s="471"/>
      <c r="Q11" s="114"/>
      <c r="R11" s="114"/>
      <c r="S11" s="114"/>
      <c r="T11" s="114"/>
      <c r="U11" s="114"/>
      <c r="V11" s="114"/>
      <c r="W11" s="114"/>
      <c r="X11" s="114"/>
      <c r="Y11" s="286"/>
      <c r="Z11" s="469">
        <f>Z8+AA8+AB8+Z9+AA9+AB9</f>
        <v>64342</v>
      </c>
      <c r="AA11" s="470"/>
      <c r="AB11" s="471"/>
      <c r="AC11" s="286"/>
      <c r="AD11" s="287"/>
      <c r="AE11" s="263"/>
      <c r="AF11" s="263"/>
      <c r="AG11" s="263"/>
      <c r="AH11" s="263"/>
      <c r="AI11" s="479"/>
      <c r="AJ11" s="479"/>
      <c r="AK11" s="479"/>
      <c r="AL11" s="479"/>
    </row>
    <row r="12" spans="1:46" ht="36" customHeight="1" x14ac:dyDescent="0.4">
      <c r="A12" s="477"/>
      <c r="B12" s="304" t="s">
        <v>247</v>
      </c>
      <c r="C12" s="466">
        <f>C10+D10+E10</f>
        <v>7055</v>
      </c>
      <c r="D12" s="467"/>
      <c r="E12" s="468"/>
      <c r="F12" s="466">
        <f>F10+G10+H10+I10</f>
        <v>10107</v>
      </c>
      <c r="G12" s="467"/>
      <c r="H12" s="467"/>
      <c r="I12" s="468"/>
      <c r="J12" s="469">
        <f>J10+K10+L10</f>
        <v>3564</v>
      </c>
      <c r="K12" s="470"/>
      <c r="L12" s="471"/>
      <c r="M12" s="286"/>
      <c r="N12" s="469">
        <f>N10+O10+P10</f>
        <v>6189</v>
      </c>
      <c r="O12" s="470"/>
      <c r="P12" s="471"/>
      <c r="Q12" s="114"/>
      <c r="R12" s="114"/>
      <c r="S12" s="114"/>
      <c r="T12" s="114"/>
      <c r="U12" s="114"/>
      <c r="V12" s="114"/>
      <c r="W12" s="114"/>
      <c r="X12" s="114"/>
      <c r="Y12" s="286"/>
      <c r="Z12" s="469">
        <f>Z10+AA10+AB10</f>
        <v>122578</v>
      </c>
      <c r="AA12" s="470"/>
      <c r="AB12" s="471"/>
      <c r="AC12" s="286"/>
      <c r="AD12" s="287"/>
      <c r="AE12" s="263"/>
      <c r="AF12" s="263"/>
      <c r="AG12" s="263"/>
      <c r="AH12" s="263"/>
      <c r="AI12" s="479"/>
      <c r="AJ12" s="479"/>
      <c r="AK12" s="479"/>
      <c r="AL12" s="479"/>
    </row>
    <row r="13" spans="1:46" ht="36" customHeight="1" x14ac:dyDescent="0.4">
      <c r="A13" s="477"/>
      <c r="B13" s="297" t="s">
        <v>262</v>
      </c>
      <c r="C13" s="472">
        <f>C11/C12</f>
        <v>0.81911956059532243</v>
      </c>
      <c r="D13" s="475"/>
      <c r="E13" s="476"/>
      <c r="F13" s="472">
        <f>F11/F12</f>
        <v>0.90679726921935289</v>
      </c>
      <c r="G13" s="475"/>
      <c r="H13" s="475"/>
      <c r="I13" s="476"/>
      <c r="J13" s="472">
        <f>J11/J12</f>
        <v>0.69170833333333337</v>
      </c>
      <c r="K13" s="473"/>
      <c r="L13" s="474"/>
      <c r="M13" s="290">
        <f>(M8+M9)/M10</f>
        <v>0.83996608125060301</v>
      </c>
      <c r="N13" s="472">
        <f>N11/N12</f>
        <v>0.91899983842300847</v>
      </c>
      <c r="O13" s="473"/>
      <c r="P13" s="474"/>
      <c r="Q13" s="280">
        <f t="shared" ref="Q13:X13" si="2">(Q8+Q9)/Q10</f>
        <v>0.94608395989974936</v>
      </c>
      <c r="R13" s="280">
        <f t="shared" si="2"/>
        <v>0.97530864197530864</v>
      </c>
      <c r="S13" s="280">
        <f t="shared" si="2"/>
        <v>1</v>
      </c>
      <c r="T13" s="280">
        <f t="shared" si="2"/>
        <v>0.92200232828870776</v>
      </c>
      <c r="U13" s="280">
        <f t="shared" si="2"/>
        <v>1</v>
      </c>
      <c r="V13" s="280">
        <f t="shared" si="2"/>
        <v>0.95030303030303021</v>
      </c>
      <c r="W13" s="280">
        <f t="shared" si="2"/>
        <v>0.94444444444444442</v>
      </c>
      <c r="X13" s="280">
        <f t="shared" si="2"/>
        <v>0.79268292682926833</v>
      </c>
      <c r="Y13" s="290">
        <f>(Y8+Y9)/Y10</f>
        <v>0.94186734058021182</v>
      </c>
      <c r="Z13" s="472">
        <f>Z11/Z12</f>
        <v>0.52490659008957563</v>
      </c>
      <c r="AA13" s="473"/>
      <c r="AB13" s="474"/>
      <c r="AC13" s="290">
        <f>(AC8+AC9)/AC10</f>
        <v>0.52490659008957563</v>
      </c>
      <c r="AD13" s="291">
        <f>(AD8+AD9)/AD10</f>
        <v>0.60447759386866318</v>
      </c>
      <c r="AE13" s="281">
        <f>AE8/AH8</f>
        <v>0.5</v>
      </c>
      <c r="AF13" s="281">
        <f>AF8/AH8</f>
        <v>0.29166666666666669</v>
      </c>
      <c r="AG13" s="281">
        <f>AG8/AH8</f>
        <v>0.20833333333333334</v>
      </c>
      <c r="AH13" s="305">
        <f>SUM(AE13:AG13)</f>
        <v>1</v>
      </c>
      <c r="AI13" s="480"/>
      <c r="AJ13" s="480"/>
      <c r="AK13" s="480"/>
      <c r="AL13" s="480"/>
    </row>
    <row r="14" spans="1:46" ht="36" customHeight="1" x14ac:dyDescent="0.4">
      <c r="A14" s="541" t="s">
        <v>428</v>
      </c>
      <c r="B14" s="318" t="s">
        <v>269</v>
      </c>
      <c r="C14" s="319">
        <v>3858</v>
      </c>
      <c r="D14" s="319">
        <v>1184</v>
      </c>
      <c r="E14" s="319">
        <v>749</v>
      </c>
      <c r="F14" s="319">
        <v>1356</v>
      </c>
      <c r="G14" s="319">
        <v>4234</v>
      </c>
      <c r="H14" s="319">
        <v>2058</v>
      </c>
      <c r="I14" s="320">
        <v>1544</v>
      </c>
      <c r="J14" s="321">
        <v>577</v>
      </c>
      <c r="K14" s="319">
        <v>343</v>
      </c>
      <c r="L14" s="321">
        <v>1501</v>
      </c>
      <c r="M14" s="311">
        <f>SUM(C14:L14)</f>
        <v>17404</v>
      </c>
      <c r="N14" s="319">
        <v>1166</v>
      </c>
      <c r="O14" s="319">
        <v>2502</v>
      </c>
      <c r="P14" s="319">
        <v>1981</v>
      </c>
      <c r="Q14" s="319">
        <v>2910</v>
      </c>
      <c r="R14" s="319">
        <v>79</v>
      </c>
      <c r="S14" s="319">
        <v>2378</v>
      </c>
      <c r="T14" s="319">
        <v>790</v>
      </c>
      <c r="U14" s="319">
        <v>338</v>
      </c>
      <c r="V14" s="319">
        <v>785</v>
      </c>
      <c r="W14" s="309">
        <v>240</v>
      </c>
      <c r="X14" s="309">
        <v>130</v>
      </c>
      <c r="Y14" s="322">
        <f>SUM(N14:X14)</f>
        <v>13299</v>
      </c>
      <c r="Z14" s="321">
        <v>16141</v>
      </c>
      <c r="AA14" s="319">
        <v>16923</v>
      </c>
      <c r="AB14" s="321">
        <v>31665</v>
      </c>
      <c r="AC14" s="322">
        <f>SUM(Z14:AB14)</f>
        <v>64729</v>
      </c>
      <c r="AD14" s="323">
        <f>M14+Y14+AC14</f>
        <v>95432</v>
      </c>
      <c r="AE14" s="324">
        <v>12</v>
      </c>
      <c r="AF14" s="324">
        <v>6</v>
      </c>
      <c r="AG14" s="324">
        <v>6</v>
      </c>
      <c r="AH14" s="325">
        <f>SUM(AE14:AG14)</f>
        <v>24</v>
      </c>
      <c r="AI14" s="531">
        <v>1960</v>
      </c>
      <c r="AJ14" s="531">
        <v>2045</v>
      </c>
      <c r="AK14" s="531">
        <v>3283</v>
      </c>
      <c r="AL14" s="531">
        <f>SUM(AI14:AK19)</f>
        <v>7288</v>
      </c>
    </row>
    <row r="15" spans="1:46" ht="36" customHeight="1" x14ac:dyDescent="0.4">
      <c r="A15" s="541"/>
      <c r="B15" s="326" t="s">
        <v>265</v>
      </c>
      <c r="C15" s="327">
        <v>17.360999999999997</v>
      </c>
      <c r="D15" s="327">
        <v>5.3279999999999994</v>
      </c>
      <c r="E15" s="327">
        <v>3.3704999999999998</v>
      </c>
      <c r="F15" s="327">
        <v>0</v>
      </c>
      <c r="G15" s="327">
        <v>0</v>
      </c>
      <c r="H15" s="327">
        <v>0</v>
      </c>
      <c r="I15" s="327">
        <v>0</v>
      </c>
      <c r="J15" s="327">
        <v>47</v>
      </c>
      <c r="K15" s="327">
        <v>1.5434999999999999</v>
      </c>
      <c r="L15" s="327">
        <v>6.7544999999999993</v>
      </c>
      <c r="M15" s="311">
        <f>SUM(C15:L15)</f>
        <v>81.357499999999987</v>
      </c>
      <c r="N15" s="327">
        <v>32.659999999999997</v>
      </c>
      <c r="O15" s="327">
        <v>0</v>
      </c>
      <c r="P15" s="327">
        <v>0</v>
      </c>
      <c r="Q15" s="327">
        <v>29.1</v>
      </c>
      <c r="R15" s="327">
        <v>0</v>
      </c>
      <c r="S15" s="327">
        <v>0</v>
      </c>
      <c r="T15" s="327">
        <v>0</v>
      </c>
      <c r="U15" s="327">
        <v>0</v>
      </c>
      <c r="V15" s="327">
        <v>157</v>
      </c>
      <c r="W15" s="327">
        <v>0</v>
      </c>
      <c r="X15" s="327">
        <v>0</v>
      </c>
      <c r="Y15" s="322">
        <f>SUM(N15:X15)</f>
        <v>218.76</v>
      </c>
      <c r="Z15" s="327">
        <v>0</v>
      </c>
      <c r="AA15" s="327">
        <v>0</v>
      </c>
      <c r="AB15" s="327">
        <v>0</v>
      </c>
      <c r="AC15" s="322">
        <f t="shared" ref="AC15:AC16" si="3">SUM(Z15:AB15)</f>
        <v>0</v>
      </c>
      <c r="AD15" s="323">
        <f t="shared" ref="AD15" si="4">M15+Y15+AC15</f>
        <v>300.11749999999995</v>
      </c>
      <c r="AE15" s="324"/>
      <c r="AF15" s="324"/>
      <c r="AG15" s="324"/>
      <c r="AH15" s="325"/>
      <c r="AI15" s="532"/>
      <c r="AJ15" s="532"/>
      <c r="AK15" s="532"/>
      <c r="AL15" s="532"/>
    </row>
    <row r="16" spans="1:46" ht="36" customHeight="1" x14ac:dyDescent="0.4">
      <c r="A16" s="541"/>
      <c r="B16" s="326" t="s">
        <v>284</v>
      </c>
      <c r="C16" s="114">
        <v>4541</v>
      </c>
      <c r="D16" s="114">
        <v>1601</v>
      </c>
      <c r="E16" s="114">
        <v>913</v>
      </c>
      <c r="F16" s="114">
        <v>1710</v>
      </c>
      <c r="G16" s="114">
        <v>4268</v>
      </c>
      <c r="H16" s="114">
        <v>2553</v>
      </c>
      <c r="I16" s="114">
        <v>1576</v>
      </c>
      <c r="J16" s="114">
        <v>624</v>
      </c>
      <c r="K16" s="114">
        <v>470</v>
      </c>
      <c r="L16" s="114">
        <v>2470</v>
      </c>
      <c r="M16" s="311">
        <f>SUM(C16:L16)</f>
        <v>20726</v>
      </c>
      <c r="N16" s="114">
        <v>1403</v>
      </c>
      <c r="O16" s="114">
        <v>2766</v>
      </c>
      <c r="P16" s="114">
        <v>2020</v>
      </c>
      <c r="Q16" s="114">
        <v>3192</v>
      </c>
      <c r="R16" s="114">
        <v>81</v>
      </c>
      <c r="S16" s="114">
        <v>2378</v>
      </c>
      <c r="T16" s="114">
        <v>859</v>
      </c>
      <c r="U16" s="114">
        <v>338</v>
      </c>
      <c r="V16" s="114">
        <v>990</v>
      </c>
      <c r="W16" s="114">
        <v>252</v>
      </c>
      <c r="X16" s="114">
        <v>164</v>
      </c>
      <c r="Y16" s="322">
        <f>SUM(N16:X16)</f>
        <v>14443</v>
      </c>
      <c r="Z16" s="114">
        <v>44786</v>
      </c>
      <c r="AA16" s="114">
        <v>25216</v>
      </c>
      <c r="AB16" s="114">
        <v>52576</v>
      </c>
      <c r="AC16" s="322">
        <f t="shared" si="3"/>
        <v>122578</v>
      </c>
      <c r="AD16" s="323">
        <f>M16+Y16+AC16</f>
        <v>157747</v>
      </c>
      <c r="AE16" s="328"/>
      <c r="AF16" s="328"/>
      <c r="AG16" s="328"/>
      <c r="AH16" s="328"/>
      <c r="AI16" s="532"/>
      <c r="AJ16" s="532"/>
      <c r="AK16" s="532"/>
      <c r="AL16" s="532"/>
    </row>
    <row r="17" spans="1:38" ht="36" customHeight="1" x14ac:dyDescent="0.4">
      <c r="A17" s="541"/>
      <c r="B17" s="326" t="s">
        <v>285</v>
      </c>
      <c r="C17" s="466">
        <f>C14+D14+E14+C15+D15+E15</f>
        <v>5817.0595000000003</v>
      </c>
      <c r="D17" s="467"/>
      <c r="E17" s="468"/>
      <c r="F17" s="466">
        <f>F14+G14+H14+I14+F15+G15+H15+I15</f>
        <v>9192</v>
      </c>
      <c r="G17" s="467"/>
      <c r="H17" s="467"/>
      <c r="I17" s="468"/>
      <c r="J17" s="469">
        <f>J14+K14+L14+J15+K15+L15</f>
        <v>2476.2980000000002</v>
      </c>
      <c r="K17" s="534"/>
      <c r="L17" s="535"/>
      <c r="M17" s="322"/>
      <c r="N17" s="469">
        <f>N14+O14+P14+N15+O15+P15</f>
        <v>5681.66</v>
      </c>
      <c r="O17" s="534"/>
      <c r="P17" s="535"/>
      <c r="Q17" s="114"/>
      <c r="R17" s="114"/>
      <c r="S17" s="114"/>
      <c r="T17" s="114"/>
      <c r="U17" s="114"/>
      <c r="V17" s="114"/>
      <c r="W17" s="114"/>
      <c r="X17" s="114"/>
      <c r="Y17" s="322"/>
      <c r="Z17" s="469">
        <f>Z14+AA14+AB14+Z15+AA15+AB15</f>
        <v>64729</v>
      </c>
      <c r="AA17" s="534"/>
      <c r="AB17" s="535"/>
      <c r="AC17" s="322"/>
      <c r="AD17" s="323"/>
      <c r="AE17" s="328"/>
      <c r="AF17" s="328"/>
      <c r="AG17" s="328"/>
      <c r="AH17" s="328"/>
      <c r="AI17" s="532"/>
      <c r="AJ17" s="532"/>
      <c r="AK17" s="532"/>
      <c r="AL17" s="532"/>
    </row>
    <row r="18" spans="1:38" ht="36" customHeight="1" x14ac:dyDescent="0.4">
      <c r="A18" s="541"/>
      <c r="B18" s="326" t="s">
        <v>247</v>
      </c>
      <c r="C18" s="466">
        <f>C16+D16+E16</f>
        <v>7055</v>
      </c>
      <c r="D18" s="467"/>
      <c r="E18" s="468"/>
      <c r="F18" s="466">
        <f>F16+G16+H16+I16</f>
        <v>10107</v>
      </c>
      <c r="G18" s="467"/>
      <c r="H18" s="467"/>
      <c r="I18" s="468"/>
      <c r="J18" s="469">
        <f>J16+K16+L16</f>
        <v>3564</v>
      </c>
      <c r="K18" s="534"/>
      <c r="L18" s="535"/>
      <c r="M18" s="322"/>
      <c r="N18" s="469">
        <f>N16+O16+P16</f>
        <v>6189</v>
      </c>
      <c r="O18" s="534"/>
      <c r="P18" s="535"/>
      <c r="Q18" s="114"/>
      <c r="R18" s="114"/>
      <c r="S18" s="114"/>
      <c r="T18" s="114"/>
      <c r="U18" s="114"/>
      <c r="V18" s="114"/>
      <c r="W18" s="114"/>
      <c r="X18" s="114"/>
      <c r="Y18" s="322"/>
      <c r="Z18" s="469">
        <f>Z16+AA16+AB16</f>
        <v>122578</v>
      </c>
      <c r="AA18" s="534"/>
      <c r="AB18" s="535"/>
      <c r="AC18" s="322"/>
      <c r="AD18" s="323"/>
      <c r="AE18" s="328"/>
      <c r="AF18" s="328"/>
      <c r="AG18" s="328"/>
      <c r="AH18" s="328"/>
      <c r="AI18" s="532"/>
      <c r="AJ18" s="532"/>
      <c r="AK18" s="532"/>
      <c r="AL18" s="532"/>
    </row>
    <row r="19" spans="1:38" ht="36" customHeight="1" x14ac:dyDescent="0.4">
      <c r="A19" s="541"/>
      <c r="B19" s="329" t="s">
        <v>262</v>
      </c>
      <c r="C19" s="536">
        <f>C17/C18</f>
        <v>0.8245300496102056</v>
      </c>
      <c r="D19" s="537"/>
      <c r="E19" s="538"/>
      <c r="F19" s="536">
        <f>F17/F18</f>
        <v>0.90946868506975365</v>
      </c>
      <c r="G19" s="537"/>
      <c r="H19" s="537"/>
      <c r="I19" s="538"/>
      <c r="J19" s="536">
        <f>J17/J18</f>
        <v>0.69480864197530867</v>
      </c>
      <c r="K19" s="539"/>
      <c r="L19" s="540"/>
      <c r="M19" s="330">
        <f>(M14+M15)/M16</f>
        <v>0.84364361188844916</v>
      </c>
      <c r="N19" s="536">
        <f>N17/N18</f>
        <v>0.91802552916464697</v>
      </c>
      <c r="O19" s="539"/>
      <c r="P19" s="540"/>
      <c r="Q19" s="331">
        <f t="shared" ref="Q19:X19" si="5">(Q14+Q15)/Q16</f>
        <v>0.9207706766917293</v>
      </c>
      <c r="R19" s="331">
        <f t="shared" si="5"/>
        <v>0.97530864197530864</v>
      </c>
      <c r="S19" s="331">
        <f t="shared" si="5"/>
        <v>1</v>
      </c>
      <c r="T19" s="331">
        <f t="shared" si="5"/>
        <v>0.91967403958090799</v>
      </c>
      <c r="U19" s="331">
        <f t="shared" si="5"/>
        <v>1</v>
      </c>
      <c r="V19" s="331">
        <f t="shared" si="5"/>
        <v>0.95151515151515154</v>
      </c>
      <c r="W19" s="331">
        <f t="shared" si="5"/>
        <v>0.95238095238095233</v>
      </c>
      <c r="X19" s="331">
        <f t="shared" si="5"/>
        <v>0.79268292682926833</v>
      </c>
      <c r="Y19" s="330">
        <f>(Y14+Y15)/Y16</f>
        <v>0.93593851692861596</v>
      </c>
      <c r="Z19" s="536">
        <f>Z17/Z18</f>
        <v>0.52806376348121198</v>
      </c>
      <c r="AA19" s="539"/>
      <c r="AB19" s="540"/>
      <c r="AC19" s="330">
        <f>(AC14+AC15)/AC16</f>
        <v>0.52806376348121198</v>
      </c>
      <c r="AD19" s="332">
        <f>(AD14+AD15)/AD16</f>
        <v>0.60687124002358206</v>
      </c>
      <c r="AE19" s="333">
        <f>AE14/AH14</f>
        <v>0.5</v>
      </c>
      <c r="AF19" s="333">
        <f>AF14/AH14</f>
        <v>0.25</v>
      </c>
      <c r="AG19" s="333">
        <f>AG14/AH14</f>
        <v>0.25</v>
      </c>
      <c r="AH19" s="334">
        <f>SUM(AE19:AG19)</f>
        <v>1</v>
      </c>
      <c r="AI19" s="533"/>
      <c r="AJ19" s="533"/>
      <c r="AK19" s="533"/>
      <c r="AL19" s="533"/>
    </row>
  </sheetData>
  <mergeCells count="66">
    <mergeCell ref="J19:L19"/>
    <mergeCell ref="N19:P19"/>
    <mergeCell ref="Z19:AB19"/>
    <mergeCell ref="A14:A19"/>
    <mergeCell ref="AI14:AI19"/>
    <mergeCell ref="AJ14:AJ19"/>
    <mergeCell ref="AK14:AK19"/>
    <mergeCell ref="AL14:AL19"/>
    <mergeCell ref="C17:E17"/>
    <mergeCell ref="F17:I17"/>
    <mergeCell ref="J17:L17"/>
    <mergeCell ref="N17:P17"/>
    <mergeCell ref="Z17:AB17"/>
    <mergeCell ref="C18:E18"/>
    <mergeCell ref="F18:I18"/>
    <mergeCell ref="J18:L18"/>
    <mergeCell ref="N18:P18"/>
    <mergeCell ref="Z18:AB18"/>
    <mergeCell ref="C19:E19"/>
    <mergeCell ref="F19:I19"/>
    <mergeCell ref="J5:L5"/>
    <mergeCell ref="M5:M7"/>
    <mergeCell ref="N5:T5"/>
    <mergeCell ref="U5:X5"/>
    <mergeCell ref="A2:AI2"/>
    <mergeCell ref="AG3:AH3"/>
    <mergeCell ref="A4:B4"/>
    <mergeCell ref="C4:N4"/>
    <mergeCell ref="P4:Z4"/>
    <mergeCell ref="AB4:AE4"/>
    <mergeCell ref="AJ5:AJ7"/>
    <mergeCell ref="AK5:AK7"/>
    <mergeCell ref="AL5:AL7"/>
    <mergeCell ref="A6:B6"/>
    <mergeCell ref="AE6:AE7"/>
    <mergeCell ref="AF6:AF7"/>
    <mergeCell ref="AG6:AG7"/>
    <mergeCell ref="A7:B7"/>
    <mergeCell ref="Y5:Y7"/>
    <mergeCell ref="Z5:AB5"/>
    <mergeCell ref="AC5:AC7"/>
    <mergeCell ref="AD5:AD7"/>
    <mergeCell ref="AH5:AH7"/>
    <mergeCell ref="AI5:AI7"/>
    <mergeCell ref="A5:B5"/>
    <mergeCell ref="C5:I5"/>
    <mergeCell ref="AK8:AK13"/>
    <mergeCell ref="AL8:AL13"/>
    <mergeCell ref="C11:E11"/>
    <mergeCell ref="F11:I11"/>
    <mergeCell ref="J11:L11"/>
    <mergeCell ref="N11:P11"/>
    <mergeCell ref="Z11:AB11"/>
    <mergeCell ref="C13:E13"/>
    <mergeCell ref="F13:I13"/>
    <mergeCell ref="J13:L13"/>
    <mergeCell ref="N13:P13"/>
    <mergeCell ref="Z13:AB13"/>
    <mergeCell ref="C12:E12"/>
    <mergeCell ref="F12:I12"/>
    <mergeCell ref="J12:L12"/>
    <mergeCell ref="N12:P12"/>
    <mergeCell ref="Z12:AB12"/>
    <mergeCell ref="A8:A13"/>
    <mergeCell ref="AI8:AI13"/>
    <mergeCell ref="AJ8:AJ13"/>
  </mergeCells>
  <phoneticPr fontId="1" type="noConversion"/>
  <printOptions horizontalCentered="1"/>
  <pageMargins left="0" right="0" top="0.39370078740157483" bottom="0" header="0" footer="0"/>
  <pageSetup paperSize="9" scale="35" orientation="landscape" r:id="rId1"/>
  <headerFooter>
    <oddFooter>&amp;C&amp;"標楷體,標準"P10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2:R107"/>
  <sheetViews>
    <sheetView zoomScale="85" zoomScaleNormal="85" workbookViewId="0">
      <pane xSplit="3" ySplit="2" topLeftCell="D76" activePane="bottomRight" state="frozen"/>
      <selection pane="topRight" activeCell="D1" sqref="D1"/>
      <selection pane="bottomLeft" activeCell="A3" sqref="A3"/>
      <selection pane="bottomRight" activeCell="T98" sqref="T98"/>
    </sheetView>
  </sheetViews>
  <sheetFormatPr defaultRowHeight="17" x14ac:dyDescent="0.4"/>
  <cols>
    <col min="1" max="1" width="9.90625" customWidth="1"/>
    <col min="4" max="4" width="10.90625" customWidth="1"/>
    <col min="5" max="14" width="9" customWidth="1"/>
    <col min="15" max="15" width="9.08984375" customWidth="1"/>
    <col min="16" max="16" width="9.90625" bestFit="1" customWidth="1"/>
    <col min="17" max="18" width="9.08984375" bestFit="1" customWidth="1"/>
  </cols>
  <sheetData>
    <row r="2" spans="1:16" x14ac:dyDescent="0.4">
      <c r="A2" s="556" t="s">
        <v>356</v>
      </c>
      <c r="B2" s="557"/>
      <c r="C2" s="558"/>
      <c r="D2" s="8" t="s">
        <v>357</v>
      </c>
      <c r="E2" s="8" t="s">
        <v>358</v>
      </c>
      <c r="F2" s="8" t="s">
        <v>359</v>
      </c>
      <c r="G2" s="8" t="s">
        <v>360</v>
      </c>
      <c r="H2" s="8" t="s">
        <v>361</v>
      </c>
      <c r="I2" s="8" t="s">
        <v>362</v>
      </c>
      <c r="J2" s="8" t="s">
        <v>363</v>
      </c>
      <c r="K2" s="8" t="s">
        <v>364</v>
      </c>
      <c r="L2" s="8" t="s">
        <v>365</v>
      </c>
      <c r="M2" s="8" t="s">
        <v>366</v>
      </c>
      <c r="N2" s="8" t="s">
        <v>367</v>
      </c>
      <c r="O2" s="8" t="s">
        <v>368</v>
      </c>
      <c r="P2" s="8" t="s">
        <v>369</v>
      </c>
    </row>
    <row r="3" spans="1:16" x14ac:dyDescent="0.4">
      <c r="A3" s="352" t="s">
        <v>370</v>
      </c>
      <c r="B3" s="434" t="s">
        <v>371</v>
      </c>
      <c r="C3" s="2" t="s">
        <v>63</v>
      </c>
      <c r="D3" s="2">
        <v>5209</v>
      </c>
      <c r="E3" s="2">
        <v>3910</v>
      </c>
      <c r="F3" s="2">
        <v>3825</v>
      </c>
      <c r="G3" s="2">
        <v>5081</v>
      </c>
      <c r="H3" s="2">
        <v>4373</v>
      </c>
      <c r="I3" s="2">
        <v>4412</v>
      </c>
      <c r="J3" s="2">
        <v>4886</v>
      </c>
      <c r="K3" s="2">
        <v>3851</v>
      </c>
      <c r="L3" s="2">
        <v>3918</v>
      </c>
      <c r="M3" s="2">
        <v>3585</v>
      </c>
      <c r="N3" s="2">
        <v>4418</v>
      </c>
      <c r="O3" s="2">
        <v>2901</v>
      </c>
      <c r="P3" s="2">
        <v>50369</v>
      </c>
    </row>
    <row r="4" spans="1:16" x14ac:dyDescent="0.4">
      <c r="A4" s="352"/>
      <c r="B4" s="427"/>
      <c r="C4" s="2" t="s">
        <v>66</v>
      </c>
      <c r="D4" s="2">
        <v>9072</v>
      </c>
      <c r="E4" s="2">
        <v>10025</v>
      </c>
      <c r="F4" s="2">
        <v>15303</v>
      </c>
      <c r="G4" s="2">
        <v>14948</v>
      </c>
      <c r="H4" s="2">
        <v>8755</v>
      </c>
      <c r="I4" s="2">
        <v>10066</v>
      </c>
      <c r="J4" s="2">
        <v>10998</v>
      </c>
      <c r="K4" s="2">
        <v>7788</v>
      </c>
      <c r="L4" s="2">
        <v>10408</v>
      </c>
      <c r="M4" s="2">
        <v>15447</v>
      </c>
      <c r="N4" s="2">
        <v>11424</v>
      </c>
      <c r="O4" s="2">
        <v>11286</v>
      </c>
      <c r="P4" s="2">
        <v>135520</v>
      </c>
    </row>
    <row r="5" spans="1:16" x14ac:dyDescent="0.4">
      <c r="A5" s="352"/>
      <c r="B5" s="427"/>
      <c r="C5" s="2" t="s">
        <v>67</v>
      </c>
      <c r="D5" s="2">
        <f>SUM(D3:D4)</f>
        <v>14281</v>
      </c>
      <c r="E5" s="2">
        <f t="shared" ref="E5:P5" si="0">SUM(E3:E4)</f>
        <v>13935</v>
      </c>
      <c r="F5" s="2">
        <f t="shared" si="0"/>
        <v>19128</v>
      </c>
      <c r="G5" s="2">
        <f t="shared" si="0"/>
        <v>20029</v>
      </c>
      <c r="H5" s="2">
        <f t="shared" si="0"/>
        <v>13128</v>
      </c>
      <c r="I5" s="2">
        <f t="shared" si="0"/>
        <v>14478</v>
      </c>
      <c r="J5" s="2">
        <f t="shared" si="0"/>
        <v>15884</v>
      </c>
      <c r="K5" s="2">
        <f t="shared" si="0"/>
        <v>11639</v>
      </c>
      <c r="L5" s="2">
        <f t="shared" si="0"/>
        <v>14326</v>
      </c>
      <c r="M5" s="2">
        <f t="shared" si="0"/>
        <v>19032</v>
      </c>
      <c r="N5" s="2">
        <f t="shared" si="0"/>
        <v>15842</v>
      </c>
      <c r="O5" s="2">
        <f t="shared" si="0"/>
        <v>14187</v>
      </c>
      <c r="P5" s="2">
        <f t="shared" si="0"/>
        <v>185889</v>
      </c>
    </row>
    <row r="6" spans="1:16" x14ac:dyDescent="0.4">
      <c r="A6" s="352"/>
      <c r="B6" s="40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4">
      <c r="A7" s="352"/>
      <c r="B7" s="555" t="s">
        <v>69</v>
      </c>
      <c r="C7" s="2" t="s">
        <v>63</v>
      </c>
      <c r="D7" s="2">
        <v>27.3</v>
      </c>
      <c r="E7" s="2">
        <v>21.5</v>
      </c>
      <c r="F7" s="2">
        <v>38.200000000000003</v>
      </c>
      <c r="G7" s="2">
        <v>44.6</v>
      </c>
      <c r="H7" s="2">
        <v>27.2</v>
      </c>
      <c r="I7" s="2">
        <v>34.799999999999997</v>
      </c>
      <c r="J7" s="2">
        <v>36.1</v>
      </c>
      <c r="K7" s="2">
        <v>22.5</v>
      </c>
      <c r="L7" s="2">
        <v>20.7</v>
      </c>
      <c r="M7" s="2">
        <v>24.5</v>
      </c>
      <c r="N7" s="2">
        <v>21</v>
      </c>
      <c r="O7" s="2">
        <v>32</v>
      </c>
      <c r="P7" s="2">
        <v>350.4</v>
      </c>
    </row>
    <row r="8" spans="1:16" x14ac:dyDescent="0.4">
      <c r="A8" s="352"/>
      <c r="B8" s="383"/>
      <c r="C8" s="2" t="s">
        <v>66</v>
      </c>
      <c r="D8" s="2">
        <v>33.4</v>
      </c>
      <c r="E8" s="2">
        <v>35.4</v>
      </c>
      <c r="F8" s="2">
        <v>71.3</v>
      </c>
      <c r="G8" s="2">
        <v>70.400000000000006</v>
      </c>
      <c r="H8" s="2">
        <v>33.200000000000003</v>
      </c>
      <c r="I8" s="2">
        <v>40.4</v>
      </c>
      <c r="J8" s="2">
        <v>43.1</v>
      </c>
      <c r="K8" s="2">
        <v>26.9</v>
      </c>
      <c r="L8" s="2">
        <v>39.5</v>
      </c>
      <c r="M8" s="2">
        <v>53.4</v>
      </c>
      <c r="N8" s="2">
        <v>52</v>
      </c>
      <c r="O8" s="2">
        <v>54.6</v>
      </c>
      <c r="P8" s="2">
        <f>SUM(D8:O8)</f>
        <v>553.59999999999991</v>
      </c>
    </row>
    <row r="9" spans="1:16" x14ac:dyDescent="0.4">
      <c r="A9" s="352"/>
      <c r="B9" s="383"/>
      <c r="C9" s="2" t="s">
        <v>67</v>
      </c>
      <c r="D9" s="2">
        <f>SUM(D7:D8)</f>
        <v>60.7</v>
      </c>
      <c r="E9" s="2">
        <f t="shared" ref="E9:O9" si="1">SUM(E7:E8)</f>
        <v>56.9</v>
      </c>
      <c r="F9" s="2">
        <f t="shared" si="1"/>
        <v>109.5</v>
      </c>
      <c r="G9" s="2">
        <f t="shared" si="1"/>
        <v>115</v>
      </c>
      <c r="H9" s="2">
        <f>SUM(H7:H8)</f>
        <v>60.400000000000006</v>
      </c>
      <c r="I9" s="2">
        <f t="shared" si="1"/>
        <v>75.199999999999989</v>
      </c>
      <c r="J9" s="2">
        <f t="shared" si="1"/>
        <v>79.2</v>
      </c>
      <c r="K9" s="2">
        <f t="shared" si="1"/>
        <v>49.4</v>
      </c>
      <c r="L9" s="2">
        <f t="shared" si="1"/>
        <v>60.2</v>
      </c>
      <c r="M9" s="2">
        <f t="shared" si="1"/>
        <v>77.900000000000006</v>
      </c>
      <c r="N9" s="2">
        <f t="shared" si="1"/>
        <v>73</v>
      </c>
      <c r="O9" s="2">
        <f t="shared" si="1"/>
        <v>86.6</v>
      </c>
      <c r="P9" s="2">
        <f>SUM(D9:O9)</f>
        <v>904</v>
      </c>
    </row>
    <row r="10" spans="1:16" x14ac:dyDescent="0.4">
      <c r="A10" s="352"/>
      <c r="B10" s="38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4">
      <c r="A11" s="352" t="s">
        <v>372</v>
      </c>
      <c r="B11" s="383" t="s">
        <v>371</v>
      </c>
      <c r="C11" s="2" t="s">
        <v>63</v>
      </c>
      <c r="D11" s="3">
        <v>3682</v>
      </c>
      <c r="E11" s="3">
        <v>2836</v>
      </c>
      <c r="F11" s="3">
        <v>5003</v>
      </c>
      <c r="G11" s="3">
        <v>3897</v>
      </c>
      <c r="H11" s="2">
        <v>3875</v>
      </c>
      <c r="I11" s="2">
        <v>4322</v>
      </c>
      <c r="J11" s="2">
        <v>5970</v>
      </c>
      <c r="K11" s="2">
        <v>2327</v>
      </c>
      <c r="L11" s="2">
        <v>3296</v>
      </c>
      <c r="M11" s="2">
        <v>4341</v>
      </c>
      <c r="N11" s="2">
        <v>3640</v>
      </c>
      <c r="O11" s="2">
        <v>3880</v>
      </c>
      <c r="P11" s="3">
        <f>SUM(D11:O11)</f>
        <v>47069</v>
      </c>
    </row>
    <row r="12" spans="1:16" x14ac:dyDescent="0.4">
      <c r="A12" s="352"/>
      <c r="B12" s="383"/>
      <c r="C12" s="2" t="s">
        <v>66</v>
      </c>
      <c r="D12" s="3">
        <v>21027</v>
      </c>
      <c r="E12" s="3">
        <v>11097</v>
      </c>
      <c r="F12" s="3">
        <v>19367</v>
      </c>
      <c r="G12" s="3">
        <v>17626</v>
      </c>
      <c r="H12" s="2">
        <v>17245</v>
      </c>
      <c r="I12" s="2">
        <v>17245</v>
      </c>
      <c r="J12" s="2">
        <v>14879</v>
      </c>
      <c r="K12" s="2">
        <v>9229</v>
      </c>
      <c r="L12" s="2">
        <v>21318</v>
      </c>
      <c r="M12" s="2">
        <v>13625</v>
      </c>
      <c r="N12" s="2">
        <v>24016</v>
      </c>
      <c r="O12" s="2">
        <v>22278</v>
      </c>
      <c r="P12" s="3">
        <f t="shared" ref="P12:P17" si="2">SUM(D12:O12)</f>
        <v>208952</v>
      </c>
    </row>
    <row r="13" spans="1:16" x14ac:dyDescent="0.4">
      <c r="A13" s="352"/>
      <c r="B13" s="383"/>
      <c r="C13" s="2" t="s">
        <v>67</v>
      </c>
      <c r="D13" s="3">
        <f>SUM(D11:D12)</f>
        <v>24709</v>
      </c>
      <c r="E13" s="3">
        <f t="shared" ref="E13:L13" si="3">SUM(E11:E12)</f>
        <v>13933</v>
      </c>
      <c r="F13" s="3">
        <f t="shared" si="3"/>
        <v>24370</v>
      </c>
      <c r="G13" s="3">
        <f t="shared" si="3"/>
        <v>21523</v>
      </c>
      <c r="H13" s="3">
        <f t="shared" si="3"/>
        <v>21120</v>
      </c>
      <c r="I13" s="3">
        <f t="shared" si="3"/>
        <v>21567</v>
      </c>
      <c r="J13" s="3">
        <f t="shared" si="3"/>
        <v>20849</v>
      </c>
      <c r="K13" s="3">
        <f t="shared" si="3"/>
        <v>11556</v>
      </c>
      <c r="L13" s="3">
        <f t="shared" si="3"/>
        <v>24614</v>
      </c>
      <c r="M13" s="3">
        <f>SUM(M11:M12)</f>
        <v>17966</v>
      </c>
      <c r="N13" s="3">
        <f>SUM(N11:N12)</f>
        <v>27656</v>
      </c>
      <c r="O13" s="2">
        <f>SUM(O11:O12)</f>
        <v>26158</v>
      </c>
      <c r="P13" s="3">
        <f t="shared" si="2"/>
        <v>256021</v>
      </c>
    </row>
    <row r="14" spans="1:16" x14ac:dyDescent="0.4">
      <c r="A14" s="352"/>
      <c r="B14" s="383"/>
      <c r="C14" s="2" t="s">
        <v>68</v>
      </c>
      <c r="D14" s="4">
        <f>D13/D5</f>
        <v>1.7302009663188853</v>
      </c>
      <c r="E14" s="4">
        <f>E13/E5</f>
        <v>0.99985647649802656</v>
      </c>
      <c r="F14" s="4">
        <f>F13/F5</f>
        <v>1.2740485152655792</v>
      </c>
      <c r="G14" s="4">
        <f>G13/G5</f>
        <v>1.0745918418293474</v>
      </c>
      <c r="H14" s="4">
        <f t="shared" ref="H14:M14" si="4">H13/H5</f>
        <v>1.6087751371115173</v>
      </c>
      <c r="I14" s="4">
        <f t="shared" si="4"/>
        <v>1.4896394529631165</v>
      </c>
      <c r="J14" s="4">
        <f t="shared" si="4"/>
        <v>1.3125786955426844</v>
      </c>
      <c r="K14" s="4">
        <f t="shared" si="4"/>
        <v>0.99286880316178361</v>
      </c>
      <c r="L14" s="4">
        <f t="shared" si="4"/>
        <v>1.7181348596956583</v>
      </c>
      <c r="M14" s="4">
        <f t="shared" si="4"/>
        <v>0.94398907103825136</v>
      </c>
      <c r="N14" s="4">
        <f>N13/N5</f>
        <v>1.7457391743466735</v>
      </c>
      <c r="O14" s="4">
        <f>O13/O5</f>
        <v>1.8438006625784169</v>
      </c>
      <c r="P14" s="3">
        <f t="shared" si="2"/>
        <v>16.73422365634994</v>
      </c>
    </row>
    <row r="15" spans="1:16" x14ac:dyDescent="0.4">
      <c r="A15" s="352"/>
      <c r="B15" s="555" t="s">
        <v>69</v>
      </c>
      <c r="C15" s="2" t="s">
        <v>63</v>
      </c>
      <c r="D15" s="7">
        <v>17.7</v>
      </c>
      <c r="E15" s="7">
        <v>45.5</v>
      </c>
      <c r="F15" s="7">
        <v>70</v>
      </c>
      <c r="G15" s="7">
        <v>36</v>
      </c>
      <c r="H15" s="2">
        <v>53</v>
      </c>
      <c r="I15" s="2">
        <v>46</v>
      </c>
      <c r="J15" s="2">
        <v>29.4</v>
      </c>
      <c r="K15" s="2">
        <v>11.8</v>
      </c>
      <c r="L15" s="2">
        <v>39.6</v>
      </c>
      <c r="M15" s="2">
        <v>26.6</v>
      </c>
      <c r="N15" s="2">
        <v>21.8</v>
      </c>
      <c r="O15" s="2">
        <v>35.9</v>
      </c>
      <c r="P15" s="3">
        <f t="shared" si="2"/>
        <v>433.3</v>
      </c>
    </row>
    <row r="16" spans="1:16" x14ac:dyDescent="0.4">
      <c r="A16" s="352"/>
      <c r="B16" s="383"/>
      <c r="C16" s="2" t="s">
        <v>66</v>
      </c>
      <c r="D16" s="7">
        <v>102.9</v>
      </c>
      <c r="E16" s="7">
        <v>54</v>
      </c>
      <c r="F16" s="7">
        <v>80.900000000000006</v>
      </c>
      <c r="G16" s="7">
        <v>83.5</v>
      </c>
      <c r="H16" s="2">
        <v>75.2</v>
      </c>
      <c r="I16" s="2">
        <v>82.8</v>
      </c>
      <c r="J16" s="2">
        <v>65.599999999999994</v>
      </c>
      <c r="K16" s="2">
        <v>42</v>
      </c>
      <c r="L16" s="2">
        <v>110.6</v>
      </c>
      <c r="M16" s="2">
        <v>56</v>
      </c>
      <c r="N16" s="2">
        <v>109.7</v>
      </c>
      <c r="O16" s="2">
        <v>109.7</v>
      </c>
      <c r="P16" s="3">
        <f t="shared" si="2"/>
        <v>972.90000000000009</v>
      </c>
    </row>
    <row r="17" spans="1:18" x14ac:dyDescent="0.4">
      <c r="A17" s="352"/>
      <c r="B17" s="383"/>
      <c r="C17" s="2" t="s">
        <v>67</v>
      </c>
      <c r="D17" s="7">
        <f t="shared" ref="D17:O17" si="5">SUM(D15:D16)</f>
        <v>120.60000000000001</v>
      </c>
      <c r="E17" s="7">
        <f t="shared" si="5"/>
        <v>99.5</v>
      </c>
      <c r="F17" s="7">
        <f t="shared" si="5"/>
        <v>150.9</v>
      </c>
      <c r="G17" s="7">
        <f t="shared" si="5"/>
        <v>119.5</v>
      </c>
      <c r="H17" s="7">
        <f t="shared" si="5"/>
        <v>128.19999999999999</v>
      </c>
      <c r="I17" s="7">
        <f t="shared" si="5"/>
        <v>128.80000000000001</v>
      </c>
      <c r="J17" s="7">
        <f t="shared" si="5"/>
        <v>95</v>
      </c>
      <c r="K17" s="7">
        <f t="shared" si="5"/>
        <v>53.8</v>
      </c>
      <c r="L17" s="7">
        <f t="shared" si="5"/>
        <v>150.19999999999999</v>
      </c>
      <c r="M17" s="7">
        <f t="shared" si="5"/>
        <v>82.6</v>
      </c>
      <c r="N17" s="7">
        <f t="shared" si="5"/>
        <v>131.5</v>
      </c>
      <c r="O17" s="7">
        <f t="shared" si="5"/>
        <v>145.6</v>
      </c>
      <c r="P17" s="3">
        <f t="shared" si="2"/>
        <v>1406.1999999999998</v>
      </c>
    </row>
    <row r="18" spans="1:18" x14ac:dyDescent="0.4">
      <c r="A18" s="352"/>
      <c r="B18" s="383"/>
      <c r="C18" s="2" t="s">
        <v>25</v>
      </c>
      <c r="D18" s="4">
        <f t="shared" ref="D18:P18" si="6">D17/D9</f>
        <v>1.9868204283360791</v>
      </c>
      <c r="E18" s="4">
        <f t="shared" si="6"/>
        <v>1.748681898066784</v>
      </c>
      <c r="F18" s="4">
        <f t="shared" si="6"/>
        <v>1.3780821917808219</v>
      </c>
      <c r="G18" s="4">
        <f t="shared" si="6"/>
        <v>1.0391304347826087</v>
      </c>
      <c r="H18" s="4">
        <f t="shared" si="6"/>
        <v>2.1225165562913904</v>
      </c>
      <c r="I18" s="4">
        <f t="shared" si="6"/>
        <v>1.7127659574468088</v>
      </c>
      <c r="J18" s="4">
        <f t="shared" si="6"/>
        <v>1.1994949494949494</v>
      </c>
      <c r="K18" s="4">
        <f t="shared" si="6"/>
        <v>1.0890688259109311</v>
      </c>
      <c r="L18" s="4">
        <f t="shared" si="6"/>
        <v>2.4950166112956809</v>
      </c>
      <c r="M18" s="4">
        <f t="shared" si="6"/>
        <v>1.0603337612323491</v>
      </c>
      <c r="N18" s="4">
        <f t="shared" si="6"/>
        <v>1.8013698630136987</v>
      </c>
      <c r="O18" s="4">
        <f t="shared" si="6"/>
        <v>1.6812933025404158</v>
      </c>
      <c r="P18" s="4">
        <f t="shared" si="6"/>
        <v>1.5555309734513272</v>
      </c>
      <c r="Q18" s="47">
        <f>SUM(D18:P18)</f>
        <v>20.870105753643841</v>
      </c>
      <c r="R18" s="48">
        <f>Q18/12</f>
        <v>1.73917547947032</v>
      </c>
    </row>
    <row r="19" spans="1:18" x14ac:dyDescent="0.4">
      <c r="A19" s="352" t="s">
        <v>373</v>
      </c>
      <c r="B19" s="383" t="s">
        <v>371</v>
      </c>
      <c r="C19" s="2" t="s">
        <v>63</v>
      </c>
      <c r="D19" s="3">
        <v>3338</v>
      </c>
      <c r="E19" s="3">
        <v>3751</v>
      </c>
      <c r="F19" s="3">
        <v>3605</v>
      </c>
      <c r="G19" s="3">
        <v>1456</v>
      </c>
      <c r="H19" s="2">
        <v>2994</v>
      </c>
      <c r="I19" s="2">
        <v>4268</v>
      </c>
      <c r="J19" s="2">
        <v>3994</v>
      </c>
      <c r="K19" s="2">
        <v>3873</v>
      </c>
      <c r="L19" s="2">
        <v>5975</v>
      </c>
      <c r="M19" s="2">
        <v>3747</v>
      </c>
      <c r="N19" s="2">
        <v>5619</v>
      </c>
      <c r="O19" s="2">
        <v>3012</v>
      </c>
      <c r="P19" s="3">
        <f>SUM(D19:O19)</f>
        <v>45632</v>
      </c>
    </row>
    <row r="20" spans="1:18" x14ac:dyDescent="0.4">
      <c r="A20" s="352"/>
      <c r="B20" s="383"/>
      <c r="C20" s="2" t="s">
        <v>66</v>
      </c>
      <c r="D20" s="3">
        <v>19493</v>
      </c>
      <c r="E20" s="3">
        <v>15955</v>
      </c>
      <c r="F20" s="3">
        <v>25893</v>
      </c>
      <c r="G20" s="3">
        <v>13272</v>
      </c>
      <c r="H20" s="2">
        <v>23488</v>
      </c>
      <c r="I20" s="2">
        <v>20366</v>
      </c>
      <c r="J20" s="2">
        <v>18294</v>
      </c>
      <c r="K20" s="2">
        <v>15565</v>
      </c>
      <c r="L20" s="2">
        <v>17423</v>
      </c>
      <c r="M20" s="2">
        <v>17599</v>
      </c>
      <c r="N20" s="2">
        <v>19639</v>
      </c>
      <c r="O20" s="2">
        <v>22475</v>
      </c>
      <c r="P20" s="3">
        <f t="shared" ref="P20:P25" si="7">SUM(D20:O20)</f>
        <v>229462</v>
      </c>
    </row>
    <row r="21" spans="1:18" x14ac:dyDescent="0.4">
      <c r="A21" s="352"/>
      <c r="B21" s="383"/>
      <c r="C21" s="2" t="s">
        <v>67</v>
      </c>
      <c r="D21" s="3">
        <v>22831</v>
      </c>
      <c r="E21" s="3">
        <v>19706</v>
      </c>
      <c r="F21" s="3">
        <v>29498</v>
      </c>
      <c r="G21" s="3">
        <v>14728</v>
      </c>
      <c r="H21" s="3">
        <v>24648</v>
      </c>
      <c r="I21" s="3">
        <v>24634</v>
      </c>
      <c r="J21" s="3">
        <v>22288</v>
      </c>
      <c r="K21" s="3">
        <v>19438</v>
      </c>
      <c r="L21" s="3">
        <v>23398</v>
      </c>
      <c r="M21" s="3">
        <v>21346</v>
      </c>
      <c r="N21" s="3">
        <v>25258</v>
      </c>
      <c r="O21" s="2">
        <f>SUM(O19:O20)</f>
        <v>25487</v>
      </c>
      <c r="P21" s="3">
        <f t="shared" si="7"/>
        <v>273260</v>
      </c>
    </row>
    <row r="22" spans="1:18" x14ac:dyDescent="0.4">
      <c r="A22" s="352"/>
      <c r="B22" s="383"/>
      <c r="C22" s="2" t="s">
        <v>68</v>
      </c>
      <c r="D22" s="4">
        <f t="shared" ref="D22:O22" si="8">D21/D13</f>
        <v>0.92399530535432428</v>
      </c>
      <c r="E22" s="4">
        <f t="shared" si="8"/>
        <v>1.4143400559822006</v>
      </c>
      <c r="F22" s="4">
        <f t="shared" si="8"/>
        <v>1.2104226508001641</v>
      </c>
      <c r="G22" s="4">
        <f t="shared" si="8"/>
        <v>0.68429122334247083</v>
      </c>
      <c r="H22" s="4">
        <f t="shared" si="8"/>
        <v>1.1670454545454545</v>
      </c>
      <c r="I22" s="4">
        <f t="shared" si="8"/>
        <v>1.1422080029674966</v>
      </c>
      <c r="J22" s="4">
        <f t="shared" si="8"/>
        <v>1.0690200968871408</v>
      </c>
      <c r="K22" s="4">
        <f t="shared" si="8"/>
        <v>1.6820699203876774</v>
      </c>
      <c r="L22" s="4">
        <f t="shared" si="8"/>
        <v>0.9505972210936865</v>
      </c>
      <c r="M22" s="4">
        <f t="shared" si="8"/>
        <v>1.1881331403762663</v>
      </c>
      <c r="N22" s="4">
        <f t="shared" si="8"/>
        <v>0.91329187156494074</v>
      </c>
      <c r="O22" s="4">
        <f t="shared" si="8"/>
        <v>0.97434819175777965</v>
      </c>
      <c r="P22" s="3">
        <f t="shared" si="7"/>
        <v>13.319763135059601</v>
      </c>
    </row>
    <row r="23" spans="1:18" x14ac:dyDescent="0.4">
      <c r="A23" s="352"/>
      <c r="B23" s="555" t="s">
        <v>69</v>
      </c>
      <c r="C23" s="2" t="s">
        <v>63</v>
      </c>
      <c r="D23" s="7">
        <v>16.2</v>
      </c>
      <c r="E23" s="7">
        <v>22.1</v>
      </c>
      <c r="F23" s="7">
        <v>18.100000000000001</v>
      </c>
      <c r="G23" s="7">
        <v>6.7</v>
      </c>
      <c r="H23" s="2">
        <v>15.2</v>
      </c>
      <c r="I23" s="2">
        <v>23.9</v>
      </c>
      <c r="J23" s="2">
        <v>31.5</v>
      </c>
      <c r="K23" s="2">
        <v>19</v>
      </c>
      <c r="L23" s="2">
        <v>26.2</v>
      </c>
      <c r="M23" s="2">
        <v>29.1</v>
      </c>
      <c r="N23" s="2">
        <v>35.1</v>
      </c>
      <c r="O23" s="2">
        <v>32.299999999999997</v>
      </c>
      <c r="P23" s="3">
        <f t="shared" si="7"/>
        <v>275.39999999999998</v>
      </c>
    </row>
    <row r="24" spans="1:18" x14ac:dyDescent="0.4">
      <c r="A24" s="352"/>
      <c r="B24" s="383"/>
      <c r="C24" s="2" t="s">
        <v>66</v>
      </c>
      <c r="D24" s="7">
        <v>95.5</v>
      </c>
      <c r="E24" s="7">
        <v>73.2</v>
      </c>
      <c r="F24" s="7">
        <v>116.3</v>
      </c>
      <c r="G24" s="7">
        <v>58.8</v>
      </c>
      <c r="H24" s="2">
        <v>110.5</v>
      </c>
      <c r="I24" s="2">
        <v>90.5</v>
      </c>
      <c r="J24" s="2">
        <v>85.3</v>
      </c>
      <c r="K24" s="2">
        <v>70.8</v>
      </c>
      <c r="L24" s="2">
        <v>83</v>
      </c>
      <c r="M24" s="2">
        <v>90</v>
      </c>
      <c r="N24" s="2">
        <v>96.1</v>
      </c>
      <c r="O24" s="2">
        <v>110.1</v>
      </c>
      <c r="P24" s="3">
        <f t="shared" si="7"/>
        <v>1080.0999999999999</v>
      </c>
    </row>
    <row r="25" spans="1:18" x14ac:dyDescent="0.4">
      <c r="A25" s="352"/>
      <c r="B25" s="383"/>
      <c r="C25" s="2" t="s">
        <v>67</v>
      </c>
      <c r="D25" s="7">
        <v>111.7</v>
      </c>
      <c r="E25" s="7">
        <v>95.3</v>
      </c>
      <c r="F25" s="7">
        <v>134.4</v>
      </c>
      <c r="G25" s="7">
        <v>65.5</v>
      </c>
      <c r="H25" s="7">
        <v>125.7</v>
      </c>
      <c r="I25" s="7">
        <v>114.4</v>
      </c>
      <c r="J25" s="7">
        <v>116.8</v>
      </c>
      <c r="K25" s="7">
        <v>89.8</v>
      </c>
      <c r="L25" s="7">
        <v>109.2</v>
      </c>
      <c r="M25" s="7">
        <v>119.1</v>
      </c>
      <c r="N25" s="7">
        <v>131.19999999999999</v>
      </c>
      <c r="O25" s="7">
        <f>SUM(O23:O24)</f>
        <v>142.39999999999998</v>
      </c>
      <c r="P25" s="3">
        <f t="shared" si="7"/>
        <v>1355.5</v>
      </c>
    </row>
    <row r="26" spans="1:18" x14ac:dyDescent="0.4">
      <c r="A26" s="352"/>
      <c r="B26" s="383"/>
      <c r="C26" s="2" t="s">
        <v>25</v>
      </c>
      <c r="D26" s="4">
        <f>D25/D17</f>
        <v>0.92620232172470973</v>
      </c>
      <c r="E26" s="4">
        <f t="shared" ref="E26:P26" si="9">E25/E17</f>
        <v>0.95778894472361809</v>
      </c>
      <c r="F26" s="4">
        <f t="shared" si="9"/>
        <v>0.89065606361829031</v>
      </c>
      <c r="G26" s="4">
        <f t="shared" si="9"/>
        <v>0.54811715481171552</v>
      </c>
      <c r="H26" s="4">
        <f t="shared" si="9"/>
        <v>0.98049921996879885</v>
      </c>
      <c r="I26" s="4">
        <f t="shared" si="9"/>
        <v>0.88819875776397517</v>
      </c>
      <c r="J26" s="4">
        <f t="shared" si="9"/>
        <v>1.2294736842105263</v>
      </c>
      <c r="K26" s="4">
        <f t="shared" si="9"/>
        <v>1.6691449814126393</v>
      </c>
      <c r="L26" s="4">
        <f t="shared" si="9"/>
        <v>0.72703062583222378</v>
      </c>
      <c r="M26" s="4">
        <f t="shared" si="9"/>
        <v>1.4418886198547216</v>
      </c>
      <c r="N26" s="4">
        <f t="shared" si="9"/>
        <v>0.99771863117870718</v>
      </c>
      <c r="O26" s="4">
        <f t="shared" si="9"/>
        <v>0.97802197802197788</v>
      </c>
      <c r="P26" s="4">
        <f t="shared" si="9"/>
        <v>0.9639453847247903</v>
      </c>
    </row>
    <row r="27" spans="1:18" x14ac:dyDescent="0.4">
      <c r="A27" s="352" t="s">
        <v>374</v>
      </c>
      <c r="B27" s="383" t="s">
        <v>371</v>
      </c>
      <c r="C27" s="2" t="s">
        <v>63</v>
      </c>
      <c r="D27" s="3">
        <v>2876</v>
      </c>
      <c r="E27" s="3">
        <v>2359</v>
      </c>
      <c r="F27" s="3">
        <v>4705</v>
      </c>
      <c r="G27" s="3">
        <v>2973</v>
      </c>
      <c r="H27" s="2">
        <v>3131</v>
      </c>
      <c r="I27" s="2">
        <v>4878</v>
      </c>
      <c r="J27" s="2">
        <v>4725</v>
      </c>
      <c r="K27" s="2">
        <v>3367</v>
      </c>
      <c r="L27" s="2">
        <v>2448</v>
      </c>
      <c r="M27" s="2">
        <v>2792</v>
      </c>
      <c r="N27" s="2">
        <v>6921</v>
      </c>
      <c r="O27" s="2">
        <v>5847</v>
      </c>
      <c r="P27" s="3">
        <f>SUM(D27:O27)</f>
        <v>47022</v>
      </c>
    </row>
    <row r="28" spans="1:18" x14ac:dyDescent="0.4">
      <c r="A28" s="352"/>
      <c r="B28" s="383"/>
      <c r="C28" s="2" t="s">
        <v>66</v>
      </c>
      <c r="D28" s="3">
        <v>23333</v>
      </c>
      <c r="E28" s="3">
        <v>20020</v>
      </c>
      <c r="F28" s="3">
        <v>23623</v>
      </c>
      <c r="G28" s="3">
        <v>11484</v>
      </c>
      <c r="H28" s="2">
        <v>22607</v>
      </c>
      <c r="I28" s="2">
        <v>22292</v>
      </c>
      <c r="J28" s="2">
        <v>19945</v>
      </c>
      <c r="K28" s="2">
        <v>21619</v>
      </c>
      <c r="L28" s="2">
        <v>19035</v>
      </c>
      <c r="M28" s="2">
        <v>13170</v>
      </c>
      <c r="N28" s="2">
        <v>13418</v>
      </c>
      <c r="O28" s="2">
        <v>12391</v>
      </c>
      <c r="P28" s="3">
        <f t="shared" ref="P28:P33" si="10">SUM(D28:O28)</f>
        <v>222937</v>
      </c>
    </row>
    <row r="29" spans="1:18" x14ac:dyDescent="0.4">
      <c r="A29" s="352"/>
      <c r="B29" s="383"/>
      <c r="C29" s="2" t="s">
        <v>67</v>
      </c>
      <c r="D29" s="3">
        <f>SUM(D27:D28)</f>
        <v>26209</v>
      </c>
      <c r="E29" s="3">
        <v>22379</v>
      </c>
      <c r="F29" s="3">
        <v>28328</v>
      </c>
      <c r="G29" s="3">
        <v>14457</v>
      </c>
      <c r="H29" s="3">
        <v>25738</v>
      </c>
      <c r="I29" s="3">
        <v>27170</v>
      </c>
      <c r="J29" s="3">
        <v>24670</v>
      </c>
      <c r="K29" s="3">
        <v>24986</v>
      </c>
      <c r="L29" s="3">
        <v>21483</v>
      </c>
      <c r="M29" s="3">
        <v>15962</v>
      </c>
      <c r="N29" s="3">
        <v>20339</v>
      </c>
      <c r="O29" s="3">
        <v>18238</v>
      </c>
      <c r="P29" s="3">
        <f t="shared" si="10"/>
        <v>269959</v>
      </c>
    </row>
    <row r="30" spans="1:18" x14ac:dyDescent="0.4">
      <c r="A30" s="352"/>
      <c r="B30" s="383"/>
      <c r="C30" s="2" t="s">
        <v>68</v>
      </c>
      <c r="D30" s="4">
        <f t="shared" ref="D30:O30" si="11">D29/D21</f>
        <v>1.1479567255047962</v>
      </c>
      <c r="E30" s="4">
        <f t="shared" si="11"/>
        <v>1.1356439663046787</v>
      </c>
      <c r="F30" s="4">
        <f t="shared" si="11"/>
        <v>0.96033629398603293</v>
      </c>
      <c r="G30" s="4">
        <f t="shared" si="11"/>
        <v>0.98159967409016835</v>
      </c>
      <c r="H30" s="4">
        <f t="shared" si="11"/>
        <v>1.0442226549821487</v>
      </c>
      <c r="I30" s="4">
        <f t="shared" si="11"/>
        <v>1.1029471462206706</v>
      </c>
      <c r="J30" s="4">
        <f t="shared" si="11"/>
        <v>1.1068736539842068</v>
      </c>
      <c r="K30" s="4">
        <f t="shared" si="11"/>
        <v>1.2854203107315567</v>
      </c>
      <c r="L30" s="4">
        <f t="shared" si="11"/>
        <v>0.9181553978972562</v>
      </c>
      <c r="M30" s="53">
        <f t="shared" si="11"/>
        <v>0.74777475873699994</v>
      </c>
      <c r="N30" s="53">
        <f t="shared" si="11"/>
        <v>0.80524982183862537</v>
      </c>
      <c r="O30" s="53">
        <f t="shared" si="11"/>
        <v>0.71558049201553731</v>
      </c>
      <c r="P30" s="3">
        <f t="shared" si="10"/>
        <v>11.951760896292679</v>
      </c>
    </row>
    <row r="31" spans="1:18" x14ac:dyDescent="0.4">
      <c r="A31" s="352"/>
      <c r="B31" s="555" t="s">
        <v>69</v>
      </c>
      <c r="C31" s="2" t="s">
        <v>63</v>
      </c>
      <c r="D31" s="7">
        <v>28.9</v>
      </c>
      <c r="E31" s="7">
        <v>32.1</v>
      </c>
      <c r="F31" s="7">
        <v>36.9</v>
      </c>
      <c r="G31" s="7">
        <v>23.4</v>
      </c>
      <c r="H31" s="2">
        <v>26.8</v>
      </c>
      <c r="I31" s="2">
        <v>25.1</v>
      </c>
      <c r="J31" s="2">
        <v>29.6</v>
      </c>
      <c r="K31" s="2">
        <v>28.3</v>
      </c>
      <c r="L31" s="2">
        <v>28.6</v>
      </c>
      <c r="M31" s="2">
        <v>21.6</v>
      </c>
      <c r="N31" s="2">
        <v>40.4</v>
      </c>
      <c r="O31" s="2">
        <v>34.1</v>
      </c>
      <c r="P31" s="3">
        <f t="shared" si="10"/>
        <v>355.80000000000007</v>
      </c>
    </row>
    <row r="32" spans="1:18" x14ac:dyDescent="0.4">
      <c r="A32" s="352"/>
      <c r="B32" s="383"/>
      <c r="C32" s="2" t="s">
        <v>66</v>
      </c>
      <c r="D32" s="7">
        <v>113.3</v>
      </c>
      <c r="E32" s="7">
        <v>92.9</v>
      </c>
      <c r="F32" s="7">
        <v>111.3</v>
      </c>
      <c r="G32" s="7">
        <v>49.4</v>
      </c>
      <c r="H32" s="2">
        <v>97.6</v>
      </c>
      <c r="I32" s="2">
        <v>108.2</v>
      </c>
      <c r="J32" s="2">
        <v>100.7</v>
      </c>
      <c r="K32" s="2">
        <v>103.3</v>
      </c>
      <c r="L32" s="2">
        <v>88.3</v>
      </c>
      <c r="M32" s="2">
        <v>62.8</v>
      </c>
      <c r="N32" s="2">
        <v>59</v>
      </c>
      <c r="O32" s="2">
        <v>62</v>
      </c>
      <c r="P32" s="3">
        <f t="shared" si="10"/>
        <v>1048.8</v>
      </c>
    </row>
    <row r="33" spans="1:16" x14ac:dyDescent="0.4">
      <c r="A33" s="352"/>
      <c r="B33" s="383"/>
      <c r="C33" s="2" t="s">
        <v>67</v>
      </c>
      <c r="D33" s="7">
        <v>142.19999999999999</v>
      </c>
      <c r="E33" s="7">
        <v>125</v>
      </c>
      <c r="F33" s="7">
        <v>148.19999999999999</v>
      </c>
      <c r="G33" s="7">
        <v>72.8</v>
      </c>
      <c r="H33" s="7">
        <v>124.4</v>
      </c>
      <c r="I33" s="7">
        <v>133.30000000000001</v>
      </c>
      <c r="J33" s="7">
        <v>130.30000000000001</v>
      </c>
      <c r="K33" s="7">
        <v>131.6</v>
      </c>
      <c r="L33" s="7">
        <v>116.9</v>
      </c>
      <c r="M33" s="7">
        <v>84.4</v>
      </c>
      <c r="N33" s="7">
        <v>99.4</v>
      </c>
      <c r="O33" s="7">
        <v>96.1</v>
      </c>
      <c r="P33" s="3">
        <f t="shared" si="10"/>
        <v>1404.6000000000001</v>
      </c>
    </row>
    <row r="34" spans="1:16" x14ac:dyDescent="0.4">
      <c r="A34" s="352"/>
      <c r="B34" s="383"/>
      <c r="C34" s="2" t="s">
        <v>25</v>
      </c>
      <c r="D34" s="4">
        <f t="shared" ref="D34:P34" si="12">D33/D25</f>
        <v>1.2730528200537152</v>
      </c>
      <c r="E34" s="4">
        <f t="shared" si="12"/>
        <v>1.3116474291710389</v>
      </c>
      <c r="F34" s="4">
        <f t="shared" si="12"/>
        <v>1.1026785714285714</v>
      </c>
      <c r="G34" s="4">
        <f t="shared" si="12"/>
        <v>1.1114503816793893</v>
      </c>
      <c r="H34" s="4">
        <f t="shared" si="12"/>
        <v>0.98965791567223549</v>
      </c>
      <c r="I34" s="4">
        <f t="shared" si="12"/>
        <v>1.1652097902097902</v>
      </c>
      <c r="J34" s="4">
        <f t="shared" si="12"/>
        <v>1.115582191780822</v>
      </c>
      <c r="K34" s="4">
        <f t="shared" si="12"/>
        <v>1.465478841870824</v>
      </c>
      <c r="L34" s="4">
        <f t="shared" si="12"/>
        <v>1.0705128205128205</v>
      </c>
      <c r="M34" s="53">
        <f t="shared" si="12"/>
        <v>0.70864819479429064</v>
      </c>
      <c r="N34" s="53">
        <f t="shared" si="12"/>
        <v>0.75762195121951226</v>
      </c>
      <c r="O34" s="53">
        <f t="shared" si="12"/>
        <v>0.67485955056179781</v>
      </c>
      <c r="P34" s="4">
        <f t="shared" si="12"/>
        <v>1.0362227960162302</v>
      </c>
    </row>
    <row r="35" spans="1:16" x14ac:dyDescent="0.4">
      <c r="A35" s="352" t="s">
        <v>375</v>
      </c>
      <c r="B35" s="383" t="s">
        <v>371</v>
      </c>
      <c r="C35" s="2" t="s">
        <v>63</v>
      </c>
      <c r="D35" s="3">
        <v>6404</v>
      </c>
      <c r="E35" s="3">
        <v>5279</v>
      </c>
      <c r="F35" s="3">
        <v>7157</v>
      </c>
      <c r="G35" s="3">
        <v>3367</v>
      </c>
      <c r="H35" s="2">
        <v>9871</v>
      </c>
      <c r="I35" s="2">
        <v>9953</v>
      </c>
      <c r="J35" s="2">
        <v>9618</v>
      </c>
      <c r="K35" s="2">
        <v>9544</v>
      </c>
      <c r="L35" s="2">
        <v>9712</v>
      </c>
      <c r="M35" s="2">
        <v>8041</v>
      </c>
      <c r="N35" s="2">
        <v>3313</v>
      </c>
      <c r="O35" s="2">
        <v>7407</v>
      </c>
      <c r="P35" s="3">
        <f>SUM(D35:O35)</f>
        <v>89666</v>
      </c>
    </row>
    <row r="36" spans="1:16" x14ac:dyDescent="0.4">
      <c r="A36" s="352"/>
      <c r="B36" s="383"/>
      <c r="C36" s="2" t="s">
        <v>66</v>
      </c>
      <c r="D36" s="3">
        <v>18721</v>
      </c>
      <c r="E36" s="3">
        <v>9937</v>
      </c>
      <c r="F36" s="3">
        <v>21946</v>
      </c>
      <c r="G36" s="3">
        <v>10583</v>
      </c>
      <c r="H36" s="2">
        <v>13259</v>
      </c>
      <c r="I36" s="2">
        <v>11654</v>
      </c>
      <c r="J36" s="2">
        <v>8581</v>
      </c>
      <c r="K36" s="2">
        <v>3900</v>
      </c>
      <c r="L36" s="2">
        <v>8800</v>
      </c>
      <c r="M36" s="2">
        <v>18008</v>
      </c>
      <c r="N36" s="2">
        <v>23826</v>
      </c>
      <c r="O36" s="2">
        <v>16269</v>
      </c>
      <c r="P36" s="3">
        <f t="shared" ref="P36:P41" si="13">SUM(D36:O36)</f>
        <v>165484</v>
      </c>
    </row>
    <row r="37" spans="1:16" x14ac:dyDescent="0.4">
      <c r="A37" s="352"/>
      <c r="B37" s="383"/>
      <c r="C37" s="2" t="s">
        <v>67</v>
      </c>
      <c r="D37" s="3">
        <f>SUM(D35:D36)</f>
        <v>25125</v>
      </c>
      <c r="E37" s="3">
        <f>SUM(E35:E36)</f>
        <v>15216</v>
      </c>
      <c r="F37" s="3">
        <v>29103</v>
      </c>
      <c r="G37" s="3">
        <v>13950</v>
      </c>
      <c r="H37" s="3">
        <v>23130</v>
      </c>
      <c r="I37" s="3">
        <v>21607</v>
      </c>
      <c r="J37" s="3">
        <v>18199</v>
      </c>
      <c r="K37" s="3">
        <v>13444</v>
      </c>
      <c r="L37" s="3">
        <v>18512</v>
      </c>
      <c r="M37" s="3">
        <v>26049</v>
      </c>
      <c r="N37" s="3">
        <v>27139</v>
      </c>
      <c r="O37" s="3">
        <v>23676</v>
      </c>
      <c r="P37" s="3">
        <f t="shared" si="13"/>
        <v>255150</v>
      </c>
    </row>
    <row r="38" spans="1:16" x14ac:dyDescent="0.4">
      <c r="A38" s="352"/>
      <c r="B38" s="383"/>
      <c r="C38" s="2" t="s">
        <v>68</v>
      </c>
      <c r="D38" s="4">
        <f t="shared" ref="D38:O38" si="14">D37/D29</f>
        <v>0.95864016177648903</v>
      </c>
      <c r="E38" s="4">
        <f t="shared" si="14"/>
        <v>0.67992314223155637</v>
      </c>
      <c r="F38" s="4">
        <f t="shared" si="14"/>
        <v>1.0273580909347642</v>
      </c>
      <c r="G38" s="4">
        <f t="shared" si="14"/>
        <v>0.96493048350280142</v>
      </c>
      <c r="H38" s="4">
        <f t="shared" si="14"/>
        <v>0.89867122542544098</v>
      </c>
      <c r="I38" s="4">
        <f t="shared" si="14"/>
        <v>0.7952521163047479</v>
      </c>
      <c r="J38" s="4">
        <f t="shared" si="14"/>
        <v>0.73769760843129306</v>
      </c>
      <c r="K38" s="4">
        <f t="shared" si="14"/>
        <v>0.53806131433602822</v>
      </c>
      <c r="L38" s="4">
        <f t="shared" si="14"/>
        <v>0.8617046036400875</v>
      </c>
      <c r="M38" s="4">
        <f t="shared" si="14"/>
        <v>1.6319383535897758</v>
      </c>
      <c r="N38" s="4">
        <f>N37/N29</f>
        <v>1.3343330547224543</v>
      </c>
      <c r="O38" s="4">
        <f t="shared" si="14"/>
        <v>1.2981686588441714</v>
      </c>
      <c r="P38" s="3">
        <f t="shared" si="13"/>
        <v>11.726678813739611</v>
      </c>
    </row>
    <row r="39" spans="1:16" x14ac:dyDescent="0.4">
      <c r="A39" s="352"/>
      <c r="B39" s="555" t="s">
        <v>69</v>
      </c>
      <c r="C39" s="2" t="s">
        <v>63</v>
      </c>
      <c r="D39" s="7">
        <v>37</v>
      </c>
      <c r="E39" s="7">
        <v>33</v>
      </c>
      <c r="F39" s="7">
        <v>40.1</v>
      </c>
      <c r="G39" s="7">
        <v>21.9</v>
      </c>
      <c r="H39" s="2">
        <v>56.7</v>
      </c>
      <c r="I39" s="2">
        <v>56.9</v>
      </c>
      <c r="J39" s="2">
        <v>56.4</v>
      </c>
      <c r="K39" s="2">
        <v>55.8</v>
      </c>
      <c r="L39" s="2">
        <v>56</v>
      </c>
      <c r="M39" s="2">
        <v>48.8</v>
      </c>
      <c r="N39" s="2">
        <v>12.3</v>
      </c>
      <c r="O39" s="2">
        <v>31.9</v>
      </c>
      <c r="P39" s="3">
        <f t="shared" si="13"/>
        <v>506.8</v>
      </c>
    </row>
    <row r="40" spans="1:16" x14ac:dyDescent="0.4">
      <c r="A40" s="352"/>
      <c r="B40" s="383"/>
      <c r="C40" s="2" t="s">
        <v>66</v>
      </c>
      <c r="D40" s="7">
        <v>89.3</v>
      </c>
      <c r="E40" s="7">
        <v>46.3</v>
      </c>
      <c r="F40" s="7">
        <v>96.2</v>
      </c>
      <c r="G40" s="7">
        <v>53.9</v>
      </c>
      <c r="H40" s="2">
        <v>69</v>
      </c>
      <c r="I40" s="2">
        <v>70</v>
      </c>
      <c r="J40" s="2">
        <v>50</v>
      </c>
      <c r="K40" s="2">
        <v>22</v>
      </c>
      <c r="L40" s="2">
        <v>35.4</v>
      </c>
      <c r="M40" s="2">
        <v>81</v>
      </c>
      <c r="N40" s="2">
        <v>100</v>
      </c>
      <c r="O40" s="2">
        <v>98</v>
      </c>
      <c r="P40" s="3">
        <f t="shared" si="13"/>
        <v>811.1</v>
      </c>
    </row>
    <row r="41" spans="1:16" x14ac:dyDescent="0.4">
      <c r="A41" s="352"/>
      <c r="B41" s="383"/>
      <c r="C41" s="2" t="s">
        <v>67</v>
      </c>
      <c r="D41" s="7">
        <f>SUM(D39:D40)</f>
        <v>126.3</v>
      </c>
      <c r="E41" s="7">
        <f>SUM(E39:E40)</f>
        <v>79.3</v>
      </c>
      <c r="F41" s="7">
        <v>136.30000000000001</v>
      </c>
      <c r="G41" s="7">
        <v>75.8</v>
      </c>
      <c r="H41" s="7">
        <v>125.7</v>
      </c>
      <c r="I41" s="7">
        <v>126.9</v>
      </c>
      <c r="J41" s="7">
        <v>106.4</v>
      </c>
      <c r="K41" s="7">
        <v>77.8</v>
      </c>
      <c r="L41" s="7">
        <v>91.4</v>
      </c>
      <c r="M41" s="7">
        <v>129.80000000000001</v>
      </c>
      <c r="N41" s="7">
        <v>112.3</v>
      </c>
      <c r="O41" s="7">
        <v>98.4</v>
      </c>
      <c r="P41" s="3">
        <f t="shared" si="13"/>
        <v>1286.3999999999999</v>
      </c>
    </row>
    <row r="42" spans="1:16" x14ac:dyDescent="0.4">
      <c r="A42" s="352"/>
      <c r="B42" s="383"/>
      <c r="C42" s="2" t="s">
        <v>25</v>
      </c>
      <c r="D42" s="4">
        <f t="shared" ref="D42:P42" si="15">D41/D33</f>
        <v>0.88818565400843885</v>
      </c>
      <c r="E42" s="4">
        <f t="shared" si="15"/>
        <v>0.63439999999999996</v>
      </c>
      <c r="F42" s="4">
        <f t="shared" si="15"/>
        <v>0.91970310391363042</v>
      </c>
      <c r="G42" s="4">
        <f t="shared" si="15"/>
        <v>1.0412087912087913</v>
      </c>
      <c r="H42" s="4">
        <f t="shared" si="15"/>
        <v>1.0104501607717042</v>
      </c>
      <c r="I42" s="4">
        <f t="shared" si="15"/>
        <v>0.95198799699924974</v>
      </c>
      <c r="J42" s="4">
        <f t="shared" si="15"/>
        <v>0.81657712970069074</v>
      </c>
      <c r="K42" s="4">
        <f t="shared" si="15"/>
        <v>0.59118541033434646</v>
      </c>
      <c r="L42" s="4">
        <f t="shared" si="15"/>
        <v>0.78186484174508131</v>
      </c>
      <c r="M42" s="4">
        <f t="shared" si="15"/>
        <v>1.5379146919431279</v>
      </c>
      <c r="N42" s="4">
        <f t="shared" si="15"/>
        <v>1.1297786720321932</v>
      </c>
      <c r="O42" s="4">
        <f t="shared" si="15"/>
        <v>1.0239334027055151</v>
      </c>
      <c r="P42" s="4">
        <f t="shared" si="15"/>
        <v>0.91584792823579653</v>
      </c>
    </row>
    <row r="43" spans="1:16" x14ac:dyDescent="0.4">
      <c r="A43" s="352" t="s">
        <v>376</v>
      </c>
      <c r="B43" s="383" t="s">
        <v>371</v>
      </c>
      <c r="C43" s="2" t="s">
        <v>63</v>
      </c>
      <c r="D43" s="3">
        <v>4564</v>
      </c>
      <c r="E43" s="3">
        <v>5089</v>
      </c>
      <c r="F43" s="3">
        <v>5015</v>
      </c>
      <c r="G43" s="3">
        <v>3895</v>
      </c>
      <c r="H43" s="2">
        <v>3866</v>
      </c>
      <c r="I43" s="2">
        <v>6300</v>
      </c>
      <c r="J43" s="2">
        <v>4003</v>
      </c>
      <c r="K43" s="2">
        <v>3024</v>
      </c>
      <c r="L43" s="2">
        <v>3113</v>
      </c>
      <c r="M43" s="2">
        <v>3984</v>
      </c>
      <c r="N43" s="2">
        <v>3524</v>
      </c>
      <c r="O43" s="2">
        <v>4305</v>
      </c>
      <c r="P43" s="3">
        <f>SUM(D43:O43)</f>
        <v>50682</v>
      </c>
    </row>
    <row r="44" spans="1:16" x14ac:dyDescent="0.4">
      <c r="A44" s="352"/>
      <c r="B44" s="383"/>
      <c r="C44" s="2" t="s">
        <v>66</v>
      </c>
      <c r="D44" s="3">
        <v>23836</v>
      </c>
      <c r="E44" s="3">
        <v>14342</v>
      </c>
      <c r="F44" s="3">
        <v>19241</v>
      </c>
      <c r="G44" s="3">
        <v>12389</v>
      </c>
      <c r="H44" s="2">
        <v>17152</v>
      </c>
      <c r="I44" s="2">
        <v>18450</v>
      </c>
      <c r="J44" s="2">
        <v>17574</v>
      </c>
      <c r="K44" s="2">
        <v>8395</v>
      </c>
      <c r="L44" s="2">
        <v>4972</v>
      </c>
      <c r="M44" s="2">
        <v>6507</v>
      </c>
      <c r="N44" s="2">
        <v>11980</v>
      </c>
      <c r="O44" s="2">
        <v>14732</v>
      </c>
      <c r="P44" s="3">
        <f t="shared" ref="P44:P49" si="16">SUM(D44:O44)</f>
        <v>169570</v>
      </c>
    </row>
    <row r="45" spans="1:16" x14ac:dyDescent="0.4">
      <c r="A45" s="352"/>
      <c r="B45" s="383"/>
      <c r="C45" s="2" t="s">
        <v>67</v>
      </c>
      <c r="D45" s="3">
        <f>SUM(D43:D44)</f>
        <v>28400</v>
      </c>
      <c r="E45" s="3">
        <v>19431</v>
      </c>
      <c r="F45" s="3">
        <v>24256</v>
      </c>
      <c r="G45" s="3">
        <v>16284</v>
      </c>
      <c r="H45" s="3">
        <v>21018</v>
      </c>
      <c r="I45" s="3">
        <v>24750</v>
      </c>
      <c r="J45" s="3">
        <v>21577</v>
      </c>
      <c r="K45" s="3">
        <v>11419</v>
      </c>
      <c r="L45" s="3">
        <v>8085</v>
      </c>
      <c r="M45" s="3">
        <v>10491</v>
      </c>
      <c r="N45" s="3">
        <v>15504</v>
      </c>
      <c r="O45" s="3">
        <v>19037</v>
      </c>
      <c r="P45" s="3">
        <f t="shared" si="16"/>
        <v>220252</v>
      </c>
    </row>
    <row r="46" spans="1:16" x14ac:dyDescent="0.4">
      <c r="A46" s="352"/>
      <c r="B46" s="383"/>
      <c r="C46" s="2" t="s">
        <v>68</v>
      </c>
      <c r="D46" s="4">
        <f>D45/D37</f>
        <v>1.1303482587064677</v>
      </c>
      <c r="E46" s="4">
        <f t="shared" ref="E46:M46" si="17">E45/E37</f>
        <v>1.2770110410094637</v>
      </c>
      <c r="F46" s="4">
        <f t="shared" si="17"/>
        <v>0.83345359584922518</v>
      </c>
      <c r="G46" s="4">
        <f>G45/G37</f>
        <v>1.1673118279569892</v>
      </c>
      <c r="H46" s="4">
        <f t="shared" si="17"/>
        <v>0.9086900129701686</v>
      </c>
      <c r="I46" s="4">
        <f t="shared" si="17"/>
        <v>1.14546211875781</v>
      </c>
      <c r="J46" s="4">
        <f t="shared" si="17"/>
        <v>1.185614594208473</v>
      </c>
      <c r="K46" s="4">
        <f t="shared" si="17"/>
        <v>0.84937518595656059</v>
      </c>
      <c r="L46" s="4">
        <f t="shared" si="17"/>
        <v>0.4367437337942956</v>
      </c>
      <c r="M46" s="4">
        <f t="shared" si="17"/>
        <v>0.4027409881377404</v>
      </c>
      <c r="N46" s="4">
        <f>N45/N37</f>
        <v>0.57128118206271417</v>
      </c>
      <c r="O46" s="4">
        <f>O45/O37</f>
        <v>0.8040631863490455</v>
      </c>
      <c r="P46" s="3">
        <f t="shared" si="16"/>
        <v>10.712095725758955</v>
      </c>
    </row>
    <row r="47" spans="1:16" x14ac:dyDescent="0.4">
      <c r="A47" s="352"/>
      <c r="B47" s="555" t="s">
        <v>69</v>
      </c>
      <c r="C47" s="2" t="s">
        <v>63</v>
      </c>
      <c r="D47" s="7">
        <v>20.2</v>
      </c>
      <c r="E47" s="7">
        <v>22</v>
      </c>
      <c r="F47" s="7">
        <v>21.6</v>
      </c>
      <c r="G47" s="7">
        <v>17.8</v>
      </c>
      <c r="H47" s="2">
        <v>16.399999999999999</v>
      </c>
      <c r="I47" s="2">
        <v>30.8</v>
      </c>
      <c r="J47" s="2">
        <v>17.8</v>
      </c>
      <c r="K47" s="2">
        <v>13.4</v>
      </c>
      <c r="L47" s="2">
        <v>14.2</v>
      </c>
      <c r="M47" s="2">
        <v>17.7</v>
      </c>
      <c r="N47" s="2">
        <v>14.8</v>
      </c>
      <c r="O47" s="2">
        <v>19.899999999999999</v>
      </c>
      <c r="P47" s="3">
        <f t="shared" si="16"/>
        <v>226.60000000000002</v>
      </c>
    </row>
    <row r="48" spans="1:16" x14ac:dyDescent="0.4">
      <c r="A48" s="352"/>
      <c r="B48" s="383"/>
      <c r="C48" s="2" t="s">
        <v>66</v>
      </c>
      <c r="D48" s="7">
        <v>101</v>
      </c>
      <c r="E48" s="7">
        <v>59.3</v>
      </c>
      <c r="F48" s="7">
        <v>88.7</v>
      </c>
      <c r="G48" s="7">
        <v>66.900000000000006</v>
      </c>
      <c r="H48" s="2">
        <v>78.8</v>
      </c>
      <c r="I48" s="2">
        <v>88.2</v>
      </c>
      <c r="J48" s="2">
        <v>72.099999999999994</v>
      </c>
      <c r="K48" s="2">
        <v>31.6</v>
      </c>
      <c r="L48" s="2">
        <v>17.2</v>
      </c>
      <c r="M48" s="2">
        <v>27</v>
      </c>
      <c r="N48" s="2">
        <v>50.3</v>
      </c>
      <c r="O48" s="2">
        <v>70.8</v>
      </c>
      <c r="P48" s="3">
        <f t="shared" si="16"/>
        <v>751.9</v>
      </c>
    </row>
    <row r="49" spans="1:16" x14ac:dyDescent="0.4">
      <c r="A49" s="352"/>
      <c r="B49" s="383"/>
      <c r="C49" s="2" t="s">
        <v>67</v>
      </c>
      <c r="D49" s="7">
        <f>SUM(D47:D48)</f>
        <v>121.2</v>
      </c>
      <c r="E49" s="7">
        <v>63</v>
      </c>
      <c r="F49" s="7">
        <v>105</v>
      </c>
      <c r="G49" s="7">
        <v>84.7</v>
      </c>
      <c r="H49" s="7">
        <v>95.2</v>
      </c>
      <c r="I49" s="7">
        <v>119</v>
      </c>
      <c r="J49" s="7">
        <v>89.9</v>
      </c>
      <c r="K49" s="7">
        <v>45</v>
      </c>
      <c r="L49" s="7">
        <v>31.4</v>
      </c>
      <c r="M49" s="7">
        <v>44.7</v>
      </c>
      <c r="N49" s="7">
        <v>65.099999999999994</v>
      </c>
      <c r="O49" s="7">
        <v>90.7</v>
      </c>
      <c r="P49" s="3">
        <f t="shared" si="16"/>
        <v>954.9</v>
      </c>
    </row>
    <row r="50" spans="1:16" x14ac:dyDescent="0.4">
      <c r="A50" s="352"/>
      <c r="B50" s="383"/>
      <c r="C50" s="2" t="s">
        <v>25</v>
      </c>
      <c r="D50" s="4">
        <f t="shared" ref="D50:P50" si="18">D49/D41</f>
        <v>0.95961995249406185</v>
      </c>
      <c r="E50" s="4">
        <f t="shared" si="18"/>
        <v>0.79445145018915508</v>
      </c>
      <c r="F50" s="4">
        <f t="shared" si="18"/>
        <v>0.77035950110051354</v>
      </c>
      <c r="G50" s="4">
        <f>G49/G41</f>
        <v>1.1174142480211082</v>
      </c>
      <c r="H50" s="4">
        <f>H49/H41</f>
        <v>0.75735879077167856</v>
      </c>
      <c r="I50" s="4">
        <f t="shared" si="18"/>
        <v>0.93774625689519298</v>
      </c>
      <c r="J50" s="4">
        <f t="shared" si="18"/>
        <v>0.84492481203007519</v>
      </c>
      <c r="K50" s="4">
        <f>K49/K41</f>
        <v>0.57840616966580982</v>
      </c>
      <c r="L50" s="4">
        <f>L49/L41</f>
        <v>0.34354485776805249</v>
      </c>
      <c r="M50" s="4">
        <f>M49/M41</f>
        <v>0.34437596302003082</v>
      </c>
      <c r="N50" s="4">
        <f t="shared" si="18"/>
        <v>0.57969723953695451</v>
      </c>
      <c r="O50" s="4">
        <f t="shared" si="18"/>
        <v>0.9217479674796748</v>
      </c>
      <c r="P50" s="4">
        <f t="shared" si="18"/>
        <v>0.74230410447761197</v>
      </c>
    </row>
    <row r="51" spans="1:16" x14ac:dyDescent="0.4">
      <c r="A51" s="352" t="s">
        <v>377</v>
      </c>
      <c r="B51" s="383" t="s">
        <v>371</v>
      </c>
      <c r="C51" s="2" t="s">
        <v>63</v>
      </c>
      <c r="D51" s="3">
        <v>3874</v>
      </c>
      <c r="E51" s="3">
        <v>4947</v>
      </c>
      <c r="F51" s="3">
        <v>4143</v>
      </c>
      <c r="G51" s="3">
        <v>3519</v>
      </c>
      <c r="H51" s="2">
        <v>2224</v>
      </c>
      <c r="I51" s="2">
        <v>2959</v>
      </c>
      <c r="J51" s="2">
        <v>7689</v>
      </c>
      <c r="K51" s="2">
        <v>3480</v>
      </c>
      <c r="L51" s="2">
        <v>4066</v>
      </c>
      <c r="M51" s="2">
        <v>4991</v>
      </c>
      <c r="N51" s="2">
        <v>4955</v>
      </c>
      <c r="O51" s="2">
        <v>5402</v>
      </c>
      <c r="P51" s="3">
        <f>SUM(D51:O51)</f>
        <v>52249</v>
      </c>
    </row>
    <row r="52" spans="1:16" x14ac:dyDescent="0.4">
      <c r="A52" s="352"/>
      <c r="B52" s="383"/>
      <c r="C52" s="2" t="s">
        <v>66</v>
      </c>
      <c r="D52" s="3">
        <v>12133</v>
      </c>
      <c r="E52" s="3">
        <v>12456</v>
      </c>
      <c r="F52" s="3">
        <v>12256</v>
      </c>
      <c r="G52" s="3">
        <v>11028</v>
      </c>
      <c r="H52" s="2">
        <v>4459</v>
      </c>
      <c r="I52" s="2">
        <v>4914</v>
      </c>
      <c r="J52" s="2">
        <v>5066</v>
      </c>
      <c r="K52" s="2">
        <v>4372</v>
      </c>
      <c r="L52" s="2">
        <v>10745</v>
      </c>
      <c r="M52" s="2">
        <v>16151</v>
      </c>
      <c r="N52" s="2">
        <v>18793</v>
      </c>
      <c r="O52" s="2">
        <v>19903</v>
      </c>
      <c r="P52" s="3">
        <f t="shared" ref="P52:P57" si="19">SUM(D52:O52)</f>
        <v>132276</v>
      </c>
    </row>
    <row r="53" spans="1:16" x14ac:dyDescent="0.4">
      <c r="A53" s="352"/>
      <c r="B53" s="383"/>
      <c r="C53" s="2" t="s">
        <v>67</v>
      </c>
      <c r="D53" s="3">
        <v>16007</v>
      </c>
      <c r="E53" s="3">
        <v>17403</v>
      </c>
      <c r="F53" s="3">
        <v>16339</v>
      </c>
      <c r="G53" s="3">
        <v>14547</v>
      </c>
      <c r="H53" s="3">
        <v>6683</v>
      </c>
      <c r="I53" s="3">
        <v>7873</v>
      </c>
      <c r="J53" s="3">
        <v>12755</v>
      </c>
      <c r="K53" s="3">
        <v>7852</v>
      </c>
      <c r="L53" s="3">
        <v>14811</v>
      </c>
      <c r="M53" s="3">
        <v>21142</v>
      </c>
      <c r="N53" s="3">
        <v>23748</v>
      </c>
      <c r="O53" s="3">
        <v>25305</v>
      </c>
      <c r="P53" s="3">
        <f t="shared" si="19"/>
        <v>184465</v>
      </c>
    </row>
    <row r="54" spans="1:16" x14ac:dyDescent="0.4">
      <c r="A54" s="352"/>
      <c r="B54" s="383"/>
      <c r="C54" s="2" t="s">
        <v>68</v>
      </c>
      <c r="D54" s="4">
        <f>D53/D45</f>
        <v>0.56362676056338024</v>
      </c>
      <c r="E54" s="4">
        <f>E53/E45</f>
        <v>0.8956306932221707</v>
      </c>
      <c r="F54" s="4">
        <f>F53/F45</f>
        <v>0.67360653034300788</v>
      </c>
      <c r="G54" s="4">
        <f>G53/G45</f>
        <v>0.89333087693441415</v>
      </c>
      <c r="H54" s="4">
        <f t="shared" ref="H54:M54" si="20">H53/H45</f>
        <v>0.31796555333523646</v>
      </c>
      <c r="I54" s="4">
        <f t="shared" si="20"/>
        <v>0.31810101010101011</v>
      </c>
      <c r="J54" s="4">
        <f t="shared" si="20"/>
        <v>0.59113871251795891</v>
      </c>
      <c r="K54" s="4">
        <f t="shared" si="20"/>
        <v>0.68762588668009461</v>
      </c>
      <c r="L54" s="4">
        <f t="shared" si="20"/>
        <v>1.8319109461966605</v>
      </c>
      <c r="M54" s="4">
        <f t="shared" si="20"/>
        <v>2.0152511676675244</v>
      </c>
      <c r="N54" s="4">
        <f>N53/N45</f>
        <v>1.5317337461300309</v>
      </c>
      <c r="O54" s="4">
        <f>O53/O45</f>
        <v>1.3292535588590639</v>
      </c>
      <c r="P54" s="3">
        <f t="shared" si="19"/>
        <v>11.649175442550552</v>
      </c>
    </row>
    <row r="55" spans="1:16" x14ac:dyDescent="0.4">
      <c r="A55" s="352"/>
      <c r="B55" s="555" t="s">
        <v>69</v>
      </c>
      <c r="C55" s="2" t="s">
        <v>63</v>
      </c>
      <c r="D55" s="7">
        <v>16.899999999999999</v>
      </c>
      <c r="E55" s="7">
        <v>21.7</v>
      </c>
      <c r="F55" s="7">
        <v>17.100000000000001</v>
      </c>
      <c r="G55" s="7">
        <v>15.3</v>
      </c>
      <c r="H55" s="2">
        <v>10.3</v>
      </c>
      <c r="I55" s="2">
        <v>13.5</v>
      </c>
      <c r="J55" s="2">
        <v>32.299999999999997</v>
      </c>
      <c r="K55" s="2">
        <v>14.7</v>
      </c>
      <c r="L55" s="2">
        <v>18.399999999999999</v>
      </c>
      <c r="M55" s="2">
        <v>22.8</v>
      </c>
      <c r="N55" s="2">
        <v>20.9</v>
      </c>
      <c r="O55" s="2">
        <v>22.9</v>
      </c>
      <c r="P55" s="3">
        <f t="shared" si="19"/>
        <v>226.8</v>
      </c>
    </row>
    <row r="56" spans="1:16" x14ac:dyDescent="0.4">
      <c r="A56" s="352"/>
      <c r="B56" s="383"/>
      <c r="C56" s="2" t="s">
        <v>66</v>
      </c>
      <c r="D56" s="7">
        <v>55.9</v>
      </c>
      <c r="E56" s="7">
        <v>50.5</v>
      </c>
      <c r="F56" s="7">
        <v>50.3</v>
      </c>
      <c r="G56" s="7">
        <v>40.299999999999997</v>
      </c>
      <c r="H56" s="2">
        <v>17</v>
      </c>
      <c r="I56" s="2">
        <v>18.3</v>
      </c>
      <c r="J56" s="2">
        <v>18.600000000000001</v>
      </c>
      <c r="K56" s="2">
        <v>17.8</v>
      </c>
      <c r="L56" s="2">
        <v>39.700000000000003</v>
      </c>
      <c r="M56" s="2">
        <v>71.2</v>
      </c>
      <c r="N56" s="2">
        <v>77.8</v>
      </c>
      <c r="O56" s="2">
        <v>85.4</v>
      </c>
      <c r="P56" s="3">
        <f t="shared" si="19"/>
        <v>542.79999999999995</v>
      </c>
    </row>
    <row r="57" spans="1:16" x14ac:dyDescent="0.4">
      <c r="A57" s="352"/>
      <c r="B57" s="383"/>
      <c r="C57" s="2" t="s">
        <v>67</v>
      </c>
      <c r="D57" s="7">
        <v>72.8</v>
      </c>
      <c r="E57" s="7">
        <v>72.2</v>
      </c>
      <c r="F57" s="7">
        <v>67.400000000000006</v>
      </c>
      <c r="G57" s="7">
        <v>55.6</v>
      </c>
      <c r="H57" s="7">
        <v>27.3</v>
      </c>
      <c r="I57" s="7">
        <v>31.8</v>
      </c>
      <c r="J57" s="7">
        <v>50.9</v>
      </c>
      <c r="K57" s="7">
        <v>32.5</v>
      </c>
      <c r="L57" s="7">
        <v>58.1</v>
      </c>
      <c r="M57" s="7">
        <v>94</v>
      </c>
      <c r="N57" s="7">
        <v>98.7</v>
      </c>
      <c r="O57" s="7">
        <v>108.3</v>
      </c>
      <c r="P57" s="3">
        <f t="shared" si="19"/>
        <v>769.6</v>
      </c>
    </row>
    <row r="58" spans="1:16" x14ac:dyDescent="0.4">
      <c r="A58" s="352"/>
      <c r="B58" s="383"/>
      <c r="C58" s="2" t="s">
        <v>25</v>
      </c>
      <c r="D58" s="4">
        <f t="shared" ref="D58:P58" si="21">D57/D49</f>
        <v>0.6006600660066006</v>
      </c>
      <c r="E58" s="4">
        <f t="shared" si="21"/>
        <v>1.1460317460317462</v>
      </c>
      <c r="F58" s="4">
        <f t="shared" si="21"/>
        <v>0.64190476190476198</v>
      </c>
      <c r="G58" s="4">
        <f t="shared" si="21"/>
        <v>0.65643447461629278</v>
      </c>
      <c r="H58" s="4">
        <f t="shared" si="21"/>
        <v>0.28676470588235292</v>
      </c>
      <c r="I58" s="4">
        <f t="shared" si="21"/>
        <v>0.26722689075630252</v>
      </c>
      <c r="J58" s="4">
        <f t="shared" si="21"/>
        <v>0.56618464961067849</v>
      </c>
      <c r="K58" s="4">
        <f t="shared" si="21"/>
        <v>0.72222222222222221</v>
      </c>
      <c r="L58" s="4">
        <f t="shared" si="21"/>
        <v>1.8503184713375798</v>
      </c>
      <c r="M58" s="4">
        <f t="shared" si="21"/>
        <v>2.1029082774049215</v>
      </c>
      <c r="N58" s="4">
        <f t="shared" si="21"/>
        <v>1.5161290322580647</v>
      </c>
      <c r="O58" s="4">
        <f t="shared" si="21"/>
        <v>1.1940463065049614</v>
      </c>
      <c r="P58" s="4">
        <f t="shared" si="21"/>
        <v>0.80594826683422349</v>
      </c>
    </row>
    <row r="59" spans="1:16" x14ac:dyDescent="0.4">
      <c r="A59" s="352" t="s">
        <v>378</v>
      </c>
      <c r="B59" s="383" t="s">
        <v>371</v>
      </c>
      <c r="C59" s="2" t="s">
        <v>63</v>
      </c>
      <c r="D59" s="3">
        <v>5105</v>
      </c>
      <c r="E59" s="3">
        <v>4555</v>
      </c>
      <c r="F59" s="3">
        <v>4663</v>
      </c>
      <c r="G59" s="3">
        <v>4021</v>
      </c>
      <c r="H59" s="2">
        <v>5285</v>
      </c>
      <c r="I59" s="2">
        <v>3297</v>
      </c>
      <c r="J59" s="2">
        <v>4209</v>
      </c>
      <c r="K59" s="2">
        <v>3945</v>
      </c>
      <c r="L59" s="2">
        <v>3737</v>
      </c>
      <c r="M59" s="2">
        <v>3770</v>
      </c>
      <c r="N59" s="2">
        <v>3881</v>
      </c>
      <c r="O59" s="2">
        <v>9441</v>
      </c>
      <c r="P59" s="3">
        <f>SUM(D59:O59)</f>
        <v>55909</v>
      </c>
    </row>
    <row r="60" spans="1:16" x14ac:dyDescent="0.4">
      <c r="A60" s="352"/>
      <c r="B60" s="383"/>
      <c r="C60" s="2" t="s">
        <v>66</v>
      </c>
      <c r="D60" s="3">
        <v>18325</v>
      </c>
      <c r="E60" s="3">
        <v>9898</v>
      </c>
      <c r="F60" s="3">
        <v>22148</v>
      </c>
      <c r="G60" s="3">
        <v>19405</v>
      </c>
      <c r="H60" s="2">
        <v>15438</v>
      </c>
      <c r="I60" s="2">
        <v>15001</v>
      </c>
      <c r="J60" s="2">
        <v>13303</v>
      </c>
      <c r="K60" s="2">
        <v>14344</v>
      </c>
      <c r="L60" s="2">
        <v>15267</v>
      </c>
      <c r="M60" s="2">
        <v>16951</v>
      </c>
      <c r="N60" s="2">
        <v>12224</v>
      </c>
      <c r="O60" s="2">
        <v>11751</v>
      </c>
      <c r="P60" s="3">
        <f t="shared" ref="P60:P65" si="22">SUM(D60:O60)</f>
        <v>184055</v>
      </c>
    </row>
    <row r="61" spans="1:16" x14ac:dyDescent="0.4">
      <c r="A61" s="352"/>
      <c r="B61" s="383"/>
      <c r="C61" s="2" t="s">
        <v>67</v>
      </c>
      <c r="D61" s="3">
        <v>23426</v>
      </c>
      <c r="E61" s="3">
        <v>14453</v>
      </c>
      <c r="F61" s="3">
        <v>26811</v>
      </c>
      <c r="G61" s="3">
        <v>23426</v>
      </c>
      <c r="H61" s="3">
        <v>20723</v>
      </c>
      <c r="I61" s="3">
        <v>18298</v>
      </c>
      <c r="J61" s="3">
        <v>17512</v>
      </c>
      <c r="K61" s="3">
        <v>18289</v>
      </c>
      <c r="L61" s="3">
        <v>19004</v>
      </c>
      <c r="M61" s="3">
        <v>20721</v>
      </c>
      <c r="N61" s="3">
        <v>16035</v>
      </c>
      <c r="O61" s="3">
        <v>21192</v>
      </c>
      <c r="P61" s="3">
        <f t="shared" si="22"/>
        <v>239890</v>
      </c>
    </row>
    <row r="62" spans="1:16" x14ac:dyDescent="0.4">
      <c r="A62" s="352"/>
      <c r="B62" s="383"/>
      <c r="C62" s="2" t="s">
        <v>68</v>
      </c>
      <c r="D62" s="4">
        <f>D61/D53</f>
        <v>1.4634847254326233</v>
      </c>
      <c r="E62" s="4">
        <f>E61/E53</f>
        <v>0.83048899615008909</v>
      </c>
      <c r="F62" s="4">
        <f>F61/F53</f>
        <v>1.6409204969704387</v>
      </c>
      <c r="G62" s="4">
        <f>G61/G53</f>
        <v>1.610366398570152</v>
      </c>
      <c r="H62" s="4">
        <f t="shared" ref="H62:M62" si="23">H61/H53</f>
        <v>3.1008529103695945</v>
      </c>
      <c r="I62" s="4">
        <f t="shared" si="23"/>
        <v>2.3241458148101106</v>
      </c>
      <c r="J62" s="4">
        <f t="shared" si="23"/>
        <v>1.3729517836142688</v>
      </c>
      <c r="K62" s="4">
        <f t="shared" si="23"/>
        <v>2.3292154865002548</v>
      </c>
      <c r="L62" s="4">
        <f t="shared" si="23"/>
        <v>1.2831003983525757</v>
      </c>
      <c r="M62" s="4">
        <f t="shared" si="23"/>
        <v>0.98008703055529278</v>
      </c>
      <c r="N62" s="4">
        <f>N61/N53</f>
        <v>0.67521475492673066</v>
      </c>
      <c r="O62" s="4">
        <f>O61/O53</f>
        <v>0.83746295198577358</v>
      </c>
      <c r="P62" s="3">
        <f t="shared" si="22"/>
        <v>18.448291748237907</v>
      </c>
    </row>
    <row r="63" spans="1:16" x14ac:dyDescent="0.4">
      <c r="A63" s="352"/>
      <c r="B63" s="555" t="s">
        <v>69</v>
      </c>
      <c r="C63" s="2" t="s">
        <v>63</v>
      </c>
      <c r="D63" s="7">
        <v>22.2</v>
      </c>
      <c r="E63" s="7">
        <v>20.100000000000001</v>
      </c>
      <c r="F63" s="7">
        <v>21</v>
      </c>
      <c r="G63" s="7">
        <v>17.7</v>
      </c>
      <c r="H63" s="2">
        <v>22.5</v>
      </c>
      <c r="I63" s="2">
        <v>14.2</v>
      </c>
      <c r="J63" s="2">
        <v>18.5</v>
      </c>
      <c r="K63" s="2">
        <v>17.600000000000001</v>
      </c>
      <c r="L63" s="2">
        <v>16</v>
      </c>
      <c r="M63" s="2">
        <v>16.600000000000001</v>
      </c>
      <c r="N63" s="2">
        <v>16</v>
      </c>
      <c r="O63" s="2">
        <v>42</v>
      </c>
      <c r="P63" s="3">
        <f t="shared" si="22"/>
        <v>244.39999999999998</v>
      </c>
    </row>
    <row r="64" spans="1:16" x14ac:dyDescent="0.4">
      <c r="A64" s="352"/>
      <c r="B64" s="383"/>
      <c r="C64" s="2" t="s">
        <v>66</v>
      </c>
      <c r="D64" s="7">
        <v>81.8</v>
      </c>
      <c r="E64" s="7">
        <v>42.7</v>
      </c>
      <c r="F64" s="7">
        <v>99.2</v>
      </c>
      <c r="G64" s="7">
        <v>79.7</v>
      </c>
      <c r="H64" s="2">
        <v>61.8</v>
      </c>
      <c r="I64" s="2">
        <v>60.1</v>
      </c>
      <c r="J64" s="2">
        <v>60.5</v>
      </c>
      <c r="K64" s="2">
        <v>68.3</v>
      </c>
      <c r="L64" s="2">
        <v>70.599999999999994</v>
      </c>
      <c r="M64" s="2">
        <v>86.3</v>
      </c>
      <c r="N64" s="2">
        <v>62.8</v>
      </c>
      <c r="O64" s="2">
        <v>50.3</v>
      </c>
      <c r="P64" s="3">
        <f t="shared" si="22"/>
        <v>824.09999999999991</v>
      </c>
    </row>
    <row r="65" spans="1:16" x14ac:dyDescent="0.4">
      <c r="A65" s="352"/>
      <c r="B65" s="383"/>
      <c r="C65" s="2" t="s">
        <v>67</v>
      </c>
      <c r="D65" s="7">
        <v>104</v>
      </c>
      <c r="E65" s="7">
        <v>62.8</v>
      </c>
      <c r="F65" s="7">
        <v>120.2</v>
      </c>
      <c r="G65" s="7">
        <v>97.4</v>
      </c>
      <c r="H65" s="7">
        <v>84.3</v>
      </c>
      <c r="I65" s="7">
        <v>74.3</v>
      </c>
      <c r="J65" s="7">
        <v>79</v>
      </c>
      <c r="K65" s="7">
        <v>85.9</v>
      </c>
      <c r="L65" s="7">
        <v>86.6</v>
      </c>
      <c r="M65" s="7">
        <v>102.9</v>
      </c>
      <c r="N65" s="7">
        <v>78.8</v>
      </c>
      <c r="O65" s="7">
        <v>92.3</v>
      </c>
      <c r="P65" s="3">
        <f t="shared" si="22"/>
        <v>1068.5</v>
      </c>
    </row>
    <row r="66" spans="1:16" x14ac:dyDescent="0.4">
      <c r="A66" s="352"/>
      <c r="B66" s="383"/>
      <c r="C66" s="2" t="s">
        <v>25</v>
      </c>
      <c r="D66" s="4">
        <f t="shared" ref="D66:P66" si="24">D65/D57</f>
        <v>1.4285714285714286</v>
      </c>
      <c r="E66" s="4">
        <f t="shared" si="24"/>
        <v>0.8698060941828254</v>
      </c>
      <c r="F66" s="4">
        <f t="shared" si="24"/>
        <v>1.7833827893175074</v>
      </c>
      <c r="G66" s="4">
        <f t="shared" si="24"/>
        <v>1.7517985611510791</v>
      </c>
      <c r="H66" s="4">
        <f t="shared" si="24"/>
        <v>3.0879120879120876</v>
      </c>
      <c r="I66" s="4">
        <f t="shared" si="24"/>
        <v>2.3364779874213837</v>
      </c>
      <c r="J66" s="4">
        <f t="shared" si="24"/>
        <v>1.5520628683693518</v>
      </c>
      <c r="K66" s="4">
        <f t="shared" si="24"/>
        <v>2.6430769230769231</v>
      </c>
      <c r="L66" s="4">
        <f t="shared" si="24"/>
        <v>1.4905335628227192</v>
      </c>
      <c r="M66" s="4">
        <f t="shared" si="24"/>
        <v>1.09468085106383</v>
      </c>
      <c r="N66" s="4">
        <f t="shared" si="24"/>
        <v>0.79837892603850047</v>
      </c>
      <c r="O66" s="4">
        <f t="shared" si="24"/>
        <v>0.85226223453370265</v>
      </c>
      <c r="P66" s="4">
        <f t="shared" si="24"/>
        <v>1.3883835758835759</v>
      </c>
    </row>
    <row r="67" spans="1:16" x14ac:dyDescent="0.4">
      <c r="A67" s="352" t="s">
        <v>379</v>
      </c>
      <c r="B67" s="383" t="s">
        <v>371</v>
      </c>
      <c r="C67" s="2" t="s">
        <v>63</v>
      </c>
      <c r="D67" s="3">
        <v>5184</v>
      </c>
      <c r="E67" s="3">
        <v>3630</v>
      </c>
      <c r="F67" s="3">
        <v>4808</v>
      </c>
      <c r="G67" s="3">
        <v>4138</v>
      </c>
      <c r="H67" s="2">
        <v>4506</v>
      </c>
      <c r="I67" s="2">
        <v>3522</v>
      </c>
      <c r="J67" s="2">
        <v>5615</v>
      </c>
      <c r="K67" s="2">
        <v>6319</v>
      </c>
      <c r="L67" s="2">
        <v>4900</v>
      </c>
      <c r="M67" s="2">
        <v>3488</v>
      </c>
      <c r="N67" s="2">
        <v>4209</v>
      </c>
      <c r="O67" s="2">
        <v>4829</v>
      </c>
      <c r="P67" s="3">
        <f>SUM(D67:O67)</f>
        <v>55148</v>
      </c>
    </row>
    <row r="68" spans="1:16" x14ac:dyDescent="0.4">
      <c r="A68" s="352"/>
      <c r="B68" s="383"/>
      <c r="C68" s="2" t="s">
        <v>66</v>
      </c>
      <c r="D68" s="3">
        <v>13189</v>
      </c>
      <c r="E68" s="3">
        <v>9456</v>
      </c>
      <c r="F68" s="3">
        <v>11064</v>
      </c>
      <c r="G68" s="3">
        <v>12074</v>
      </c>
      <c r="H68" s="2">
        <v>15562</v>
      </c>
      <c r="I68" s="2">
        <v>24745</v>
      </c>
      <c r="J68" s="2">
        <v>21388</v>
      </c>
      <c r="K68" s="2">
        <v>15255</v>
      </c>
      <c r="L68" s="2">
        <v>11893</v>
      </c>
      <c r="M68" s="2">
        <v>19725</v>
      </c>
      <c r="N68" s="2">
        <v>22584</v>
      </c>
      <c r="O68" s="2">
        <v>19757</v>
      </c>
      <c r="P68" s="3">
        <f t="shared" ref="P68:P73" si="25">SUM(D68:O68)</f>
        <v>196692</v>
      </c>
    </row>
    <row r="69" spans="1:16" x14ac:dyDescent="0.4">
      <c r="A69" s="352"/>
      <c r="B69" s="383"/>
      <c r="C69" s="2" t="s">
        <v>67</v>
      </c>
      <c r="D69" s="3">
        <v>18373</v>
      </c>
      <c r="E69" s="3">
        <v>13086</v>
      </c>
      <c r="F69" s="3">
        <v>15872</v>
      </c>
      <c r="G69" s="3">
        <v>16212</v>
      </c>
      <c r="H69" s="3">
        <v>20068</v>
      </c>
      <c r="I69" s="3">
        <v>28267</v>
      </c>
      <c r="J69" s="3">
        <v>27003</v>
      </c>
      <c r="K69" s="3">
        <v>21574</v>
      </c>
      <c r="L69" s="3">
        <v>16793</v>
      </c>
      <c r="M69" s="3">
        <v>23213</v>
      </c>
      <c r="N69" s="3">
        <v>26793</v>
      </c>
      <c r="O69" s="3">
        <v>24586</v>
      </c>
      <c r="P69" s="3">
        <f t="shared" si="25"/>
        <v>251840</v>
      </c>
    </row>
    <row r="70" spans="1:16" x14ac:dyDescent="0.4">
      <c r="A70" s="352"/>
      <c r="B70" s="383"/>
      <c r="C70" s="2" t="s">
        <v>68</v>
      </c>
      <c r="D70" s="4">
        <f>D69/D61</f>
        <v>0.78429949628617779</v>
      </c>
      <c r="E70" s="4">
        <f>E69/E61</f>
        <v>0.90541756036808962</v>
      </c>
      <c r="F70" s="4">
        <f>F69/F61</f>
        <v>0.59199582261012273</v>
      </c>
      <c r="G70" s="4">
        <f>G69/G61</f>
        <v>0.69205156663536238</v>
      </c>
      <c r="H70" s="4">
        <f t="shared" ref="H70:M70" si="26">H69/H61</f>
        <v>0.96839260724798537</v>
      </c>
      <c r="I70" s="4">
        <f t="shared" si="26"/>
        <v>1.5448136408350639</v>
      </c>
      <c r="J70" s="4">
        <f t="shared" si="26"/>
        <v>1.5419712197350388</v>
      </c>
      <c r="K70" s="4">
        <f t="shared" si="26"/>
        <v>1.1796161627207611</v>
      </c>
      <c r="L70" s="4">
        <f>L69/L61</f>
        <v>0.88365607240580935</v>
      </c>
      <c r="M70" s="4">
        <f t="shared" si="26"/>
        <v>1.1202644660006758</v>
      </c>
      <c r="N70" s="4">
        <f>N69/N61</f>
        <v>1.6709073900841909</v>
      </c>
      <c r="O70" s="4">
        <f>O69/O61</f>
        <v>1.1601547753869386</v>
      </c>
      <c r="P70" s="3">
        <f t="shared" si="25"/>
        <v>13.043540780316215</v>
      </c>
    </row>
    <row r="71" spans="1:16" x14ac:dyDescent="0.4">
      <c r="A71" s="352"/>
      <c r="B71" s="555" t="s">
        <v>69</v>
      </c>
      <c r="C71" s="2" t="s">
        <v>63</v>
      </c>
      <c r="D71" s="7">
        <v>21.6</v>
      </c>
      <c r="E71" s="7">
        <v>15.8</v>
      </c>
      <c r="F71" s="7">
        <v>20.8</v>
      </c>
      <c r="G71" s="7">
        <v>17.5</v>
      </c>
      <c r="H71" s="2">
        <v>19.100000000000001</v>
      </c>
      <c r="I71" s="2">
        <v>15.4</v>
      </c>
      <c r="J71" s="2">
        <v>24</v>
      </c>
      <c r="K71" s="2">
        <v>26.7</v>
      </c>
      <c r="L71" s="2">
        <v>20.5</v>
      </c>
      <c r="M71" s="2">
        <v>15.4</v>
      </c>
      <c r="N71" s="2">
        <v>23.8</v>
      </c>
      <c r="O71" s="2">
        <v>22</v>
      </c>
      <c r="P71" s="3">
        <f t="shared" si="25"/>
        <v>242.60000000000002</v>
      </c>
    </row>
    <row r="72" spans="1:16" x14ac:dyDescent="0.4">
      <c r="A72" s="352"/>
      <c r="B72" s="383"/>
      <c r="C72" s="2" t="s">
        <v>66</v>
      </c>
      <c r="D72" s="7">
        <v>48.7</v>
      </c>
      <c r="E72" s="7">
        <v>34.5</v>
      </c>
      <c r="F72" s="7">
        <v>38.799999999999997</v>
      </c>
      <c r="G72" s="7">
        <v>47</v>
      </c>
      <c r="H72" s="2">
        <v>56.6</v>
      </c>
      <c r="I72" s="2">
        <v>99.2</v>
      </c>
      <c r="J72" s="2">
        <v>87.9</v>
      </c>
      <c r="K72" s="2">
        <v>58.8</v>
      </c>
      <c r="L72" s="2">
        <v>47.3</v>
      </c>
      <c r="M72" s="2">
        <v>85.9</v>
      </c>
      <c r="N72" s="2">
        <v>94.6</v>
      </c>
      <c r="O72" s="2">
        <v>89.3</v>
      </c>
      <c r="P72" s="3">
        <f t="shared" si="25"/>
        <v>788.6</v>
      </c>
    </row>
    <row r="73" spans="1:16" x14ac:dyDescent="0.4">
      <c r="A73" s="352"/>
      <c r="B73" s="383"/>
      <c r="C73" s="2" t="s">
        <v>67</v>
      </c>
      <c r="D73" s="7">
        <v>70.3</v>
      </c>
      <c r="E73" s="7">
        <v>50.3</v>
      </c>
      <c r="F73" s="7">
        <v>59.6</v>
      </c>
      <c r="G73" s="7">
        <v>64.5</v>
      </c>
      <c r="H73" s="7">
        <v>75.7</v>
      </c>
      <c r="I73" s="7">
        <v>114.6</v>
      </c>
      <c r="J73" s="7">
        <v>111.9</v>
      </c>
      <c r="K73" s="7">
        <v>85.5</v>
      </c>
      <c r="L73" s="7">
        <v>67.8</v>
      </c>
      <c r="M73" s="7">
        <v>101.3</v>
      </c>
      <c r="N73" s="7">
        <v>118.4</v>
      </c>
      <c r="O73" s="7">
        <v>111.3</v>
      </c>
      <c r="P73" s="3">
        <f t="shared" si="25"/>
        <v>1031.1999999999998</v>
      </c>
    </row>
    <row r="74" spans="1:16" ht="17.5" thickBot="1" x14ac:dyDescent="0.45">
      <c r="A74" s="352"/>
      <c r="B74" s="383"/>
      <c r="C74" s="163" t="s">
        <v>25</v>
      </c>
      <c r="D74" s="164">
        <f t="shared" ref="D74:P74" si="27">D73/D65</f>
        <v>0.67596153846153839</v>
      </c>
      <c r="E74" s="164">
        <f t="shared" si="27"/>
        <v>0.80095541401273884</v>
      </c>
      <c r="F74" s="164">
        <f t="shared" si="27"/>
        <v>0.49584026622296173</v>
      </c>
      <c r="G74" s="164">
        <f t="shared" si="27"/>
        <v>0.66221765913757691</v>
      </c>
      <c r="H74" s="164">
        <f t="shared" si="27"/>
        <v>0.89798339264531446</v>
      </c>
      <c r="I74" s="164">
        <f t="shared" si="27"/>
        <v>1.5423956931359353</v>
      </c>
      <c r="J74" s="164">
        <f t="shared" si="27"/>
        <v>1.4164556962025316</v>
      </c>
      <c r="K74" s="164">
        <f t="shared" si="27"/>
        <v>0.99534342258440045</v>
      </c>
      <c r="L74" s="164">
        <f t="shared" si="27"/>
        <v>0.7829099307159354</v>
      </c>
      <c r="M74" s="164">
        <f t="shared" si="27"/>
        <v>0.98445092322643335</v>
      </c>
      <c r="N74" s="164">
        <f>N73/N65</f>
        <v>1.5025380710659899</v>
      </c>
      <c r="O74" s="164">
        <f t="shared" si="27"/>
        <v>1.2058504875406284</v>
      </c>
      <c r="P74" s="4">
        <f t="shared" si="27"/>
        <v>0.96509124941506763</v>
      </c>
    </row>
    <row r="75" spans="1:16" x14ac:dyDescent="0.4">
      <c r="A75" s="352" t="s">
        <v>380</v>
      </c>
      <c r="B75" s="546" t="s">
        <v>371</v>
      </c>
      <c r="C75" s="165" t="s">
        <v>63</v>
      </c>
      <c r="D75" s="166">
        <v>3326</v>
      </c>
      <c r="E75" s="166">
        <v>3436</v>
      </c>
      <c r="F75" s="166">
        <v>4801</v>
      </c>
      <c r="G75" s="166">
        <v>4862</v>
      </c>
      <c r="H75" s="167">
        <v>5295</v>
      </c>
      <c r="I75" s="167">
        <v>3902</v>
      </c>
      <c r="J75" s="167">
        <v>4638</v>
      </c>
      <c r="K75" s="167">
        <v>5421</v>
      </c>
      <c r="L75" s="167">
        <v>4525</v>
      </c>
      <c r="M75" s="167">
        <v>5495</v>
      </c>
      <c r="N75" s="167">
        <v>5418</v>
      </c>
      <c r="O75" s="168">
        <v>5089</v>
      </c>
      <c r="P75" s="3">
        <f>SUM(D75:O75)</f>
        <v>56208</v>
      </c>
    </row>
    <row r="76" spans="1:16" x14ac:dyDescent="0.4">
      <c r="A76" s="352"/>
      <c r="B76" s="546"/>
      <c r="C76" s="169" t="s">
        <v>66</v>
      </c>
      <c r="D76" s="129">
        <v>12689</v>
      </c>
      <c r="E76" s="129">
        <v>16151</v>
      </c>
      <c r="F76" s="129">
        <v>25682</v>
      </c>
      <c r="G76" s="129">
        <v>17945</v>
      </c>
      <c r="H76" s="127">
        <v>26863</v>
      </c>
      <c r="I76" s="127">
        <v>24155</v>
      </c>
      <c r="J76" s="127">
        <v>23086</v>
      </c>
      <c r="K76" s="127">
        <v>15512</v>
      </c>
      <c r="L76" s="127">
        <v>24465</v>
      </c>
      <c r="M76" s="127">
        <v>27306</v>
      </c>
      <c r="N76" s="127">
        <v>25550</v>
      </c>
      <c r="O76" s="170">
        <v>28195</v>
      </c>
      <c r="P76" s="3">
        <f t="shared" ref="P76:P81" si="28">SUM(D76:O76)</f>
        <v>267599</v>
      </c>
    </row>
    <row r="77" spans="1:16" x14ac:dyDescent="0.4">
      <c r="A77" s="352"/>
      <c r="B77" s="546"/>
      <c r="C77" s="171" t="s">
        <v>67</v>
      </c>
      <c r="D77" s="3">
        <v>16015</v>
      </c>
      <c r="E77" s="3">
        <v>19587</v>
      </c>
      <c r="F77" s="3">
        <v>30483</v>
      </c>
      <c r="G77" s="3">
        <v>22807</v>
      </c>
      <c r="H77" s="3">
        <f>SUM(H75:H76)</f>
        <v>32158</v>
      </c>
      <c r="I77" s="3">
        <v>23045</v>
      </c>
      <c r="J77" s="3">
        <f>J75+J76</f>
        <v>27724</v>
      </c>
      <c r="K77" s="3">
        <f>K75+K76</f>
        <v>20933</v>
      </c>
      <c r="L77" s="3">
        <f t="shared" ref="L77:O77" si="29">L75+L76</f>
        <v>28990</v>
      </c>
      <c r="M77" s="3">
        <f t="shared" si="29"/>
        <v>32801</v>
      </c>
      <c r="N77" s="3">
        <f t="shared" si="29"/>
        <v>30968</v>
      </c>
      <c r="O77" s="172">
        <f t="shared" si="29"/>
        <v>33284</v>
      </c>
      <c r="P77" s="3">
        <f t="shared" si="28"/>
        <v>318795</v>
      </c>
    </row>
    <row r="78" spans="1:16" ht="17.5" thickBot="1" x14ac:dyDescent="0.45">
      <c r="A78" s="352"/>
      <c r="B78" s="546"/>
      <c r="C78" s="173" t="s">
        <v>68</v>
      </c>
      <c r="D78" s="174">
        <f t="shared" ref="D78:I78" si="30">D77/D69</f>
        <v>0.87165950035378004</v>
      </c>
      <c r="E78" s="174">
        <f t="shared" si="30"/>
        <v>1.4967904630903255</v>
      </c>
      <c r="F78" s="174">
        <f t="shared" si="30"/>
        <v>1.9205519153225807</v>
      </c>
      <c r="G78" s="174">
        <f t="shared" si="30"/>
        <v>1.4067974339995066</v>
      </c>
      <c r="H78" s="174">
        <f t="shared" si="30"/>
        <v>1.6024516643412399</v>
      </c>
      <c r="I78" s="174">
        <f t="shared" si="30"/>
        <v>0.81526161248098494</v>
      </c>
      <c r="J78" s="174">
        <f t="shared" ref="J78:O78" si="31">J77/J69</f>
        <v>1.0267007369551531</v>
      </c>
      <c r="K78" s="174">
        <f t="shared" si="31"/>
        <v>0.97028831000278115</v>
      </c>
      <c r="L78" s="174">
        <f t="shared" si="31"/>
        <v>1.7263145358184957</v>
      </c>
      <c r="M78" s="174">
        <f t="shared" si="31"/>
        <v>1.4130444147675871</v>
      </c>
      <c r="N78" s="174">
        <f t="shared" si="31"/>
        <v>1.155824282461837</v>
      </c>
      <c r="O78" s="174">
        <f t="shared" si="31"/>
        <v>1.3537785731717238</v>
      </c>
      <c r="P78" s="3">
        <f t="shared" si="28"/>
        <v>15.759463442765995</v>
      </c>
    </row>
    <row r="79" spans="1:16" x14ac:dyDescent="0.4">
      <c r="A79" s="352"/>
      <c r="B79" s="547" t="s">
        <v>69</v>
      </c>
      <c r="C79" s="165" t="s">
        <v>63</v>
      </c>
      <c r="D79" s="177">
        <v>15.1</v>
      </c>
      <c r="E79" s="177">
        <v>15.6</v>
      </c>
      <c r="F79" s="177">
        <v>21.7</v>
      </c>
      <c r="G79" s="177">
        <v>22.1</v>
      </c>
      <c r="H79" s="167">
        <v>24.3</v>
      </c>
      <c r="I79" s="167">
        <v>18.100000000000001</v>
      </c>
      <c r="J79" s="167">
        <v>21.2</v>
      </c>
      <c r="K79" s="167">
        <v>25.1</v>
      </c>
      <c r="L79" s="167">
        <v>20.7</v>
      </c>
      <c r="M79" s="167">
        <v>25.2</v>
      </c>
      <c r="N79" s="167">
        <v>24.9</v>
      </c>
      <c r="O79" s="168">
        <v>23.2</v>
      </c>
      <c r="P79" s="3">
        <f t="shared" si="28"/>
        <v>257.2</v>
      </c>
    </row>
    <row r="80" spans="1:16" x14ac:dyDescent="0.4">
      <c r="A80" s="352"/>
      <c r="B80" s="548"/>
      <c r="C80" s="169" t="s">
        <v>66</v>
      </c>
      <c r="D80" s="128">
        <v>54.4</v>
      </c>
      <c r="E80" s="128">
        <v>66.2</v>
      </c>
      <c r="F80" s="128">
        <v>104.1</v>
      </c>
      <c r="G80" s="128">
        <v>71.599999999999994</v>
      </c>
      <c r="H80" s="127">
        <v>100.6</v>
      </c>
      <c r="I80" s="127">
        <v>93.9</v>
      </c>
      <c r="J80" s="127">
        <v>89.6</v>
      </c>
      <c r="K80" s="127">
        <v>62.6</v>
      </c>
      <c r="L80" s="127">
        <v>97.5</v>
      </c>
      <c r="M80" s="127">
        <v>118.8</v>
      </c>
      <c r="N80" s="127">
        <v>98.7</v>
      </c>
      <c r="O80" s="170">
        <v>122.3</v>
      </c>
      <c r="P80" s="3">
        <f t="shared" si="28"/>
        <v>1080.3</v>
      </c>
    </row>
    <row r="81" spans="1:16" x14ac:dyDescent="0.4">
      <c r="A81" s="352"/>
      <c r="B81" s="548"/>
      <c r="C81" s="171" t="s">
        <v>67</v>
      </c>
      <c r="D81" s="7">
        <v>69.5</v>
      </c>
      <c r="E81" s="7">
        <v>81.8</v>
      </c>
      <c r="F81" s="7">
        <v>125.8</v>
      </c>
      <c r="G81" s="7">
        <v>93.7</v>
      </c>
      <c r="H81" s="7">
        <v>124.9</v>
      </c>
      <c r="I81" s="7">
        <v>112</v>
      </c>
      <c r="J81" s="7">
        <v>110.8</v>
      </c>
      <c r="K81" s="7">
        <f>K79+K80</f>
        <v>87.7</v>
      </c>
      <c r="L81" s="7">
        <f t="shared" ref="L81:O81" si="32">L79+L80</f>
        <v>118.2</v>
      </c>
      <c r="M81" s="7">
        <f t="shared" si="32"/>
        <v>144</v>
      </c>
      <c r="N81" s="7">
        <f t="shared" si="32"/>
        <v>123.6</v>
      </c>
      <c r="O81" s="178">
        <f t="shared" si="32"/>
        <v>145.5</v>
      </c>
      <c r="P81" s="3">
        <f t="shared" si="28"/>
        <v>1337.5</v>
      </c>
    </row>
    <row r="82" spans="1:16" ht="17.5" thickBot="1" x14ac:dyDescent="0.45">
      <c r="A82" s="352"/>
      <c r="B82" s="548"/>
      <c r="C82" s="173" t="s">
        <v>25</v>
      </c>
      <c r="D82" s="174">
        <f t="shared" ref="D82:I82" si="33">D81/D73</f>
        <v>0.988620199146515</v>
      </c>
      <c r="E82" s="174">
        <f t="shared" si="33"/>
        <v>1.6262425447316105</v>
      </c>
      <c r="F82" s="174">
        <f t="shared" si="33"/>
        <v>2.1107382550335569</v>
      </c>
      <c r="G82" s="174">
        <f t="shared" si="33"/>
        <v>1.4527131782945737</v>
      </c>
      <c r="H82" s="174">
        <f t="shared" si="33"/>
        <v>1.6499339498018495</v>
      </c>
      <c r="I82" s="174">
        <f t="shared" si="33"/>
        <v>0.97731239092495636</v>
      </c>
      <c r="J82" s="174">
        <f>J81/J73</f>
        <v>0.99016979445933861</v>
      </c>
      <c r="K82" s="174">
        <f>K81/K73</f>
        <v>1.0257309941520467</v>
      </c>
      <c r="L82" s="174">
        <f t="shared" ref="L82:P82" si="34">L81/L73</f>
        <v>1.7433628318584071</v>
      </c>
      <c r="M82" s="174">
        <f t="shared" si="34"/>
        <v>1.4215202369200395</v>
      </c>
      <c r="N82" s="174">
        <f t="shared" si="34"/>
        <v>1.0439189189189189</v>
      </c>
      <c r="O82" s="175">
        <f t="shared" si="34"/>
        <v>1.307277628032345</v>
      </c>
      <c r="P82" s="4">
        <f t="shared" si="34"/>
        <v>1.2970325833979832</v>
      </c>
    </row>
    <row r="83" spans="1:16" x14ac:dyDescent="0.4">
      <c r="A83" s="352" t="s">
        <v>381</v>
      </c>
      <c r="B83" s="546" t="s">
        <v>371</v>
      </c>
      <c r="C83" s="165" t="s">
        <v>63</v>
      </c>
      <c r="D83" s="166">
        <v>4823</v>
      </c>
      <c r="E83" s="166">
        <v>3211</v>
      </c>
      <c r="F83" s="166">
        <v>4561</v>
      </c>
      <c r="G83" s="166">
        <v>4282</v>
      </c>
      <c r="H83" s="167">
        <v>4205</v>
      </c>
      <c r="I83" s="167">
        <v>3612</v>
      </c>
      <c r="J83" s="167">
        <v>4443</v>
      </c>
      <c r="K83" s="167">
        <v>3218</v>
      </c>
      <c r="L83" s="167">
        <v>3546</v>
      </c>
      <c r="M83" s="167">
        <v>3690</v>
      </c>
      <c r="N83" s="167">
        <v>3413</v>
      </c>
      <c r="O83" s="168">
        <v>4247</v>
      </c>
      <c r="P83" s="3">
        <f>SUM(D83:O83)</f>
        <v>47251</v>
      </c>
    </row>
    <row r="84" spans="1:16" x14ac:dyDescent="0.4">
      <c r="A84" s="352"/>
      <c r="B84" s="546"/>
      <c r="C84" s="169" t="s">
        <v>66</v>
      </c>
      <c r="D84" s="129">
        <v>30646</v>
      </c>
      <c r="E84" s="129">
        <v>14741</v>
      </c>
      <c r="F84" s="129">
        <v>28584</v>
      </c>
      <c r="G84" s="129">
        <v>22237</v>
      </c>
      <c r="H84" s="127">
        <v>23832</v>
      </c>
      <c r="I84" s="127">
        <v>27875</v>
      </c>
      <c r="J84" s="127">
        <v>24512</v>
      </c>
      <c r="K84" s="127">
        <v>20063</v>
      </c>
      <c r="L84" s="127">
        <v>25264.5</v>
      </c>
      <c r="M84" s="127">
        <v>24707</v>
      </c>
      <c r="N84" s="127">
        <v>20032</v>
      </c>
      <c r="O84" s="170">
        <v>22602</v>
      </c>
      <c r="P84" s="3">
        <f t="shared" ref="P84:P89" si="35">SUM(D84:O84)</f>
        <v>285095.5</v>
      </c>
    </row>
    <row r="85" spans="1:16" x14ac:dyDescent="0.4">
      <c r="A85" s="352"/>
      <c r="B85" s="546"/>
      <c r="C85" s="171" t="s">
        <v>67</v>
      </c>
      <c r="D85" s="3">
        <f>D83+D84</f>
        <v>35469</v>
      </c>
      <c r="E85" s="3">
        <f t="shared" ref="E85:O85" si="36">E83+E84</f>
        <v>17952</v>
      </c>
      <c r="F85" s="3">
        <f t="shared" si="36"/>
        <v>33145</v>
      </c>
      <c r="G85" s="3">
        <f t="shared" si="36"/>
        <v>26519</v>
      </c>
      <c r="H85" s="3">
        <f t="shared" si="36"/>
        <v>28037</v>
      </c>
      <c r="I85" s="3">
        <f t="shared" si="36"/>
        <v>31487</v>
      </c>
      <c r="J85" s="3">
        <f t="shared" si="36"/>
        <v>28955</v>
      </c>
      <c r="K85" s="3">
        <f t="shared" si="36"/>
        <v>23281</v>
      </c>
      <c r="L85" s="3">
        <f t="shared" si="36"/>
        <v>28810.5</v>
      </c>
      <c r="M85" s="3">
        <f t="shared" si="36"/>
        <v>28397</v>
      </c>
      <c r="N85" s="3">
        <f t="shared" si="36"/>
        <v>23445</v>
      </c>
      <c r="O85" s="172">
        <f t="shared" si="36"/>
        <v>26849</v>
      </c>
      <c r="P85" s="3">
        <f t="shared" si="35"/>
        <v>332346.5</v>
      </c>
    </row>
    <row r="86" spans="1:16" ht="17.5" thickBot="1" x14ac:dyDescent="0.45">
      <c r="A86" s="352"/>
      <c r="B86" s="546"/>
      <c r="C86" s="173" t="s">
        <v>68</v>
      </c>
      <c r="D86" s="174">
        <f>D85/D77</f>
        <v>2.2147361848267249</v>
      </c>
      <c r="E86" s="174">
        <f t="shared" ref="E86:O86" si="37">E85/E77</f>
        <v>0.91652626742226984</v>
      </c>
      <c r="F86" s="174">
        <f>F85/F77</f>
        <v>1.0873273627923761</v>
      </c>
      <c r="G86" s="174">
        <f>G85/G77</f>
        <v>1.1627570482746525</v>
      </c>
      <c r="H86" s="174">
        <f t="shared" si="37"/>
        <v>0.87185148330120033</v>
      </c>
      <c r="I86" s="174">
        <f t="shared" si="37"/>
        <v>1.3663267520069429</v>
      </c>
      <c r="J86" s="174">
        <f t="shared" si="37"/>
        <v>1.044401962198817</v>
      </c>
      <c r="K86" s="174">
        <f t="shared" si="37"/>
        <v>1.1121673912004968</v>
      </c>
      <c r="L86" s="174">
        <f t="shared" si="37"/>
        <v>0.99380820972749229</v>
      </c>
      <c r="M86" s="174">
        <f t="shared" si="37"/>
        <v>0.86573580073778234</v>
      </c>
      <c r="N86" s="174">
        <f t="shared" si="37"/>
        <v>0.7570718160681994</v>
      </c>
      <c r="O86" s="175">
        <f t="shared" si="37"/>
        <v>0.80666386251652444</v>
      </c>
      <c r="P86" s="3">
        <f t="shared" si="35"/>
        <v>13.199374141073479</v>
      </c>
    </row>
    <row r="87" spans="1:16" x14ac:dyDescent="0.4">
      <c r="A87" s="352"/>
      <c r="B87" s="547" t="s">
        <v>69</v>
      </c>
      <c r="C87" s="165" t="s">
        <v>63</v>
      </c>
      <c r="D87" s="177">
        <v>22.2</v>
      </c>
      <c r="E87" s="177">
        <v>14.6</v>
      </c>
      <c r="F87" s="177">
        <v>20.5</v>
      </c>
      <c r="G87" s="177">
        <v>19.600000000000001</v>
      </c>
      <c r="H87" s="167">
        <v>19.3</v>
      </c>
      <c r="I87" s="167">
        <v>16.7</v>
      </c>
      <c r="J87" s="167">
        <v>20.100000000000001</v>
      </c>
      <c r="K87" s="167">
        <v>14.8</v>
      </c>
      <c r="L87" s="167">
        <v>16.600000000000001</v>
      </c>
      <c r="M87" s="167">
        <v>17.100000000000001</v>
      </c>
      <c r="N87" s="167">
        <v>16.100000000000001</v>
      </c>
      <c r="O87" s="168">
        <v>19.7</v>
      </c>
      <c r="P87" s="3">
        <f t="shared" si="35"/>
        <v>217.29999999999998</v>
      </c>
    </row>
    <row r="88" spans="1:16" x14ac:dyDescent="0.4">
      <c r="A88" s="352"/>
      <c r="B88" s="548"/>
      <c r="C88" s="169" t="s">
        <v>66</v>
      </c>
      <c r="D88" s="128">
        <v>121.16</v>
      </c>
      <c r="E88" s="128">
        <v>61.5</v>
      </c>
      <c r="F88" s="128">
        <v>123.1</v>
      </c>
      <c r="G88" s="128">
        <v>91.6</v>
      </c>
      <c r="H88" s="127">
        <v>89.7</v>
      </c>
      <c r="I88" s="127">
        <v>119.8</v>
      </c>
      <c r="J88" s="127">
        <v>88</v>
      </c>
      <c r="K88" s="127">
        <v>77.3</v>
      </c>
      <c r="L88" s="127">
        <v>103.5</v>
      </c>
      <c r="M88" s="127">
        <v>88.5</v>
      </c>
      <c r="N88" s="127">
        <v>67.599999999999994</v>
      </c>
      <c r="O88" s="170">
        <v>76.900000000000006</v>
      </c>
      <c r="P88" s="3">
        <f t="shared" si="35"/>
        <v>1108.6600000000001</v>
      </c>
    </row>
    <row r="89" spans="1:16" x14ac:dyDescent="0.4">
      <c r="A89" s="352"/>
      <c r="B89" s="548"/>
      <c r="C89" s="171" t="s">
        <v>67</v>
      </c>
      <c r="D89" s="7">
        <f>D87+D88</f>
        <v>143.35999999999999</v>
      </c>
      <c r="E89" s="7">
        <f t="shared" ref="E89:O89" si="38">E87+E88</f>
        <v>76.099999999999994</v>
      </c>
      <c r="F89" s="7">
        <f t="shared" si="38"/>
        <v>143.6</v>
      </c>
      <c r="G89" s="7">
        <f t="shared" si="38"/>
        <v>111.19999999999999</v>
      </c>
      <c r="H89" s="7">
        <f t="shared" si="38"/>
        <v>109</v>
      </c>
      <c r="I89" s="7">
        <f t="shared" si="38"/>
        <v>136.5</v>
      </c>
      <c r="J89" s="7">
        <f t="shared" si="38"/>
        <v>108.1</v>
      </c>
      <c r="K89" s="7">
        <f t="shared" si="38"/>
        <v>92.1</v>
      </c>
      <c r="L89" s="7">
        <f t="shared" si="38"/>
        <v>120.1</v>
      </c>
      <c r="M89" s="7">
        <f t="shared" si="38"/>
        <v>105.6</v>
      </c>
      <c r="N89" s="7">
        <f t="shared" si="38"/>
        <v>83.699999999999989</v>
      </c>
      <c r="O89" s="178">
        <f t="shared" si="38"/>
        <v>96.600000000000009</v>
      </c>
      <c r="P89" s="3">
        <f t="shared" si="35"/>
        <v>1325.9599999999998</v>
      </c>
    </row>
    <row r="90" spans="1:16" ht="17.5" thickBot="1" x14ac:dyDescent="0.45">
      <c r="A90" s="353"/>
      <c r="B90" s="554"/>
      <c r="C90" s="193" t="s">
        <v>25</v>
      </c>
      <c r="D90" s="164">
        <f>D89/D81</f>
        <v>2.0627338129496402</v>
      </c>
      <c r="E90" s="164">
        <f t="shared" ref="E90:I90" si="39">E89/E81</f>
        <v>0.93031784841075793</v>
      </c>
      <c r="F90" s="164">
        <f t="shared" si="39"/>
        <v>1.1414944356120826</v>
      </c>
      <c r="G90" s="164">
        <f t="shared" si="39"/>
        <v>1.1867662753468515</v>
      </c>
      <c r="H90" s="164">
        <f t="shared" si="39"/>
        <v>0.87269815852682142</v>
      </c>
      <c r="I90" s="164">
        <f t="shared" si="39"/>
        <v>1.21875</v>
      </c>
      <c r="J90" s="164">
        <f>J89/J81</f>
        <v>0.97563176895306858</v>
      </c>
      <c r="K90" s="164">
        <f>K89/K81</f>
        <v>1.050171037628278</v>
      </c>
      <c r="L90" s="164">
        <f t="shared" ref="L90:N90" si="40">L89/L81</f>
        <v>1.0160744500846024</v>
      </c>
      <c r="M90" s="164">
        <f t="shared" si="40"/>
        <v>0.73333333333333328</v>
      </c>
      <c r="N90" s="164">
        <f t="shared" si="40"/>
        <v>0.6771844660194174</v>
      </c>
      <c r="O90" s="194">
        <f>O89/O81</f>
        <v>0.66391752577319596</v>
      </c>
      <c r="P90" s="4">
        <f t="shared" ref="P90" si="41">P89/P81</f>
        <v>0.99137196261682226</v>
      </c>
    </row>
    <row r="91" spans="1:16" x14ac:dyDescent="0.4">
      <c r="A91" s="550" t="s">
        <v>382</v>
      </c>
      <c r="B91" s="553" t="s">
        <v>371</v>
      </c>
      <c r="C91" s="221" t="s">
        <v>63</v>
      </c>
      <c r="D91" s="222">
        <v>3049</v>
      </c>
      <c r="E91" s="222">
        <v>3344</v>
      </c>
      <c r="F91" s="222">
        <v>3925</v>
      </c>
      <c r="G91" s="222">
        <v>3494</v>
      </c>
      <c r="H91" s="222">
        <v>3212</v>
      </c>
      <c r="I91" s="222">
        <v>3261</v>
      </c>
      <c r="J91" s="222">
        <v>3267</v>
      </c>
      <c r="K91" s="222">
        <v>2520</v>
      </c>
      <c r="L91" s="222">
        <v>2855</v>
      </c>
      <c r="M91" s="222">
        <v>2511</v>
      </c>
      <c r="N91" s="222">
        <v>2135</v>
      </c>
      <c r="O91" s="223">
        <v>2603</v>
      </c>
      <c r="P91" s="162">
        <f>SUM(D91:O91)</f>
        <v>36176</v>
      </c>
    </row>
    <row r="92" spans="1:16" x14ac:dyDescent="0.4">
      <c r="A92" s="551"/>
      <c r="B92" s="546"/>
      <c r="C92" s="169" t="s">
        <v>66</v>
      </c>
      <c r="D92" s="217">
        <v>14198</v>
      </c>
      <c r="E92" s="217">
        <v>22052</v>
      </c>
      <c r="F92" s="217">
        <v>23449</v>
      </c>
      <c r="G92" s="217">
        <v>27357.5</v>
      </c>
      <c r="H92" s="217">
        <v>18891</v>
      </c>
      <c r="I92" s="217">
        <v>29006</v>
      </c>
      <c r="J92" s="217">
        <v>23905</v>
      </c>
      <c r="K92" s="217">
        <v>12130</v>
      </c>
      <c r="L92" s="217">
        <v>22098</v>
      </c>
      <c r="M92" s="217">
        <v>18740</v>
      </c>
      <c r="N92" s="217">
        <v>18324</v>
      </c>
      <c r="O92" s="224">
        <v>19024</v>
      </c>
      <c r="P92" s="162">
        <f t="shared" ref="P92:P97" si="42">SUM(D92:O92)</f>
        <v>249174.5</v>
      </c>
    </row>
    <row r="93" spans="1:16" x14ac:dyDescent="0.4">
      <c r="A93" s="551"/>
      <c r="B93" s="546"/>
      <c r="C93" s="171" t="s">
        <v>67</v>
      </c>
      <c r="D93" s="219">
        <f>D91+D92</f>
        <v>17247</v>
      </c>
      <c r="E93" s="219">
        <f t="shared" ref="E93:O93" si="43">E91+E92</f>
        <v>25396</v>
      </c>
      <c r="F93" s="219">
        <f t="shared" si="43"/>
        <v>27374</v>
      </c>
      <c r="G93" s="219">
        <f t="shared" si="43"/>
        <v>30851.5</v>
      </c>
      <c r="H93" s="219">
        <f t="shared" si="43"/>
        <v>22103</v>
      </c>
      <c r="I93" s="219">
        <f t="shared" si="43"/>
        <v>32267</v>
      </c>
      <c r="J93" s="219">
        <f t="shared" si="43"/>
        <v>27172</v>
      </c>
      <c r="K93" s="219">
        <f t="shared" si="43"/>
        <v>14650</v>
      </c>
      <c r="L93" s="219">
        <f t="shared" si="43"/>
        <v>24953</v>
      </c>
      <c r="M93" s="219">
        <f t="shared" si="43"/>
        <v>21251</v>
      </c>
      <c r="N93" s="219">
        <f t="shared" si="43"/>
        <v>20459</v>
      </c>
      <c r="O93" s="225">
        <f t="shared" si="43"/>
        <v>21627</v>
      </c>
      <c r="P93" s="162">
        <f t="shared" si="42"/>
        <v>285350.5</v>
      </c>
    </row>
    <row r="94" spans="1:16" ht="17.5" thickBot="1" x14ac:dyDescent="0.45">
      <c r="A94" s="551"/>
      <c r="B94" s="546"/>
      <c r="C94" s="173" t="s">
        <v>68</v>
      </c>
      <c r="D94" s="174">
        <f>D93/D85</f>
        <v>0.48625560348473312</v>
      </c>
      <c r="E94" s="174">
        <f t="shared" ref="E94" si="44">E93/E85</f>
        <v>1.4146613190730837</v>
      </c>
      <c r="F94" s="174">
        <f>F93/F85</f>
        <v>0.82588625735405041</v>
      </c>
      <c r="G94" s="174">
        <f>G93/G85</f>
        <v>1.1633734303706775</v>
      </c>
      <c r="H94" s="174">
        <f t="shared" ref="H94:P94" si="45">H93/H85</f>
        <v>0.78835110746513537</v>
      </c>
      <c r="I94" s="174">
        <f t="shared" si="45"/>
        <v>1.0247721281798838</v>
      </c>
      <c r="J94" s="174">
        <f t="shared" si="45"/>
        <v>0.93842168882749089</v>
      </c>
      <c r="K94" s="174">
        <f t="shared" si="45"/>
        <v>0.62926850221210429</v>
      </c>
      <c r="L94" s="174">
        <f t="shared" si="45"/>
        <v>0.86610784262682006</v>
      </c>
      <c r="M94" s="174">
        <f t="shared" si="45"/>
        <v>0.74835369933443674</v>
      </c>
      <c r="N94" s="174">
        <f t="shared" si="45"/>
        <v>0.87263808914480701</v>
      </c>
      <c r="O94" s="226">
        <f t="shared" si="45"/>
        <v>0.80550486051622039</v>
      </c>
      <c r="P94" s="176">
        <f t="shared" si="45"/>
        <v>0.85859336565903355</v>
      </c>
    </row>
    <row r="95" spans="1:16" x14ac:dyDescent="0.4">
      <c r="A95" s="551"/>
      <c r="B95" s="547" t="s">
        <v>69</v>
      </c>
      <c r="C95" s="165" t="s">
        <v>63</v>
      </c>
      <c r="D95" s="177">
        <v>13.7</v>
      </c>
      <c r="E95" s="177">
        <v>15.6</v>
      </c>
      <c r="F95" s="177">
        <v>18</v>
      </c>
      <c r="G95" s="177">
        <v>16.100000000000001</v>
      </c>
      <c r="H95" s="167">
        <v>14.9</v>
      </c>
      <c r="I95" s="167">
        <v>15.3</v>
      </c>
      <c r="J95" s="167">
        <v>15.2</v>
      </c>
      <c r="K95" s="167">
        <v>11.7</v>
      </c>
      <c r="L95" s="167">
        <v>13.3</v>
      </c>
      <c r="M95" s="167">
        <v>11.6</v>
      </c>
      <c r="N95" s="167">
        <v>9.8000000000000007</v>
      </c>
      <c r="O95" s="227">
        <v>11.9</v>
      </c>
      <c r="P95" s="162">
        <f t="shared" si="42"/>
        <v>167.10000000000002</v>
      </c>
    </row>
    <row r="96" spans="1:16" x14ac:dyDescent="0.4">
      <c r="A96" s="551"/>
      <c r="B96" s="548"/>
      <c r="C96" s="169" t="s">
        <v>66</v>
      </c>
      <c r="D96" s="128">
        <v>47.5</v>
      </c>
      <c r="E96" s="128">
        <v>89.7</v>
      </c>
      <c r="F96" s="128">
        <v>96</v>
      </c>
      <c r="G96" s="128">
        <v>143.5</v>
      </c>
      <c r="H96" s="127">
        <v>84.3</v>
      </c>
      <c r="I96" s="127">
        <v>146.80000000000001</v>
      </c>
      <c r="J96" s="127">
        <v>123.1</v>
      </c>
      <c r="K96" s="127">
        <v>53.9</v>
      </c>
      <c r="L96" s="127">
        <v>94.8</v>
      </c>
      <c r="M96" s="127">
        <v>75.2</v>
      </c>
      <c r="N96" s="127">
        <v>76</v>
      </c>
      <c r="O96" s="228">
        <v>79.3</v>
      </c>
      <c r="P96" s="162">
        <f t="shared" si="42"/>
        <v>1110.0999999999999</v>
      </c>
    </row>
    <row r="97" spans="1:16" x14ac:dyDescent="0.4">
      <c r="A97" s="551"/>
      <c r="B97" s="548"/>
      <c r="C97" s="171" t="s">
        <v>67</v>
      </c>
      <c r="D97" s="7">
        <f>D95+D96</f>
        <v>61.2</v>
      </c>
      <c r="E97" s="7">
        <f t="shared" ref="E97:O97" si="46">E95+E96</f>
        <v>105.3</v>
      </c>
      <c r="F97" s="7">
        <f t="shared" si="46"/>
        <v>114</v>
      </c>
      <c r="G97" s="7">
        <f t="shared" si="46"/>
        <v>159.6</v>
      </c>
      <c r="H97" s="7">
        <f t="shared" si="46"/>
        <v>99.2</v>
      </c>
      <c r="I97" s="7">
        <f t="shared" si="46"/>
        <v>162.10000000000002</v>
      </c>
      <c r="J97" s="7">
        <f t="shared" si="46"/>
        <v>138.29999999999998</v>
      </c>
      <c r="K97" s="7">
        <f t="shared" si="46"/>
        <v>65.599999999999994</v>
      </c>
      <c r="L97" s="7">
        <f t="shared" si="46"/>
        <v>108.1</v>
      </c>
      <c r="M97" s="7">
        <f t="shared" si="46"/>
        <v>86.8</v>
      </c>
      <c r="N97" s="7">
        <f t="shared" si="46"/>
        <v>85.8</v>
      </c>
      <c r="O97" s="229">
        <f t="shared" si="46"/>
        <v>91.2</v>
      </c>
      <c r="P97" s="162">
        <f t="shared" si="42"/>
        <v>1277.2</v>
      </c>
    </row>
    <row r="98" spans="1:16" ht="17.5" thickBot="1" x14ac:dyDescent="0.45">
      <c r="A98" s="552"/>
      <c r="B98" s="554"/>
      <c r="C98" s="193" t="s">
        <v>25</v>
      </c>
      <c r="D98" s="164">
        <f>D97/D89</f>
        <v>0.42689732142857151</v>
      </c>
      <c r="E98" s="164">
        <f t="shared" ref="E98:I98" si="47">E97/E89</f>
        <v>1.3837056504599212</v>
      </c>
      <c r="F98" s="164">
        <f t="shared" si="47"/>
        <v>0.79387186629526463</v>
      </c>
      <c r="G98" s="164">
        <f t="shared" si="47"/>
        <v>1.4352517985611513</v>
      </c>
      <c r="H98" s="164">
        <f t="shared" si="47"/>
        <v>0.91009174311926611</v>
      </c>
      <c r="I98" s="164">
        <f t="shared" si="47"/>
        <v>1.1875457875457878</v>
      </c>
      <c r="J98" s="164">
        <f>J97/J89</f>
        <v>1.2793709528214616</v>
      </c>
      <c r="K98" s="164">
        <f>K97/K89</f>
        <v>0.71226927252985883</v>
      </c>
      <c r="L98" s="164">
        <f t="shared" ref="L98:N98" si="48">L97/L89</f>
        <v>0.90008326394671112</v>
      </c>
      <c r="M98" s="164">
        <f t="shared" si="48"/>
        <v>0.82196969696969702</v>
      </c>
      <c r="N98" s="164">
        <f t="shared" si="48"/>
        <v>1.0250896057347672</v>
      </c>
      <c r="O98" s="230">
        <f>O97/O89</f>
        <v>0.94409937888198747</v>
      </c>
      <c r="P98" s="176">
        <f t="shared" ref="P98" si="49">P97/P89</f>
        <v>0.9632266433376574</v>
      </c>
    </row>
    <row r="99" spans="1:16" ht="17.5" thickTop="1" x14ac:dyDescent="0.4">
      <c r="A99" s="542" t="s">
        <v>383</v>
      </c>
      <c r="B99" s="545" t="s">
        <v>371</v>
      </c>
      <c r="C99" s="195" t="s">
        <v>63</v>
      </c>
      <c r="D99" s="215">
        <v>2155</v>
      </c>
      <c r="E99" s="215">
        <v>1805</v>
      </c>
      <c r="F99" s="215">
        <v>2723</v>
      </c>
      <c r="G99" s="215">
        <v>2055</v>
      </c>
      <c r="H99" s="215">
        <v>2345</v>
      </c>
      <c r="I99" s="215">
        <v>2275</v>
      </c>
      <c r="J99" s="215">
        <v>2205</v>
      </c>
      <c r="K99" s="215">
        <v>2135</v>
      </c>
      <c r="L99" s="335">
        <v>1859</v>
      </c>
      <c r="M99" s="215"/>
      <c r="N99" s="215"/>
      <c r="O99" s="216"/>
      <c r="P99" s="162">
        <f>SUM(D99:O99)</f>
        <v>19557</v>
      </c>
    </row>
    <row r="100" spans="1:16" x14ac:dyDescent="0.4">
      <c r="A100" s="543"/>
      <c r="B100" s="546"/>
      <c r="C100" s="169" t="s">
        <v>66</v>
      </c>
      <c r="D100" s="217">
        <v>15318</v>
      </c>
      <c r="E100" s="217">
        <v>12213</v>
      </c>
      <c r="F100" s="217">
        <v>21784</v>
      </c>
      <c r="G100" s="217">
        <v>15884</v>
      </c>
      <c r="H100" s="217">
        <v>16660</v>
      </c>
      <c r="I100" s="217">
        <v>15063</v>
      </c>
      <c r="J100" s="217">
        <v>18170</v>
      </c>
      <c r="K100" s="217">
        <v>16408</v>
      </c>
      <c r="L100" s="336">
        <v>20939</v>
      </c>
      <c r="M100" s="217"/>
      <c r="N100" s="217"/>
      <c r="O100" s="218"/>
      <c r="P100" s="162">
        <f t="shared" ref="P100:P105" si="50">SUM(D100:O100)</f>
        <v>152439</v>
      </c>
    </row>
    <row r="101" spans="1:16" x14ac:dyDescent="0.4">
      <c r="A101" s="543"/>
      <c r="B101" s="546"/>
      <c r="C101" s="171" t="s">
        <v>67</v>
      </c>
      <c r="D101" s="219">
        <f>D99+D100</f>
        <v>17473</v>
      </c>
      <c r="E101" s="219">
        <f t="shared" ref="E101:O101" si="51">E99+E100</f>
        <v>14018</v>
      </c>
      <c r="F101" s="219">
        <f t="shared" si="51"/>
        <v>24507</v>
      </c>
      <c r="G101" s="219">
        <f t="shared" si="51"/>
        <v>17939</v>
      </c>
      <c r="H101" s="219">
        <f t="shared" si="51"/>
        <v>19005</v>
      </c>
      <c r="I101" s="219">
        <f t="shared" si="51"/>
        <v>17338</v>
      </c>
      <c r="J101" s="219">
        <f t="shared" si="51"/>
        <v>20375</v>
      </c>
      <c r="K101" s="219">
        <f t="shared" si="51"/>
        <v>18543</v>
      </c>
      <c r="L101" s="219">
        <f t="shared" si="51"/>
        <v>22798</v>
      </c>
      <c r="M101" s="219">
        <f t="shared" si="51"/>
        <v>0</v>
      </c>
      <c r="N101" s="219">
        <f t="shared" si="51"/>
        <v>0</v>
      </c>
      <c r="O101" s="220">
        <f t="shared" si="51"/>
        <v>0</v>
      </c>
      <c r="P101" s="162">
        <f t="shared" si="50"/>
        <v>171996</v>
      </c>
    </row>
    <row r="102" spans="1:16" ht="17.5" thickBot="1" x14ac:dyDescent="0.45">
      <c r="A102" s="543"/>
      <c r="B102" s="546"/>
      <c r="C102" s="173" t="s">
        <v>68</v>
      </c>
      <c r="D102" s="174">
        <f>D101/D93</f>
        <v>1.0131037281846118</v>
      </c>
      <c r="E102" s="174">
        <f t="shared" ref="E102" si="52">E101/E93</f>
        <v>0.5519766892424004</v>
      </c>
      <c r="F102" s="174">
        <f>F101/F93</f>
        <v>0.89526558047782567</v>
      </c>
      <c r="G102" s="174">
        <f>G101/G93</f>
        <v>0.58146281380159792</v>
      </c>
      <c r="H102" s="174">
        <f t="shared" ref="H102:P102" si="53">H101/H93</f>
        <v>0.85983803103651091</v>
      </c>
      <c r="I102" s="174">
        <f t="shared" si="53"/>
        <v>0.53732915982272911</v>
      </c>
      <c r="J102" s="174">
        <f t="shared" si="53"/>
        <v>0.74985278963639035</v>
      </c>
      <c r="K102" s="174">
        <f t="shared" si="53"/>
        <v>1.2657337883959043</v>
      </c>
      <c r="L102" s="174">
        <f t="shared" si="53"/>
        <v>0.91363763876087045</v>
      </c>
      <c r="M102" s="174">
        <f t="shared" si="53"/>
        <v>0</v>
      </c>
      <c r="N102" s="174">
        <f t="shared" si="53"/>
        <v>0</v>
      </c>
      <c r="O102" s="196">
        <f t="shared" si="53"/>
        <v>0</v>
      </c>
      <c r="P102" s="176">
        <f t="shared" si="53"/>
        <v>0.60275345583764528</v>
      </c>
    </row>
    <row r="103" spans="1:16" x14ac:dyDescent="0.4">
      <c r="A103" s="543"/>
      <c r="B103" s="547" t="s">
        <v>69</v>
      </c>
      <c r="C103" s="165" t="s">
        <v>63</v>
      </c>
      <c r="D103" s="177">
        <v>9.8000000000000007</v>
      </c>
      <c r="E103" s="177">
        <v>8.4</v>
      </c>
      <c r="F103" s="177">
        <v>12.4</v>
      </c>
      <c r="G103" s="177">
        <v>9.4</v>
      </c>
      <c r="H103" s="167">
        <v>10.8</v>
      </c>
      <c r="I103" s="167">
        <v>10.4</v>
      </c>
      <c r="J103" s="167">
        <v>10.1</v>
      </c>
      <c r="K103" s="167">
        <v>9.6999999999999993</v>
      </c>
      <c r="L103" s="337">
        <v>8.3000000000000007</v>
      </c>
      <c r="M103" s="167"/>
      <c r="N103" s="167"/>
      <c r="O103" s="197"/>
      <c r="P103" s="162">
        <f t="shared" si="50"/>
        <v>89.3</v>
      </c>
    </row>
    <row r="104" spans="1:16" x14ac:dyDescent="0.4">
      <c r="A104" s="543"/>
      <c r="B104" s="548"/>
      <c r="C104" s="169" t="s">
        <v>66</v>
      </c>
      <c r="D104" s="128">
        <v>91.1</v>
      </c>
      <c r="E104" s="128">
        <v>49.2</v>
      </c>
      <c r="F104" s="128">
        <v>82.4</v>
      </c>
      <c r="G104" s="128">
        <v>64.2</v>
      </c>
      <c r="H104" s="127">
        <v>67.3</v>
      </c>
      <c r="I104" s="127">
        <v>60.7</v>
      </c>
      <c r="J104" s="127">
        <v>71.7</v>
      </c>
      <c r="K104" s="127">
        <v>67.2</v>
      </c>
      <c r="L104" s="338">
        <v>88.3</v>
      </c>
      <c r="M104" s="127"/>
      <c r="N104" s="127"/>
      <c r="O104" s="231"/>
      <c r="P104" s="162">
        <f t="shared" si="50"/>
        <v>642.1</v>
      </c>
    </row>
    <row r="105" spans="1:16" x14ac:dyDescent="0.4">
      <c r="A105" s="543"/>
      <c r="B105" s="548"/>
      <c r="C105" s="171" t="s">
        <v>67</v>
      </c>
      <c r="D105" s="7">
        <f>D103+D104</f>
        <v>100.89999999999999</v>
      </c>
      <c r="E105" s="7">
        <f t="shared" ref="E105:O105" si="54">E103+E104</f>
        <v>57.6</v>
      </c>
      <c r="F105" s="7">
        <f t="shared" si="54"/>
        <v>94.800000000000011</v>
      </c>
      <c r="G105" s="7">
        <f t="shared" si="54"/>
        <v>73.600000000000009</v>
      </c>
      <c r="H105" s="7">
        <f t="shared" si="54"/>
        <v>78.099999999999994</v>
      </c>
      <c r="I105" s="7">
        <f t="shared" si="54"/>
        <v>71.100000000000009</v>
      </c>
      <c r="J105" s="7">
        <f t="shared" si="54"/>
        <v>81.8</v>
      </c>
      <c r="K105" s="7">
        <f t="shared" si="54"/>
        <v>76.900000000000006</v>
      </c>
      <c r="L105" s="7">
        <f t="shared" si="54"/>
        <v>96.6</v>
      </c>
      <c r="M105" s="7">
        <f t="shared" si="54"/>
        <v>0</v>
      </c>
      <c r="N105" s="7">
        <f t="shared" si="54"/>
        <v>0</v>
      </c>
      <c r="O105" s="198">
        <f t="shared" si="54"/>
        <v>0</v>
      </c>
      <c r="P105" s="162">
        <f t="shared" si="50"/>
        <v>731.4</v>
      </c>
    </row>
    <row r="106" spans="1:16" ht="17.5" thickBot="1" x14ac:dyDescent="0.45">
      <c r="A106" s="544"/>
      <c r="B106" s="549"/>
      <c r="C106" s="199" t="s">
        <v>25</v>
      </c>
      <c r="D106" s="200">
        <f>D105/D97</f>
        <v>1.648692810457516</v>
      </c>
      <c r="E106" s="200">
        <f t="shared" ref="E106:I106" si="55">E105/E97</f>
        <v>0.54700854700854706</v>
      </c>
      <c r="F106" s="200">
        <f t="shared" si="55"/>
        <v>0.8315789473684212</v>
      </c>
      <c r="G106" s="200">
        <f t="shared" si="55"/>
        <v>0.46115288220551387</v>
      </c>
      <c r="H106" s="200">
        <f t="shared" si="55"/>
        <v>0.78729838709677413</v>
      </c>
      <c r="I106" s="200">
        <f t="shared" si="55"/>
        <v>0.43861813695249846</v>
      </c>
      <c r="J106" s="200">
        <f>J105/J97</f>
        <v>0.59146782357194505</v>
      </c>
      <c r="K106" s="200">
        <f>K105/K97</f>
        <v>1.1722560975609757</v>
      </c>
      <c r="L106" s="200">
        <f t="shared" ref="L106:N106" si="56">L105/L97</f>
        <v>0.8936170212765957</v>
      </c>
      <c r="M106" s="200">
        <f t="shared" si="56"/>
        <v>0</v>
      </c>
      <c r="N106" s="200">
        <f t="shared" si="56"/>
        <v>0</v>
      </c>
      <c r="O106" s="201">
        <f>O105/O97</f>
        <v>0</v>
      </c>
      <c r="P106" s="176">
        <f t="shared" ref="P106" si="57">P105/P97</f>
        <v>0.57265894143438767</v>
      </c>
    </row>
    <row r="107" spans="1:16" ht="17.5" thickTop="1" x14ac:dyDescent="0.4"/>
  </sheetData>
  <mergeCells count="40">
    <mergeCell ref="A27:A34"/>
    <mergeCell ref="B27:B30"/>
    <mergeCell ref="B31:B34"/>
    <mergeCell ref="A67:A74"/>
    <mergeCell ref="B67:B70"/>
    <mergeCell ref="B71:B74"/>
    <mergeCell ref="A59:A66"/>
    <mergeCell ref="B59:B62"/>
    <mergeCell ref="B63:B66"/>
    <mergeCell ref="A35:A42"/>
    <mergeCell ref="B35:B38"/>
    <mergeCell ref="B39:B42"/>
    <mergeCell ref="A51:A58"/>
    <mergeCell ref="B51:B54"/>
    <mergeCell ref="B55:B58"/>
    <mergeCell ref="A43:A50"/>
    <mergeCell ref="A2:C2"/>
    <mergeCell ref="A3:A10"/>
    <mergeCell ref="B3:B6"/>
    <mergeCell ref="B7:B10"/>
    <mergeCell ref="A19:A26"/>
    <mergeCell ref="B19:B22"/>
    <mergeCell ref="B23:B26"/>
    <mergeCell ref="A11:A18"/>
    <mergeCell ref="B11:B14"/>
    <mergeCell ref="B15:B18"/>
    <mergeCell ref="B43:B46"/>
    <mergeCell ref="B47:B50"/>
    <mergeCell ref="A83:A90"/>
    <mergeCell ref="B83:B86"/>
    <mergeCell ref="B87:B90"/>
    <mergeCell ref="A75:A82"/>
    <mergeCell ref="B75:B78"/>
    <mergeCell ref="B79:B82"/>
    <mergeCell ref="A99:A106"/>
    <mergeCell ref="B99:B102"/>
    <mergeCell ref="B103:B106"/>
    <mergeCell ref="A91:A98"/>
    <mergeCell ref="B91:B94"/>
    <mergeCell ref="B95:B9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A1:U33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9" sqref="O9"/>
    </sheetView>
  </sheetViews>
  <sheetFormatPr defaultRowHeight="17" x14ac:dyDescent="0.4"/>
  <cols>
    <col min="1" max="1" width="51.7265625" bestFit="1" customWidth="1"/>
    <col min="2" max="15" width="9" customWidth="1"/>
    <col min="16" max="16" width="9" style="1" customWidth="1"/>
    <col min="17" max="26" width="9" customWidth="1"/>
  </cols>
  <sheetData>
    <row r="1" spans="1:16" ht="22.5" customHeight="1" x14ac:dyDescent="0.4">
      <c r="A1" s="2" t="s">
        <v>384</v>
      </c>
      <c r="B1" s="108" t="s">
        <v>385</v>
      </c>
      <c r="C1" s="108" t="s">
        <v>386</v>
      </c>
      <c r="D1" s="108" t="s">
        <v>387</v>
      </c>
      <c r="E1" s="108" t="s">
        <v>388</v>
      </c>
      <c r="F1" s="108" t="s">
        <v>389</v>
      </c>
      <c r="G1" s="108" t="s">
        <v>390</v>
      </c>
      <c r="H1" s="108" t="s">
        <v>391</v>
      </c>
      <c r="I1" s="108" t="s">
        <v>392</v>
      </c>
      <c r="J1" s="108" t="s">
        <v>393</v>
      </c>
      <c r="K1" s="108" t="s">
        <v>394</v>
      </c>
      <c r="L1" s="108" t="s">
        <v>395</v>
      </c>
      <c r="M1" s="108" t="s">
        <v>396</v>
      </c>
      <c r="P1"/>
    </row>
    <row r="2" spans="1:16" x14ac:dyDescent="0.4">
      <c r="A2" s="133" t="s">
        <v>397</v>
      </c>
      <c r="B2" s="133">
        <v>91.8</v>
      </c>
      <c r="C2" s="133">
        <v>89.7</v>
      </c>
      <c r="D2" s="133">
        <v>153</v>
      </c>
      <c r="E2" s="133">
        <v>128.80000000000001</v>
      </c>
      <c r="F2" s="133">
        <v>49</v>
      </c>
      <c r="G2" s="133">
        <v>109</v>
      </c>
      <c r="H2" s="133">
        <v>112</v>
      </c>
      <c r="I2" s="133">
        <v>169</v>
      </c>
      <c r="J2" s="559">
        <v>141</v>
      </c>
      <c r="K2" s="133"/>
      <c r="L2" s="133"/>
      <c r="M2" s="133"/>
      <c r="P2"/>
    </row>
    <row r="3" spans="1:16" x14ac:dyDescent="0.4">
      <c r="A3" s="133" t="s">
        <v>398</v>
      </c>
      <c r="B3" s="133">
        <v>122</v>
      </c>
      <c r="C3" s="133">
        <v>132</v>
      </c>
      <c r="D3" s="133">
        <v>141</v>
      </c>
      <c r="E3" s="133">
        <v>275</v>
      </c>
      <c r="F3" s="133">
        <v>272</v>
      </c>
      <c r="G3" s="133">
        <v>849</v>
      </c>
      <c r="H3" s="133">
        <v>711.5</v>
      </c>
      <c r="I3" s="133">
        <v>922</v>
      </c>
      <c r="J3" s="559">
        <v>688</v>
      </c>
      <c r="K3" s="133"/>
      <c r="L3" s="133"/>
      <c r="M3" s="133"/>
      <c r="P3"/>
    </row>
    <row r="4" spans="1:16" x14ac:dyDescent="0.4">
      <c r="A4" s="133" t="s">
        <v>399</v>
      </c>
      <c r="B4" s="133">
        <v>23.5</v>
      </c>
      <c r="C4" s="133">
        <v>20</v>
      </c>
      <c r="D4" s="133">
        <v>16.5</v>
      </c>
      <c r="E4" s="133">
        <v>11</v>
      </c>
      <c r="F4" s="133">
        <v>6</v>
      </c>
      <c r="G4" s="133">
        <v>26</v>
      </c>
      <c r="H4" s="133">
        <v>22</v>
      </c>
      <c r="I4" s="133"/>
      <c r="J4" s="133"/>
      <c r="K4" s="133"/>
      <c r="L4" s="133"/>
      <c r="M4" s="133"/>
      <c r="P4"/>
    </row>
    <row r="5" spans="1:16" x14ac:dyDescent="0.4">
      <c r="A5" s="133" t="s">
        <v>400</v>
      </c>
      <c r="B5" s="133">
        <v>80</v>
      </c>
      <c r="C5" s="133">
        <v>32</v>
      </c>
      <c r="D5" s="133"/>
      <c r="E5" s="133"/>
      <c r="F5" s="133"/>
      <c r="G5" s="133"/>
      <c r="H5" s="133">
        <v>41.7</v>
      </c>
      <c r="I5" s="133"/>
      <c r="J5" s="133"/>
      <c r="K5" s="133"/>
      <c r="L5" s="133"/>
      <c r="M5" s="133"/>
      <c r="P5"/>
    </row>
    <row r="6" spans="1:16" x14ac:dyDescent="0.4">
      <c r="A6" s="133" t="s">
        <v>401</v>
      </c>
      <c r="B6" s="133"/>
      <c r="C6" s="214"/>
      <c r="D6" s="133"/>
      <c r="E6" s="133"/>
      <c r="F6" s="133"/>
      <c r="G6" s="133"/>
      <c r="H6" s="133"/>
      <c r="I6" s="133"/>
      <c r="J6" s="133"/>
      <c r="K6" s="133"/>
      <c r="L6" s="133"/>
      <c r="M6" s="133"/>
      <c r="P6"/>
    </row>
    <row r="7" spans="1:16" x14ac:dyDescent="0.4">
      <c r="A7" s="45" t="s">
        <v>402</v>
      </c>
      <c r="B7" s="46">
        <f t="shared" ref="B7:C7" si="0">SUM(B2:B6)</f>
        <v>317.3</v>
      </c>
      <c r="C7" s="46">
        <f t="shared" si="0"/>
        <v>273.7</v>
      </c>
      <c r="D7" s="46">
        <f>SUM(D2:D6)</f>
        <v>310.5</v>
      </c>
      <c r="E7" s="46">
        <f t="shared" ref="E7" si="1">SUM(E2:E6)</f>
        <v>414.8</v>
      </c>
      <c r="F7" s="46">
        <f>SUM(F2:F6)</f>
        <v>327</v>
      </c>
      <c r="G7" s="46">
        <f t="shared" ref="G7" si="2">SUM(G2:G6)</f>
        <v>984</v>
      </c>
      <c r="H7" s="46">
        <f t="shared" ref="H7" si="3">SUM(H2:H6)</f>
        <v>887.2</v>
      </c>
      <c r="I7" s="46">
        <f t="shared" ref="I7:J7" si="4">SUM(I2:I6)</f>
        <v>1091</v>
      </c>
      <c r="J7" s="46">
        <f t="shared" si="4"/>
        <v>829</v>
      </c>
      <c r="K7" s="46">
        <f t="shared" ref="K7" si="5">SUM(K2:K6)</f>
        <v>0</v>
      </c>
      <c r="L7" s="46">
        <f t="shared" ref="L7:M7" si="6">SUM(L2:L6)</f>
        <v>0</v>
      </c>
      <c r="M7" s="46">
        <f t="shared" si="6"/>
        <v>0</v>
      </c>
      <c r="P7"/>
    </row>
    <row r="8" spans="1:16" x14ac:dyDescent="0.4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P8"/>
    </row>
    <row r="9" spans="1:16" x14ac:dyDescent="0.4">
      <c r="A9" s="2" t="s">
        <v>403</v>
      </c>
      <c r="B9" s="2">
        <v>443.5</v>
      </c>
      <c r="C9" s="2">
        <v>163</v>
      </c>
      <c r="D9" s="2">
        <v>391.5</v>
      </c>
      <c r="E9" s="2">
        <v>380.5</v>
      </c>
      <c r="F9" s="2">
        <v>340.5</v>
      </c>
      <c r="G9" s="2">
        <v>284</v>
      </c>
      <c r="H9" s="2">
        <v>420.5</v>
      </c>
      <c r="I9" s="2">
        <v>355.5</v>
      </c>
      <c r="J9" s="560">
        <v>354.5</v>
      </c>
      <c r="K9" s="2"/>
      <c r="L9" s="2"/>
      <c r="M9" s="2"/>
      <c r="P9"/>
    </row>
    <row r="10" spans="1:16" x14ac:dyDescent="0.4">
      <c r="A10" s="2" t="s">
        <v>404</v>
      </c>
      <c r="B10" s="7">
        <v>876.5</v>
      </c>
      <c r="C10" s="7">
        <f>52+256</f>
        <v>308</v>
      </c>
      <c r="D10" s="7">
        <v>782</v>
      </c>
      <c r="E10" s="7">
        <v>969</v>
      </c>
      <c r="F10" s="7">
        <v>1137.5</v>
      </c>
      <c r="G10" s="7">
        <v>1151</v>
      </c>
      <c r="H10" s="7">
        <v>1100</v>
      </c>
      <c r="I10" s="2">
        <v>999.5</v>
      </c>
      <c r="J10" s="560">
        <v>958</v>
      </c>
      <c r="K10" s="2"/>
      <c r="L10" s="2"/>
      <c r="M10" s="2"/>
      <c r="P10"/>
    </row>
    <row r="11" spans="1:16" x14ac:dyDescent="0.4">
      <c r="A11" s="2" t="s">
        <v>405</v>
      </c>
      <c r="B11" s="2">
        <v>168.5</v>
      </c>
      <c r="C11" s="2">
        <f>57+32</f>
        <v>89</v>
      </c>
      <c r="D11" s="2">
        <v>163</v>
      </c>
      <c r="E11" s="2">
        <v>52</v>
      </c>
      <c r="F11" s="2">
        <v>177.5</v>
      </c>
      <c r="G11" s="2">
        <v>168.5</v>
      </c>
      <c r="H11" s="2">
        <v>167.5</v>
      </c>
      <c r="I11" s="2">
        <v>148</v>
      </c>
      <c r="J11" s="560">
        <v>135</v>
      </c>
      <c r="K11" s="2"/>
      <c r="L11" s="2"/>
      <c r="M11" s="2"/>
      <c r="P11"/>
    </row>
    <row r="12" spans="1:16" x14ac:dyDescent="0.4">
      <c r="A12" s="2" t="s">
        <v>406</v>
      </c>
      <c r="B12" s="2"/>
      <c r="C12" s="207"/>
      <c r="D12" s="2"/>
      <c r="E12" s="2"/>
      <c r="F12" s="2"/>
      <c r="G12" s="2"/>
      <c r="H12" s="2"/>
      <c r="I12" s="2">
        <v>97</v>
      </c>
      <c r="J12" s="560">
        <v>96</v>
      </c>
      <c r="K12" s="2"/>
      <c r="L12" s="2"/>
      <c r="M12" s="2"/>
      <c r="P12"/>
    </row>
    <row r="13" spans="1:16" x14ac:dyDescent="0.4">
      <c r="A13" s="2" t="s">
        <v>407</v>
      </c>
      <c r="B13" s="2"/>
      <c r="C13" s="2"/>
      <c r="D13" s="2"/>
      <c r="E13" s="2"/>
      <c r="F13" s="2"/>
      <c r="G13" s="2">
        <v>13</v>
      </c>
      <c r="H13" s="2"/>
      <c r="I13" s="2"/>
      <c r="J13" s="560"/>
      <c r="K13" s="2"/>
      <c r="L13" s="2"/>
      <c r="M13" s="2"/>
      <c r="P13"/>
    </row>
    <row r="14" spans="1:16" x14ac:dyDescent="0.4">
      <c r="A14" s="2" t="s">
        <v>408</v>
      </c>
      <c r="B14" s="2"/>
      <c r="C14" s="2"/>
      <c r="D14" s="2">
        <v>64</v>
      </c>
      <c r="E14" s="2">
        <v>72</v>
      </c>
      <c r="F14" s="2">
        <v>64</v>
      </c>
      <c r="G14" s="2">
        <v>50</v>
      </c>
      <c r="H14" s="2">
        <v>64</v>
      </c>
      <c r="I14" s="2">
        <v>95</v>
      </c>
      <c r="J14" s="560">
        <v>99.5</v>
      </c>
      <c r="K14" s="2"/>
      <c r="L14" s="2"/>
      <c r="M14" s="2"/>
      <c r="P14"/>
    </row>
    <row r="15" spans="1:16" x14ac:dyDescent="0.4">
      <c r="A15" s="2" t="s">
        <v>409</v>
      </c>
      <c r="B15" s="2">
        <v>20</v>
      </c>
      <c r="C15" s="2">
        <v>14</v>
      </c>
      <c r="D15" s="2">
        <v>25</v>
      </c>
      <c r="E15" s="2">
        <v>153</v>
      </c>
      <c r="F15" s="2">
        <v>23</v>
      </c>
      <c r="G15" s="2"/>
      <c r="H15" s="2"/>
      <c r="I15" s="2">
        <v>22.5</v>
      </c>
      <c r="J15" s="560">
        <v>20.5</v>
      </c>
      <c r="K15" s="2"/>
      <c r="L15" s="2"/>
      <c r="M15" s="2"/>
      <c r="P15"/>
    </row>
    <row r="16" spans="1:16" x14ac:dyDescent="0.4">
      <c r="A16" s="2" t="s">
        <v>410</v>
      </c>
      <c r="B16" s="2">
        <v>84.5</v>
      </c>
      <c r="C16" s="2">
        <v>34.5</v>
      </c>
      <c r="D16" s="2">
        <v>83</v>
      </c>
      <c r="E16" s="2">
        <v>44</v>
      </c>
      <c r="F16" s="2"/>
      <c r="G16" s="2"/>
      <c r="H16" s="2"/>
      <c r="I16" s="2"/>
      <c r="J16" s="2"/>
      <c r="K16" s="2"/>
      <c r="L16" s="2"/>
      <c r="M16" s="2"/>
      <c r="P16"/>
    </row>
    <row r="17" spans="1:21" x14ac:dyDescent="0.4">
      <c r="A17" s="2" t="s">
        <v>411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P17"/>
    </row>
    <row r="18" spans="1:21" x14ac:dyDescent="0.4">
      <c r="A18" s="45" t="s">
        <v>412</v>
      </c>
      <c r="B18" s="239">
        <f t="shared" ref="B18:M18" si="7">SUM(B9:B17)</f>
        <v>1593</v>
      </c>
      <c r="C18" s="239">
        <f t="shared" si="7"/>
        <v>608.5</v>
      </c>
      <c r="D18" s="239">
        <f t="shared" si="7"/>
        <v>1508.5</v>
      </c>
      <c r="E18" s="239">
        <f t="shared" si="7"/>
        <v>1670.5</v>
      </c>
      <c r="F18" s="239">
        <f t="shared" si="7"/>
        <v>1742.5</v>
      </c>
      <c r="G18" s="239">
        <f t="shared" si="7"/>
        <v>1666.5</v>
      </c>
      <c r="H18" s="239">
        <f t="shared" si="7"/>
        <v>1752</v>
      </c>
      <c r="I18" s="239">
        <f t="shared" si="7"/>
        <v>1717.5</v>
      </c>
      <c r="J18" s="239">
        <f t="shared" si="7"/>
        <v>1663.5</v>
      </c>
      <c r="K18" s="239">
        <f t="shared" si="7"/>
        <v>0</v>
      </c>
      <c r="L18" s="239">
        <f t="shared" si="7"/>
        <v>0</v>
      </c>
      <c r="M18" s="239">
        <f t="shared" si="7"/>
        <v>0</v>
      </c>
      <c r="P18"/>
    </row>
    <row r="19" spans="1:21" x14ac:dyDescent="0.4">
      <c r="A19" s="1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P19"/>
    </row>
    <row r="20" spans="1:21" x14ac:dyDescent="0.4">
      <c r="A20" s="133" t="s">
        <v>413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P20"/>
    </row>
    <row r="21" spans="1:21" x14ac:dyDescent="0.4">
      <c r="A21" s="133" t="s">
        <v>414</v>
      </c>
      <c r="B21" s="133">
        <v>4</v>
      </c>
      <c r="C21" s="133">
        <v>16</v>
      </c>
      <c r="D21" s="133">
        <v>20</v>
      </c>
      <c r="E21" s="133">
        <v>12</v>
      </c>
      <c r="F21" s="133">
        <v>32</v>
      </c>
      <c r="G21" s="133">
        <v>40</v>
      </c>
      <c r="H21" s="133">
        <v>44</v>
      </c>
      <c r="I21" s="133">
        <v>16</v>
      </c>
      <c r="J21" s="559">
        <v>18</v>
      </c>
      <c r="K21" s="133"/>
      <c r="L21" s="133"/>
      <c r="M21" s="133"/>
      <c r="P21"/>
    </row>
    <row r="22" spans="1:21" x14ac:dyDescent="0.4">
      <c r="A22" s="133" t="s">
        <v>42</v>
      </c>
      <c r="B22" s="133">
        <v>79.5</v>
      </c>
      <c r="C22" s="133">
        <v>145</v>
      </c>
      <c r="D22" s="133">
        <v>120</v>
      </c>
      <c r="E22" s="133">
        <v>178.5</v>
      </c>
      <c r="F22" s="133">
        <v>241</v>
      </c>
      <c r="G22" s="133">
        <v>675</v>
      </c>
      <c r="H22" s="133">
        <v>695.5</v>
      </c>
      <c r="I22" s="133">
        <v>642.5</v>
      </c>
      <c r="J22" s="559">
        <v>689</v>
      </c>
      <c r="K22" s="133"/>
      <c r="L22" s="133"/>
      <c r="M22" s="133"/>
      <c r="P22"/>
    </row>
    <row r="23" spans="1:21" x14ac:dyDescent="0.4">
      <c r="A23" s="133" t="s">
        <v>415</v>
      </c>
      <c r="B23" s="133"/>
      <c r="C23" s="133"/>
      <c r="D23" s="133"/>
      <c r="E23" s="133"/>
      <c r="F23" s="133"/>
      <c r="G23" s="133"/>
      <c r="H23" s="133"/>
      <c r="I23" s="133"/>
      <c r="J23" s="559"/>
      <c r="K23" s="133"/>
      <c r="L23" s="133"/>
      <c r="M23" s="133"/>
      <c r="P23"/>
    </row>
    <row r="24" spans="1:21" x14ac:dyDescent="0.4">
      <c r="A24" s="133" t="s">
        <v>416</v>
      </c>
      <c r="B24" s="133">
        <v>104.5</v>
      </c>
      <c r="C24" s="133">
        <v>58</v>
      </c>
      <c r="D24" s="133">
        <v>195.5</v>
      </c>
      <c r="E24" s="133">
        <v>62.5</v>
      </c>
      <c r="F24" s="133">
        <v>82</v>
      </c>
      <c r="G24" s="133">
        <v>25.5</v>
      </c>
      <c r="H24" s="133">
        <v>190</v>
      </c>
      <c r="I24" s="133">
        <v>110</v>
      </c>
      <c r="J24" s="559">
        <v>220</v>
      </c>
      <c r="K24" s="133"/>
      <c r="L24" s="133"/>
      <c r="M24" s="133"/>
      <c r="P24"/>
    </row>
    <row r="25" spans="1:21" x14ac:dyDescent="0.4">
      <c r="A25" s="133" t="s">
        <v>417</v>
      </c>
      <c r="B25" s="133">
        <v>25.3</v>
      </c>
      <c r="C25" s="133">
        <v>19</v>
      </c>
      <c r="D25" s="133">
        <v>11.3</v>
      </c>
      <c r="E25" s="133">
        <v>53.8</v>
      </c>
      <c r="F25" s="133">
        <v>27</v>
      </c>
      <c r="G25" s="133">
        <v>50</v>
      </c>
      <c r="H25" s="133">
        <v>50.2</v>
      </c>
      <c r="I25" s="133">
        <v>69.3</v>
      </c>
      <c r="J25" s="559">
        <v>25</v>
      </c>
      <c r="K25" s="133"/>
      <c r="L25" s="133"/>
      <c r="M25" s="133"/>
      <c r="P25"/>
    </row>
    <row r="26" spans="1:21" x14ac:dyDescent="0.4">
      <c r="A26" s="45" t="s">
        <v>418</v>
      </c>
      <c r="B26" s="46">
        <f t="shared" ref="B26:C26" si="8">SUM(B20:B25)</f>
        <v>213.3</v>
      </c>
      <c r="C26" s="46">
        <f t="shared" si="8"/>
        <v>238</v>
      </c>
      <c r="D26" s="46">
        <f>SUM(D20:D25)</f>
        <v>346.8</v>
      </c>
      <c r="E26" s="46">
        <f t="shared" ref="E26:M26" si="9">SUM(E20:E25)</f>
        <v>306.8</v>
      </c>
      <c r="F26" s="46">
        <f>SUM(F20:F25)</f>
        <v>382</v>
      </c>
      <c r="G26" s="46">
        <f t="shared" si="9"/>
        <v>790.5</v>
      </c>
      <c r="H26" s="46">
        <f t="shared" si="9"/>
        <v>979.7</v>
      </c>
      <c r="I26" s="46">
        <f t="shared" si="9"/>
        <v>837.8</v>
      </c>
      <c r="J26" s="46">
        <f t="shared" si="9"/>
        <v>952</v>
      </c>
      <c r="K26" s="46">
        <f t="shared" si="9"/>
        <v>0</v>
      </c>
      <c r="L26" s="46">
        <f t="shared" si="9"/>
        <v>0</v>
      </c>
      <c r="M26" s="46">
        <f t="shared" si="9"/>
        <v>0</v>
      </c>
      <c r="P26"/>
    </row>
    <row r="27" spans="1:21" x14ac:dyDescent="0.4">
      <c r="B27" s="9"/>
      <c r="C27" s="9"/>
      <c r="D27" s="9"/>
      <c r="E27" s="9"/>
      <c r="F27" s="9"/>
      <c r="G27" s="9"/>
      <c r="R27" s="1"/>
      <c r="U27" s="1"/>
    </row>
    <row r="28" spans="1:21" x14ac:dyDescent="0.4">
      <c r="A28" s="186" t="s">
        <v>419</v>
      </c>
      <c r="B28" s="240">
        <f t="shared" ref="B28:M28" si="10">B26+B18+B7</f>
        <v>2123.6</v>
      </c>
      <c r="C28" s="240">
        <f t="shared" si="10"/>
        <v>1120.2</v>
      </c>
      <c r="D28" s="240">
        <f t="shared" si="10"/>
        <v>2165.8000000000002</v>
      </c>
      <c r="E28" s="240">
        <f t="shared" si="10"/>
        <v>2392.1</v>
      </c>
      <c r="F28" s="240">
        <f t="shared" si="10"/>
        <v>2451.5</v>
      </c>
      <c r="G28" s="240">
        <f t="shared" si="10"/>
        <v>3441</v>
      </c>
      <c r="H28" s="240">
        <f>H26+H18+H7</f>
        <v>3618.8999999999996</v>
      </c>
      <c r="I28" s="240">
        <f>I26+I18+I7</f>
        <v>3646.3</v>
      </c>
      <c r="J28" s="240">
        <f t="shared" si="10"/>
        <v>3444.5</v>
      </c>
      <c r="K28" s="240">
        <f t="shared" si="10"/>
        <v>0</v>
      </c>
      <c r="L28" s="240">
        <f t="shared" si="10"/>
        <v>0</v>
      </c>
      <c r="M28" s="240">
        <f t="shared" si="10"/>
        <v>0</v>
      </c>
    </row>
    <row r="29" spans="1:21" x14ac:dyDescent="0.4">
      <c r="B29" s="9"/>
      <c r="C29" s="9"/>
      <c r="D29" s="9"/>
      <c r="E29" s="9"/>
      <c r="F29" s="9"/>
      <c r="G29" s="9"/>
      <c r="J29" s="9"/>
    </row>
    <row r="30" spans="1:21" x14ac:dyDescent="0.4">
      <c r="B30" s="9"/>
      <c r="C30" s="9"/>
      <c r="D30" s="9"/>
      <c r="E30" s="9"/>
      <c r="F30" s="9"/>
      <c r="G30" s="9"/>
    </row>
    <row r="31" spans="1:21" x14ac:dyDescent="0.4">
      <c r="B31" s="9"/>
      <c r="C31" s="9"/>
      <c r="D31" s="9"/>
      <c r="E31" s="9"/>
      <c r="F31" s="9"/>
      <c r="G31" s="9"/>
    </row>
    <row r="32" spans="1:21" x14ac:dyDescent="0.4">
      <c r="B32" s="9"/>
      <c r="C32" s="9"/>
      <c r="D32" s="9"/>
      <c r="E32" s="9"/>
      <c r="F32" s="9"/>
      <c r="G32" s="9"/>
    </row>
    <row r="33" spans="2:7" x14ac:dyDescent="0.4">
      <c r="B33" s="9"/>
      <c r="C33" s="9"/>
      <c r="D33" s="9"/>
      <c r="E33" s="9"/>
      <c r="F33" s="9"/>
      <c r="G33" s="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A7"/>
  <sheetViews>
    <sheetView workbookViewId="0">
      <selection activeCell="A2" sqref="A2:A7"/>
    </sheetView>
  </sheetViews>
  <sheetFormatPr defaultRowHeight="17" x14ac:dyDescent="0.4"/>
  <sheetData>
    <row r="1" spans="1:1" x14ac:dyDescent="0.4">
      <c r="A1" s="206" t="s">
        <v>420</v>
      </c>
    </row>
    <row r="2" spans="1:1" x14ac:dyDescent="0.4">
      <c r="A2" t="s">
        <v>421</v>
      </c>
    </row>
    <row r="3" spans="1:1" x14ac:dyDescent="0.4">
      <c r="A3" t="s">
        <v>422</v>
      </c>
    </row>
    <row r="4" spans="1:1" x14ac:dyDescent="0.4">
      <c r="A4" t="s">
        <v>423</v>
      </c>
    </row>
    <row r="5" spans="1:1" x14ac:dyDescent="0.4">
      <c r="A5" t="s">
        <v>424</v>
      </c>
    </row>
    <row r="6" spans="1:1" x14ac:dyDescent="0.4">
      <c r="A6" t="s">
        <v>425</v>
      </c>
    </row>
    <row r="7" spans="1:1" x14ac:dyDescent="0.4">
      <c r="A7" t="s">
        <v>426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fba35-b14c-40f6-9857-ae96e4851f6e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0A22DD6E648624B834AD46AA6A5B364" ma:contentTypeVersion="17" ma:contentTypeDescription="建立新的文件。" ma:contentTypeScope="" ma:versionID="524e038b9c3a00422b8cc2d0b00e358b">
  <xsd:schema xmlns:xsd="http://www.w3.org/2001/XMLSchema" xmlns:xs="http://www.w3.org/2001/XMLSchema" xmlns:p="http://schemas.microsoft.com/office/2006/metadata/properties" xmlns:ns2="c6ffba35-b14c-40f6-9857-ae96e4851f6e" xmlns:ns3="5bb1daa6-2aaa-478b-9e26-ccd9af7e4865" targetNamespace="http://schemas.microsoft.com/office/2006/metadata/properties" ma:root="true" ma:fieldsID="9068396a451f6c8e1dc848cbba768082" ns2:_="" ns3:_="">
    <xsd:import namespace="c6ffba35-b14c-40f6-9857-ae96e4851f6e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fba35-b14c-40f6-9857-ae96e4851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25A995-4059-4E7B-9260-DCBE29A1FF5D}">
  <ds:schemaRefs>
    <ds:schemaRef ds:uri="http://schemas.microsoft.com/office/2006/metadata/properties"/>
    <ds:schemaRef ds:uri="http://schemas.microsoft.com/office/infopath/2007/PartnerControls"/>
    <ds:schemaRef ds:uri="c6ffba35-b14c-40f6-9857-ae96e4851f6e"/>
    <ds:schemaRef ds:uri="5bb1daa6-2aaa-478b-9e26-ccd9af7e4865"/>
  </ds:schemaRefs>
</ds:datastoreItem>
</file>

<file path=customXml/itemProps2.xml><?xml version="1.0" encoding="utf-8"?>
<ds:datastoreItem xmlns:ds="http://schemas.openxmlformats.org/officeDocument/2006/customXml" ds:itemID="{394784D2-C568-4C88-B518-9D9F24BA24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193F87-9D95-4B7B-85B1-CB3F417F1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fba35-b14c-40f6-9857-ae96e4851f6e"/>
    <ds:schemaRef ds:uri="5bb1daa6-2aaa-478b-9e26-ccd9af7e4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</vt:i4>
      </vt:variant>
    </vt:vector>
  </HeadingPairs>
  <TitlesOfParts>
    <vt:vector size="10" baseType="lpstr">
      <vt:lpstr>2026年</vt:lpstr>
      <vt:lpstr>出貨點數(其他附件)</vt:lpstr>
      <vt:lpstr>進貨點數(同期比)</vt:lpstr>
      <vt:lpstr>庫位使用率</vt:lpstr>
      <vt:lpstr>庫位使用率 (202608變更)</vt:lpstr>
      <vt:lpstr>包材回收(同期比)</vt:lpstr>
      <vt:lpstr>加班時數</vt:lpstr>
      <vt:lpstr>優開SQL(中小物)</vt:lpstr>
      <vt:lpstr>'2026年'!Print_Area</vt:lpstr>
      <vt:lpstr>'出貨點數(其他附件)'!Print_Area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鄭仲銘</dc:creator>
  <cp:keywords/>
  <dc:description/>
  <cp:lastModifiedBy>蔡晉毅</cp:lastModifiedBy>
  <cp:revision/>
  <dcterms:created xsi:type="dcterms:W3CDTF">2014-08-14T00:40:47Z</dcterms:created>
  <dcterms:modified xsi:type="dcterms:W3CDTF">2026-10-07T02:58:43Z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2765000</vt:r8>
  </property>
  <property fmtid="{D5CDD505-2E9C-101B-9397-08002B2CF9AE}" pid="3" name="ContentTypeId">
    <vt:lpwstr>0x01010090A22DD6E648624B834AD46AA6A5B364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2025-04-28T01:27:33Z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17a37420-fe47-4905-9e17-d364b65dd1b5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